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anishinfoservices/Downloads/"/>
    </mc:Choice>
  </mc:AlternateContent>
  <xr:revisionPtr revIDLastSave="0" documentId="8_{E74E1BF0-66BA-D44E-8DF8-84AB7E95ABFA}" xr6:coauthVersionLast="47" xr6:coauthVersionMax="47" xr10:uidLastSave="{00000000-0000-0000-0000-000000000000}"/>
  <bookViews>
    <workbookView xWindow="4340" yWindow="500" windowWidth="24460" windowHeight="16300" activeTab="3" xr2:uid="{00000000-000D-0000-FFFF-FFFF00000000}"/>
  </bookViews>
  <sheets>
    <sheet name="Original Kits" sheetId="1" r:id="rId1"/>
    <sheet name="Original HOODS ETC" sheetId="2" r:id="rId2"/>
    <sheet name="Average Box Size" sheetId="3" r:id="rId3"/>
    <sheet name="Changes Kits" sheetId="4" r:id="rId4"/>
    <sheet name="Changes HOODS ET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1" i="5" l="1"/>
  <c r="L411" i="5"/>
  <c r="I411" i="5"/>
  <c r="O410" i="5"/>
  <c r="L410" i="5"/>
  <c r="I410" i="5"/>
  <c r="J411" i="5" s="1"/>
  <c r="O409" i="5"/>
  <c r="L409" i="5"/>
  <c r="I409" i="5"/>
  <c r="J410" i="5" s="1"/>
  <c r="O408" i="5"/>
  <c r="L408" i="5"/>
  <c r="I408" i="5"/>
  <c r="J409" i="5" s="1"/>
  <c r="O407" i="5"/>
  <c r="L407" i="5"/>
  <c r="I407" i="5"/>
  <c r="J408" i="5" s="1"/>
  <c r="O406" i="5"/>
  <c r="L406" i="5"/>
  <c r="I406" i="5"/>
  <c r="J407" i="5" s="1"/>
  <c r="O405" i="5"/>
  <c r="L405" i="5"/>
  <c r="I405" i="5"/>
  <c r="J406" i="5" s="1"/>
  <c r="O404" i="5"/>
  <c r="L404" i="5"/>
  <c r="I404" i="5"/>
  <c r="J405" i="5" s="1"/>
  <c r="O403" i="5"/>
  <c r="L403" i="5"/>
  <c r="I403" i="5"/>
  <c r="J404" i="5" s="1"/>
  <c r="O402" i="5"/>
  <c r="L402" i="5"/>
  <c r="I402" i="5"/>
  <c r="J403" i="5" s="1"/>
  <c r="O401" i="5"/>
  <c r="L401" i="5"/>
  <c r="I401" i="5"/>
  <c r="J402" i="5" s="1"/>
  <c r="O400" i="5"/>
  <c r="L400" i="5"/>
  <c r="I400" i="5"/>
  <c r="J401" i="5" s="1"/>
  <c r="O399" i="5"/>
  <c r="L399" i="5"/>
  <c r="I399" i="5"/>
  <c r="J400" i="5" s="1"/>
  <c r="O398" i="5"/>
  <c r="L398" i="5"/>
  <c r="I398" i="5"/>
  <c r="J399" i="5" s="1"/>
  <c r="O397" i="5"/>
  <c r="L397" i="5"/>
  <c r="I397" i="5"/>
  <c r="J398" i="5" s="1"/>
  <c r="O396" i="5"/>
  <c r="L396" i="5"/>
  <c r="I396" i="5"/>
  <c r="J397" i="5" s="1"/>
  <c r="O395" i="5"/>
  <c r="L395" i="5"/>
  <c r="I395" i="5"/>
  <c r="J396" i="5" s="1"/>
  <c r="O394" i="5"/>
  <c r="L394" i="5"/>
  <c r="I394" i="5"/>
  <c r="J395" i="5" s="1"/>
  <c r="O393" i="5"/>
  <c r="L393" i="5"/>
  <c r="I393" i="5"/>
  <c r="J394" i="5" s="1"/>
  <c r="O392" i="5"/>
  <c r="L392" i="5"/>
  <c r="I392" i="5"/>
  <c r="J393" i="5" s="1"/>
  <c r="O391" i="5"/>
  <c r="L391" i="5"/>
  <c r="I391" i="5"/>
  <c r="J392" i="5" s="1"/>
  <c r="O390" i="5"/>
  <c r="L390" i="5"/>
  <c r="I390" i="5"/>
  <c r="J391" i="5" s="1"/>
  <c r="O389" i="5"/>
  <c r="L389" i="5"/>
  <c r="I389" i="5"/>
  <c r="J390" i="5" s="1"/>
  <c r="O388" i="5"/>
  <c r="L388" i="5"/>
  <c r="I388" i="5"/>
  <c r="J389" i="5" s="1"/>
  <c r="O387" i="5"/>
  <c r="L387" i="5"/>
  <c r="I387" i="5"/>
  <c r="J388" i="5" s="1"/>
  <c r="O386" i="5"/>
  <c r="L386" i="5"/>
  <c r="I386" i="5"/>
  <c r="J387" i="5" s="1"/>
  <c r="O385" i="5"/>
  <c r="L385" i="5"/>
  <c r="I385" i="5"/>
  <c r="J386" i="5" s="1"/>
  <c r="O384" i="5"/>
  <c r="L384" i="5"/>
  <c r="I384" i="5"/>
  <c r="J385" i="5" s="1"/>
  <c r="O383" i="5"/>
  <c r="L383" i="5"/>
  <c r="I383" i="5"/>
  <c r="J384" i="5" s="1"/>
  <c r="O382" i="5"/>
  <c r="L382" i="5"/>
  <c r="I382" i="5"/>
  <c r="J383" i="5" s="1"/>
  <c r="O381" i="5"/>
  <c r="L381" i="5"/>
  <c r="I381" i="5"/>
  <c r="J382" i="5" s="1"/>
  <c r="O380" i="5"/>
  <c r="L380" i="5"/>
  <c r="I380" i="5"/>
  <c r="J381" i="5" s="1"/>
  <c r="O379" i="5"/>
  <c r="L379" i="5"/>
  <c r="I379" i="5"/>
  <c r="J380" i="5" s="1"/>
  <c r="O378" i="5"/>
  <c r="L378" i="5"/>
  <c r="I378" i="5"/>
  <c r="J379" i="5" s="1"/>
  <c r="O377" i="5"/>
  <c r="L377" i="5"/>
  <c r="I377" i="5"/>
  <c r="J378" i="5" s="1"/>
  <c r="O376" i="5"/>
  <c r="L376" i="5"/>
  <c r="I376" i="5"/>
  <c r="J377" i="5" s="1"/>
  <c r="O375" i="5"/>
  <c r="L375" i="5"/>
  <c r="I375" i="5"/>
  <c r="J376" i="5" s="1"/>
  <c r="O374" i="5"/>
  <c r="L374" i="5"/>
  <c r="I374" i="5"/>
  <c r="J375" i="5" s="1"/>
  <c r="O373" i="5"/>
  <c r="L373" i="5"/>
  <c r="I373" i="5"/>
  <c r="J374" i="5" s="1"/>
  <c r="O372" i="5"/>
  <c r="L372" i="5"/>
  <c r="I372" i="5"/>
  <c r="J373" i="5" s="1"/>
  <c r="O371" i="5"/>
  <c r="L371" i="5"/>
  <c r="I371" i="5"/>
  <c r="J372" i="5" s="1"/>
  <c r="O370" i="5"/>
  <c r="L370" i="5"/>
  <c r="I370" i="5"/>
  <c r="J371" i="5" s="1"/>
  <c r="O369" i="5"/>
  <c r="L369" i="5"/>
  <c r="I369" i="5"/>
  <c r="J370" i="5" s="1"/>
  <c r="O368" i="5"/>
  <c r="L368" i="5"/>
  <c r="I368" i="5"/>
  <c r="J369" i="5" s="1"/>
  <c r="O367" i="5"/>
  <c r="L367" i="5"/>
  <c r="I367" i="5"/>
  <c r="J368" i="5" s="1"/>
  <c r="O366" i="5"/>
  <c r="L366" i="5"/>
  <c r="I366" i="5"/>
  <c r="J367" i="5" s="1"/>
  <c r="O365" i="5"/>
  <c r="L365" i="5"/>
  <c r="I365" i="5"/>
  <c r="J366" i="5" s="1"/>
  <c r="O364" i="5"/>
  <c r="L364" i="5"/>
  <c r="I364" i="5"/>
  <c r="J365" i="5" s="1"/>
  <c r="O363" i="5"/>
  <c r="L363" i="5"/>
  <c r="I363" i="5"/>
  <c r="J364" i="5" s="1"/>
  <c r="O362" i="5"/>
  <c r="L362" i="5"/>
  <c r="I362" i="5"/>
  <c r="J363" i="5" s="1"/>
  <c r="O361" i="5"/>
  <c r="L361" i="5"/>
  <c r="I361" i="5"/>
  <c r="J362" i="5" s="1"/>
  <c r="O360" i="5"/>
  <c r="L360" i="5"/>
  <c r="I360" i="5"/>
  <c r="J361" i="5" s="1"/>
  <c r="O359" i="5"/>
  <c r="L359" i="5"/>
  <c r="I359" i="5"/>
  <c r="J360" i="5" s="1"/>
  <c r="O358" i="5"/>
  <c r="L358" i="5"/>
  <c r="I358" i="5"/>
  <c r="J359" i="5" s="1"/>
  <c r="O357" i="5"/>
  <c r="L357" i="5"/>
  <c r="I357" i="5"/>
  <c r="J358" i="5" s="1"/>
  <c r="O356" i="5"/>
  <c r="L356" i="5"/>
  <c r="I356" i="5"/>
  <c r="J357" i="5" s="1"/>
  <c r="O355" i="5"/>
  <c r="L355" i="5"/>
  <c r="I355" i="5"/>
  <c r="J356" i="5" s="1"/>
  <c r="O354" i="5"/>
  <c r="L354" i="5"/>
  <c r="I354" i="5"/>
  <c r="J355" i="5" s="1"/>
  <c r="O353" i="5"/>
  <c r="L353" i="5"/>
  <c r="I353" i="5"/>
  <c r="J354" i="5" s="1"/>
  <c r="O352" i="5"/>
  <c r="L352" i="5"/>
  <c r="I352" i="5"/>
  <c r="J353" i="5" s="1"/>
  <c r="O351" i="5"/>
  <c r="L351" i="5"/>
  <c r="I351" i="5"/>
  <c r="J352" i="5" s="1"/>
  <c r="O350" i="5"/>
  <c r="L350" i="5"/>
  <c r="I350" i="5"/>
  <c r="J351" i="5" s="1"/>
  <c r="O349" i="5"/>
  <c r="L349" i="5"/>
  <c r="I349" i="5"/>
  <c r="J350" i="5" s="1"/>
  <c r="O348" i="5"/>
  <c r="L348" i="5"/>
  <c r="I348" i="5"/>
  <c r="J349" i="5" s="1"/>
  <c r="O347" i="5"/>
  <c r="L347" i="5"/>
  <c r="I347" i="5"/>
  <c r="J348" i="5" s="1"/>
  <c r="O346" i="5"/>
  <c r="L346" i="5"/>
  <c r="I346" i="5"/>
  <c r="J347" i="5" s="1"/>
  <c r="O345" i="5"/>
  <c r="L345" i="5"/>
  <c r="I345" i="5"/>
  <c r="J346" i="5" s="1"/>
  <c r="O344" i="5"/>
  <c r="L344" i="5"/>
  <c r="I344" i="5"/>
  <c r="J345" i="5" s="1"/>
  <c r="O343" i="5"/>
  <c r="L343" i="5"/>
  <c r="I343" i="5"/>
  <c r="J344" i="5" s="1"/>
  <c r="O342" i="5"/>
  <c r="L342" i="5"/>
  <c r="I342" i="5"/>
  <c r="J343" i="5" s="1"/>
  <c r="O341" i="5"/>
  <c r="L341" i="5"/>
  <c r="I341" i="5"/>
  <c r="J342" i="5" s="1"/>
  <c r="O340" i="5"/>
  <c r="L340" i="5"/>
  <c r="I340" i="5"/>
  <c r="J341" i="5" s="1"/>
  <c r="O339" i="5"/>
  <c r="L339" i="5"/>
  <c r="I339" i="5"/>
  <c r="J340" i="5" s="1"/>
  <c r="O338" i="5"/>
  <c r="L338" i="5"/>
  <c r="I338" i="5"/>
  <c r="J339" i="5" s="1"/>
  <c r="O337" i="5"/>
  <c r="L337" i="5"/>
  <c r="I337" i="5"/>
  <c r="J338" i="5" s="1"/>
  <c r="O336" i="5"/>
  <c r="L336" i="5"/>
  <c r="I336" i="5"/>
  <c r="J337" i="5" s="1"/>
  <c r="O335" i="5"/>
  <c r="L335" i="5"/>
  <c r="I335" i="5"/>
  <c r="J336" i="5" s="1"/>
  <c r="O334" i="5"/>
  <c r="L334" i="5"/>
  <c r="I334" i="5"/>
  <c r="J335" i="5" s="1"/>
  <c r="O333" i="5"/>
  <c r="L333" i="5"/>
  <c r="I333" i="5"/>
  <c r="J334" i="5" s="1"/>
  <c r="O332" i="5"/>
  <c r="L332" i="5"/>
  <c r="I332" i="5"/>
  <c r="J333" i="5" s="1"/>
  <c r="O331" i="5"/>
  <c r="L331" i="5"/>
  <c r="I331" i="5"/>
  <c r="J332" i="5" s="1"/>
  <c r="O330" i="5"/>
  <c r="L330" i="5"/>
  <c r="I330" i="5"/>
  <c r="J331" i="5" s="1"/>
  <c r="O329" i="5"/>
  <c r="L329" i="5"/>
  <c r="I329" i="5"/>
  <c r="J330" i="5" s="1"/>
  <c r="O328" i="5"/>
  <c r="L328" i="5"/>
  <c r="I328" i="5"/>
  <c r="J329" i="5" s="1"/>
  <c r="O327" i="5"/>
  <c r="L327" i="5"/>
  <c r="I327" i="5"/>
  <c r="J328" i="5" s="1"/>
  <c r="O326" i="5"/>
  <c r="L326" i="5"/>
  <c r="I326" i="5"/>
  <c r="J327" i="5" s="1"/>
  <c r="O325" i="5"/>
  <c r="L325" i="5"/>
  <c r="I325" i="5"/>
  <c r="J326" i="5" s="1"/>
  <c r="O324" i="5"/>
  <c r="L324" i="5"/>
  <c r="I324" i="5"/>
  <c r="J325" i="5" s="1"/>
  <c r="O323" i="5"/>
  <c r="L323" i="5"/>
  <c r="I323" i="5"/>
  <c r="J324" i="5" s="1"/>
  <c r="O322" i="5"/>
  <c r="L322" i="5"/>
  <c r="I322" i="5"/>
  <c r="J323" i="5" s="1"/>
  <c r="O321" i="5"/>
  <c r="L321" i="5"/>
  <c r="I321" i="5"/>
  <c r="J322" i="5" s="1"/>
  <c r="O320" i="5"/>
  <c r="L320" i="5"/>
  <c r="I320" i="5"/>
  <c r="J321" i="5" s="1"/>
  <c r="O319" i="5"/>
  <c r="L319" i="5"/>
  <c r="I319" i="5"/>
  <c r="J320" i="5" s="1"/>
  <c r="O318" i="5"/>
  <c r="L318" i="5"/>
  <c r="I318" i="5"/>
  <c r="J319" i="5" s="1"/>
  <c r="O317" i="5"/>
  <c r="L317" i="5"/>
  <c r="I317" i="5"/>
  <c r="J318" i="5" s="1"/>
  <c r="O316" i="5"/>
  <c r="L316" i="5"/>
  <c r="I316" i="5"/>
  <c r="J317" i="5" s="1"/>
  <c r="O315" i="5"/>
  <c r="L315" i="5"/>
  <c r="I315" i="5"/>
  <c r="J316" i="5" s="1"/>
  <c r="O314" i="5"/>
  <c r="L314" i="5"/>
  <c r="I314" i="5"/>
  <c r="J315" i="5" s="1"/>
  <c r="O313" i="5"/>
  <c r="L313" i="5"/>
  <c r="I313" i="5"/>
  <c r="J314" i="5" s="1"/>
  <c r="O312" i="5"/>
  <c r="L312" i="5"/>
  <c r="I312" i="5"/>
  <c r="J313" i="5" s="1"/>
  <c r="O311" i="5"/>
  <c r="L311" i="5"/>
  <c r="I311" i="5"/>
  <c r="J312" i="5" s="1"/>
  <c r="O310" i="5"/>
  <c r="L310" i="5"/>
  <c r="I310" i="5"/>
  <c r="J311" i="5" s="1"/>
  <c r="O309" i="5"/>
  <c r="L309" i="5"/>
  <c r="I309" i="5"/>
  <c r="J310" i="5" s="1"/>
  <c r="O308" i="5"/>
  <c r="L308" i="5"/>
  <c r="I308" i="5"/>
  <c r="J309" i="5" s="1"/>
  <c r="O307" i="5"/>
  <c r="L307" i="5"/>
  <c r="I307" i="5"/>
  <c r="J308" i="5" s="1"/>
  <c r="O306" i="5"/>
  <c r="L306" i="5"/>
  <c r="I306" i="5"/>
  <c r="J307" i="5" s="1"/>
  <c r="O305" i="5"/>
  <c r="L305" i="5"/>
  <c r="I305" i="5"/>
  <c r="J306" i="5" s="1"/>
  <c r="O304" i="5"/>
  <c r="L304" i="5"/>
  <c r="I304" i="5"/>
  <c r="J305" i="5" s="1"/>
  <c r="O303" i="5"/>
  <c r="L303" i="5"/>
  <c r="I303" i="5"/>
  <c r="J304" i="5" s="1"/>
  <c r="O302" i="5"/>
  <c r="L302" i="5"/>
  <c r="I302" i="5"/>
  <c r="J303" i="5" s="1"/>
  <c r="O301" i="5"/>
  <c r="L301" i="5"/>
  <c r="I301" i="5"/>
  <c r="J302" i="5" s="1"/>
  <c r="O300" i="5"/>
  <c r="L300" i="5"/>
  <c r="I300" i="5"/>
  <c r="J301" i="5" s="1"/>
  <c r="O299" i="5"/>
  <c r="L299" i="5"/>
  <c r="I299" i="5"/>
  <c r="J300" i="5" s="1"/>
  <c r="O298" i="5"/>
  <c r="L298" i="5"/>
  <c r="I298" i="5"/>
  <c r="J299" i="5" s="1"/>
  <c r="O297" i="5"/>
  <c r="L297" i="5"/>
  <c r="I297" i="5"/>
  <c r="J298" i="5" s="1"/>
  <c r="O296" i="5"/>
  <c r="L296" i="5"/>
  <c r="I296" i="5"/>
  <c r="J297" i="5" s="1"/>
  <c r="O295" i="5"/>
  <c r="L295" i="5"/>
  <c r="I295" i="5"/>
  <c r="J296" i="5" s="1"/>
  <c r="O294" i="5"/>
  <c r="L294" i="5"/>
  <c r="I294" i="5"/>
  <c r="J295" i="5" s="1"/>
  <c r="O293" i="5"/>
  <c r="L293" i="5"/>
  <c r="I293" i="5"/>
  <c r="J294" i="5" s="1"/>
  <c r="O292" i="5"/>
  <c r="L292" i="5"/>
  <c r="I292" i="5"/>
  <c r="J293" i="5" s="1"/>
  <c r="O291" i="5"/>
  <c r="L291" i="5"/>
  <c r="I291" i="5"/>
  <c r="J292" i="5" s="1"/>
  <c r="O290" i="5"/>
  <c r="L290" i="5"/>
  <c r="I290" i="5"/>
  <c r="J291" i="5" s="1"/>
  <c r="O289" i="5"/>
  <c r="L289" i="5"/>
  <c r="I289" i="5"/>
  <c r="J290" i="5" s="1"/>
  <c r="O288" i="5"/>
  <c r="L288" i="5"/>
  <c r="I288" i="5"/>
  <c r="J289" i="5" s="1"/>
  <c r="O287" i="5"/>
  <c r="L287" i="5"/>
  <c r="I287" i="5"/>
  <c r="J288" i="5" s="1"/>
  <c r="O286" i="5"/>
  <c r="L286" i="5"/>
  <c r="I286" i="5"/>
  <c r="J287" i="5" s="1"/>
  <c r="O285" i="5"/>
  <c r="L285" i="5"/>
  <c r="I285" i="5"/>
  <c r="J286" i="5" s="1"/>
  <c r="O284" i="5"/>
  <c r="L284" i="5"/>
  <c r="I284" i="5"/>
  <c r="J285" i="5" s="1"/>
  <c r="O283" i="5"/>
  <c r="L283" i="5"/>
  <c r="I283" i="5"/>
  <c r="J284" i="5" s="1"/>
  <c r="O282" i="5"/>
  <c r="L282" i="5"/>
  <c r="I282" i="5"/>
  <c r="J283" i="5" s="1"/>
  <c r="O281" i="5"/>
  <c r="L281" i="5"/>
  <c r="I281" i="5"/>
  <c r="J282" i="5" s="1"/>
  <c r="O280" i="5"/>
  <c r="L280" i="5"/>
  <c r="I280" i="5"/>
  <c r="J281" i="5" s="1"/>
  <c r="O279" i="5"/>
  <c r="L279" i="5"/>
  <c r="I279" i="5"/>
  <c r="J280" i="5" s="1"/>
  <c r="O278" i="5"/>
  <c r="L278" i="5"/>
  <c r="I278" i="5"/>
  <c r="J279" i="5" s="1"/>
  <c r="O277" i="5"/>
  <c r="L277" i="5"/>
  <c r="I277" i="5"/>
  <c r="J278" i="5" s="1"/>
  <c r="O276" i="5"/>
  <c r="L276" i="5"/>
  <c r="I276" i="5"/>
  <c r="J277" i="5" s="1"/>
  <c r="O275" i="5"/>
  <c r="L275" i="5"/>
  <c r="I275" i="5"/>
  <c r="J276" i="5" s="1"/>
  <c r="O274" i="5"/>
  <c r="L274" i="5"/>
  <c r="I274" i="5"/>
  <c r="J275" i="5" s="1"/>
  <c r="O273" i="5"/>
  <c r="L273" i="5"/>
  <c r="I273" i="5"/>
  <c r="J274" i="5" s="1"/>
  <c r="O272" i="5"/>
  <c r="L272" i="5"/>
  <c r="I272" i="5"/>
  <c r="J273" i="5" s="1"/>
  <c r="O271" i="5"/>
  <c r="L271" i="5"/>
  <c r="I271" i="5"/>
  <c r="J272" i="5" s="1"/>
  <c r="O270" i="5"/>
  <c r="L270" i="5"/>
  <c r="I270" i="5"/>
  <c r="J271" i="5" s="1"/>
  <c r="O269" i="5"/>
  <c r="L269" i="5"/>
  <c r="I269" i="5"/>
  <c r="J270" i="5" s="1"/>
  <c r="O268" i="5"/>
  <c r="L268" i="5"/>
  <c r="I268" i="5"/>
  <c r="J269" i="5" s="1"/>
  <c r="O267" i="5"/>
  <c r="L267" i="5"/>
  <c r="I267" i="5"/>
  <c r="J268" i="5" s="1"/>
  <c r="O266" i="5"/>
  <c r="L266" i="5"/>
  <c r="I266" i="5"/>
  <c r="J267" i="5" s="1"/>
  <c r="O265" i="5"/>
  <c r="L265" i="5"/>
  <c r="I265" i="5"/>
  <c r="J266" i="5" s="1"/>
  <c r="O264" i="5"/>
  <c r="L264" i="5"/>
  <c r="I264" i="5"/>
  <c r="J265" i="5" s="1"/>
  <c r="O263" i="5"/>
  <c r="L263" i="5"/>
  <c r="I263" i="5"/>
  <c r="J264" i="5" s="1"/>
  <c r="O262" i="5"/>
  <c r="L262" i="5"/>
  <c r="I262" i="5"/>
  <c r="J263" i="5" s="1"/>
  <c r="O261" i="5"/>
  <c r="L261" i="5"/>
  <c r="I261" i="5"/>
  <c r="J262" i="5" s="1"/>
  <c r="O260" i="5"/>
  <c r="L260" i="5"/>
  <c r="I260" i="5"/>
  <c r="J261" i="5" s="1"/>
  <c r="O259" i="5"/>
  <c r="L259" i="5"/>
  <c r="I259" i="5"/>
  <c r="J260" i="5" s="1"/>
  <c r="O258" i="5"/>
  <c r="L258" i="5"/>
  <c r="I258" i="5"/>
  <c r="J259" i="5" s="1"/>
  <c r="O257" i="5"/>
  <c r="L257" i="5"/>
  <c r="I257" i="5"/>
  <c r="J258" i="5" s="1"/>
  <c r="O256" i="5"/>
  <c r="L256" i="5"/>
  <c r="I256" i="5"/>
  <c r="J257" i="5" s="1"/>
  <c r="O255" i="5"/>
  <c r="L255" i="5"/>
  <c r="I255" i="5"/>
  <c r="J256" i="5" s="1"/>
  <c r="O254" i="5"/>
  <c r="L254" i="5"/>
  <c r="I254" i="5"/>
  <c r="J255" i="5" s="1"/>
  <c r="O253" i="5"/>
  <c r="L253" i="5"/>
  <c r="I253" i="5"/>
  <c r="J254" i="5" s="1"/>
  <c r="O252" i="5"/>
  <c r="L252" i="5"/>
  <c r="I252" i="5"/>
  <c r="J253" i="5" s="1"/>
  <c r="O251" i="5"/>
  <c r="L251" i="5"/>
  <c r="I251" i="5"/>
  <c r="J252" i="5" s="1"/>
  <c r="O250" i="5"/>
  <c r="L250" i="5"/>
  <c r="I250" i="5"/>
  <c r="J251" i="5" s="1"/>
  <c r="O249" i="5"/>
  <c r="L249" i="5"/>
  <c r="I249" i="5"/>
  <c r="J250" i="5" s="1"/>
  <c r="O248" i="5"/>
  <c r="L248" i="5"/>
  <c r="I248" i="5"/>
  <c r="J249" i="5" s="1"/>
  <c r="O247" i="5"/>
  <c r="L247" i="5"/>
  <c r="I247" i="5"/>
  <c r="J248" i="5" s="1"/>
  <c r="O246" i="5"/>
  <c r="L246" i="5"/>
  <c r="I246" i="5"/>
  <c r="J247" i="5" s="1"/>
  <c r="O245" i="5"/>
  <c r="L245" i="5"/>
  <c r="I245" i="5"/>
  <c r="J246" i="5" s="1"/>
  <c r="O244" i="5"/>
  <c r="L244" i="5"/>
  <c r="I244" i="5"/>
  <c r="J245" i="5" s="1"/>
  <c r="O243" i="5"/>
  <c r="L243" i="5"/>
  <c r="I243" i="5"/>
  <c r="J244" i="5" s="1"/>
  <c r="O242" i="5"/>
  <c r="L242" i="5"/>
  <c r="I242" i="5"/>
  <c r="J243" i="5" s="1"/>
  <c r="O241" i="5"/>
  <c r="L241" i="5"/>
  <c r="I241" i="5"/>
  <c r="J242" i="5" s="1"/>
  <c r="O240" i="5"/>
  <c r="L240" i="5"/>
  <c r="I240" i="5"/>
  <c r="J241" i="5" s="1"/>
  <c r="O239" i="5"/>
  <c r="L239" i="5"/>
  <c r="I239" i="5"/>
  <c r="J240" i="5" s="1"/>
  <c r="O238" i="5"/>
  <c r="L238" i="5"/>
  <c r="I238" i="5"/>
  <c r="J239" i="5" s="1"/>
  <c r="O237" i="5"/>
  <c r="L237" i="5"/>
  <c r="I237" i="5"/>
  <c r="J238" i="5" s="1"/>
  <c r="O236" i="5"/>
  <c r="L236" i="5"/>
  <c r="I236" i="5"/>
  <c r="J237" i="5" s="1"/>
  <c r="O235" i="5"/>
  <c r="L235" i="5"/>
  <c r="I235" i="5"/>
  <c r="J236" i="5" s="1"/>
  <c r="O234" i="5"/>
  <c r="L234" i="5"/>
  <c r="I234" i="5"/>
  <c r="J235" i="5" s="1"/>
  <c r="O233" i="5"/>
  <c r="L233" i="5"/>
  <c r="I233" i="5"/>
  <c r="J234" i="5" s="1"/>
  <c r="O232" i="5"/>
  <c r="L232" i="5"/>
  <c r="I232" i="5"/>
  <c r="J233" i="5" s="1"/>
  <c r="O231" i="5"/>
  <c r="L231" i="5"/>
  <c r="I231" i="5"/>
  <c r="J232" i="5" s="1"/>
  <c r="O230" i="5"/>
  <c r="L230" i="5"/>
  <c r="I230" i="5"/>
  <c r="J231" i="5" s="1"/>
  <c r="O229" i="5"/>
  <c r="L229" i="5"/>
  <c r="I229" i="5"/>
  <c r="J230" i="5" s="1"/>
  <c r="O228" i="5"/>
  <c r="L228" i="5"/>
  <c r="I228" i="5"/>
  <c r="J229" i="5" s="1"/>
  <c r="O227" i="5"/>
  <c r="L227" i="5"/>
  <c r="I227" i="5"/>
  <c r="J228" i="5" s="1"/>
  <c r="O226" i="5"/>
  <c r="L226" i="5"/>
  <c r="I226" i="5"/>
  <c r="J227" i="5" s="1"/>
  <c r="O225" i="5"/>
  <c r="L225" i="5"/>
  <c r="I225" i="5"/>
  <c r="J226" i="5" s="1"/>
  <c r="O224" i="5"/>
  <c r="L224" i="5"/>
  <c r="I224" i="5"/>
  <c r="J225" i="5" s="1"/>
  <c r="O223" i="5"/>
  <c r="L223" i="5"/>
  <c r="I223" i="5"/>
  <c r="J224" i="5" s="1"/>
  <c r="O222" i="5"/>
  <c r="L222" i="5"/>
  <c r="I222" i="5"/>
  <c r="J223" i="5" s="1"/>
  <c r="O221" i="5"/>
  <c r="L221" i="5"/>
  <c r="I221" i="5"/>
  <c r="J222" i="5" s="1"/>
  <c r="O220" i="5"/>
  <c r="L220" i="5"/>
  <c r="I220" i="5"/>
  <c r="J221" i="5" s="1"/>
  <c r="O219" i="5"/>
  <c r="L219" i="5"/>
  <c r="I219" i="5"/>
  <c r="J220" i="5" s="1"/>
  <c r="O218" i="5"/>
  <c r="L218" i="5"/>
  <c r="I218" i="5"/>
  <c r="J219" i="5" s="1"/>
  <c r="O217" i="5"/>
  <c r="L217" i="5"/>
  <c r="I217" i="5"/>
  <c r="J218" i="5" s="1"/>
  <c r="O216" i="5"/>
  <c r="L216" i="5"/>
  <c r="I216" i="5"/>
  <c r="J217" i="5" s="1"/>
  <c r="O215" i="5"/>
  <c r="L215" i="5"/>
  <c r="I215" i="5"/>
  <c r="J216" i="5" s="1"/>
  <c r="O214" i="5"/>
  <c r="L214" i="5"/>
  <c r="I214" i="5"/>
  <c r="J215" i="5" s="1"/>
  <c r="O213" i="5"/>
  <c r="L213" i="5"/>
  <c r="I213" i="5"/>
  <c r="J214" i="5" s="1"/>
  <c r="O212" i="5"/>
  <c r="L212" i="5"/>
  <c r="I212" i="5"/>
  <c r="J213" i="5" s="1"/>
  <c r="O211" i="5"/>
  <c r="L211" i="5"/>
  <c r="I211" i="5"/>
  <c r="J212" i="5" s="1"/>
  <c r="O210" i="5"/>
  <c r="L210" i="5"/>
  <c r="I210" i="5"/>
  <c r="J211" i="5" s="1"/>
  <c r="O209" i="5"/>
  <c r="L209" i="5"/>
  <c r="I209" i="5"/>
  <c r="J210" i="5" s="1"/>
  <c r="O208" i="5"/>
  <c r="L208" i="5"/>
  <c r="I208" i="5"/>
  <c r="J209" i="5" s="1"/>
  <c r="O207" i="5"/>
  <c r="L207" i="5"/>
  <c r="I207" i="5"/>
  <c r="J208" i="5" s="1"/>
  <c r="O206" i="5"/>
  <c r="L206" i="5"/>
  <c r="I206" i="5"/>
  <c r="J207" i="5" s="1"/>
  <c r="O205" i="5"/>
  <c r="L205" i="5"/>
  <c r="I205" i="5"/>
  <c r="J206" i="5" s="1"/>
  <c r="O204" i="5"/>
  <c r="L204" i="5"/>
  <c r="I204" i="5"/>
  <c r="J205" i="5" s="1"/>
  <c r="O203" i="5"/>
  <c r="L203" i="5"/>
  <c r="I203" i="5"/>
  <c r="J204" i="5" s="1"/>
  <c r="O202" i="5"/>
  <c r="L202" i="5"/>
  <c r="I202" i="5"/>
  <c r="J203" i="5" s="1"/>
  <c r="O201" i="5"/>
  <c r="L201" i="5"/>
  <c r="I201" i="5"/>
  <c r="J202" i="5" s="1"/>
  <c r="O200" i="5"/>
  <c r="L200" i="5"/>
  <c r="I200" i="5"/>
  <c r="J201" i="5" s="1"/>
  <c r="O199" i="5"/>
  <c r="L199" i="5"/>
  <c r="I199" i="5"/>
  <c r="J200" i="5" s="1"/>
  <c r="O198" i="5"/>
  <c r="L198" i="5"/>
  <c r="I198" i="5"/>
  <c r="J199" i="5" s="1"/>
  <c r="O197" i="5"/>
  <c r="L197" i="5"/>
  <c r="I197" i="5"/>
  <c r="J198" i="5" s="1"/>
  <c r="O196" i="5"/>
  <c r="L196" i="5"/>
  <c r="I196" i="5"/>
  <c r="J197" i="5" s="1"/>
  <c r="O195" i="5"/>
  <c r="L195" i="5"/>
  <c r="I195" i="5"/>
  <c r="J196" i="5" s="1"/>
  <c r="O194" i="5"/>
  <c r="L194" i="5"/>
  <c r="I194" i="5"/>
  <c r="J195" i="5" s="1"/>
  <c r="O193" i="5"/>
  <c r="L193" i="5"/>
  <c r="I193" i="5"/>
  <c r="J194" i="5" s="1"/>
  <c r="O192" i="5"/>
  <c r="L192" i="5"/>
  <c r="I192" i="5"/>
  <c r="J193" i="5" s="1"/>
  <c r="O191" i="5"/>
  <c r="L191" i="5"/>
  <c r="I191" i="5"/>
  <c r="J192" i="5" s="1"/>
  <c r="O190" i="5"/>
  <c r="L190" i="5"/>
  <c r="I190" i="5"/>
  <c r="J191" i="5" s="1"/>
  <c r="O189" i="5"/>
  <c r="L189" i="5"/>
  <c r="I189" i="5"/>
  <c r="J190" i="5" s="1"/>
  <c r="O188" i="5"/>
  <c r="L188" i="5"/>
  <c r="I188" i="5"/>
  <c r="J189" i="5" s="1"/>
  <c r="O187" i="5"/>
  <c r="L187" i="5"/>
  <c r="I187" i="5"/>
  <c r="J188" i="5" s="1"/>
  <c r="O186" i="5"/>
  <c r="L186" i="5"/>
  <c r="I186" i="5"/>
  <c r="J187" i="5" s="1"/>
  <c r="O185" i="5"/>
  <c r="L185" i="5"/>
  <c r="I185" i="5"/>
  <c r="J186" i="5" s="1"/>
  <c r="O184" i="5"/>
  <c r="L184" i="5"/>
  <c r="I184" i="5"/>
  <c r="J185" i="5" s="1"/>
  <c r="O183" i="5"/>
  <c r="L183" i="5"/>
  <c r="I183" i="5"/>
  <c r="J184" i="5" s="1"/>
  <c r="O182" i="5"/>
  <c r="L182" i="5"/>
  <c r="I182" i="5"/>
  <c r="J183" i="5" s="1"/>
  <c r="O181" i="5"/>
  <c r="L181" i="5"/>
  <c r="I181" i="5"/>
  <c r="J182" i="5" s="1"/>
  <c r="O180" i="5"/>
  <c r="L180" i="5"/>
  <c r="I180" i="5"/>
  <c r="J181" i="5" s="1"/>
  <c r="O179" i="5"/>
  <c r="L179" i="5"/>
  <c r="I179" i="5"/>
  <c r="J180" i="5" s="1"/>
  <c r="O178" i="5"/>
  <c r="L178" i="5"/>
  <c r="I178" i="5"/>
  <c r="J179" i="5" s="1"/>
  <c r="O177" i="5"/>
  <c r="L177" i="5"/>
  <c r="I177" i="5"/>
  <c r="J178" i="5" s="1"/>
  <c r="O176" i="5"/>
  <c r="L176" i="5"/>
  <c r="I176" i="5"/>
  <c r="J177" i="5" s="1"/>
  <c r="O175" i="5"/>
  <c r="L175" i="5"/>
  <c r="I175" i="5"/>
  <c r="J176" i="5" s="1"/>
  <c r="O174" i="5"/>
  <c r="L174" i="5"/>
  <c r="I174" i="5"/>
  <c r="J175" i="5" s="1"/>
  <c r="O173" i="5"/>
  <c r="L173" i="5"/>
  <c r="I173" i="5"/>
  <c r="J174" i="5" s="1"/>
  <c r="O172" i="5"/>
  <c r="L172" i="5"/>
  <c r="I172" i="5"/>
  <c r="J173" i="5" s="1"/>
  <c r="O171" i="5"/>
  <c r="L171" i="5"/>
  <c r="I171" i="5"/>
  <c r="J172" i="5" s="1"/>
  <c r="O170" i="5"/>
  <c r="L170" i="5"/>
  <c r="I170" i="5"/>
  <c r="J171" i="5" s="1"/>
  <c r="O169" i="5"/>
  <c r="L169" i="5"/>
  <c r="I169" i="5"/>
  <c r="J170" i="5" s="1"/>
  <c r="O168" i="5"/>
  <c r="L168" i="5"/>
  <c r="I168" i="5"/>
  <c r="J169" i="5" s="1"/>
  <c r="O167" i="5"/>
  <c r="L167" i="5"/>
  <c r="I167" i="5"/>
  <c r="J168" i="5" s="1"/>
  <c r="O166" i="5"/>
  <c r="L166" i="5"/>
  <c r="I166" i="5"/>
  <c r="J167" i="5" s="1"/>
  <c r="O165" i="5"/>
  <c r="L165" i="5"/>
  <c r="I165" i="5"/>
  <c r="J166" i="5" s="1"/>
  <c r="O164" i="5"/>
  <c r="L164" i="5"/>
  <c r="I164" i="5"/>
  <c r="J165" i="5" s="1"/>
  <c r="O163" i="5"/>
  <c r="L163" i="5"/>
  <c r="I163" i="5"/>
  <c r="J164" i="5" s="1"/>
  <c r="O162" i="5"/>
  <c r="L162" i="5"/>
  <c r="I162" i="5"/>
  <c r="J163" i="5" s="1"/>
  <c r="O161" i="5"/>
  <c r="L161" i="5"/>
  <c r="I161" i="5"/>
  <c r="J162" i="5" s="1"/>
  <c r="O160" i="5"/>
  <c r="L160" i="5"/>
  <c r="I160" i="5"/>
  <c r="J161" i="5" s="1"/>
  <c r="O159" i="5"/>
  <c r="L159" i="5"/>
  <c r="I159" i="5"/>
  <c r="J160" i="5" s="1"/>
  <c r="O158" i="5"/>
  <c r="L158" i="5"/>
  <c r="I158" i="5"/>
  <c r="J159" i="5" s="1"/>
  <c r="O157" i="5"/>
  <c r="L157" i="5"/>
  <c r="I157" i="5"/>
  <c r="J158" i="5" s="1"/>
  <c r="O156" i="5"/>
  <c r="L156" i="5"/>
  <c r="I156" i="5"/>
  <c r="J157" i="5" s="1"/>
  <c r="O155" i="5"/>
  <c r="L155" i="5"/>
  <c r="I155" i="5"/>
  <c r="J156" i="5" s="1"/>
  <c r="O154" i="5"/>
  <c r="L154" i="5"/>
  <c r="I154" i="5"/>
  <c r="J155" i="5" s="1"/>
  <c r="O153" i="5"/>
  <c r="L153" i="5"/>
  <c r="I153" i="5"/>
  <c r="J154" i="5" s="1"/>
  <c r="O152" i="5"/>
  <c r="L152" i="5"/>
  <c r="I152" i="5"/>
  <c r="J153" i="5" s="1"/>
  <c r="O151" i="5"/>
  <c r="L151" i="5"/>
  <c r="J151" i="5"/>
  <c r="I151" i="5"/>
  <c r="J152" i="5" s="1"/>
  <c r="O150" i="5"/>
  <c r="N150" i="5"/>
  <c r="M150" i="5"/>
  <c r="L150" i="5"/>
  <c r="I150" i="5"/>
  <c r="O149" i="5"/>
  <c r="L149" i="5"/>
  <c r="I149" i="5"/>
  <c r="J150" i="5" s="1"/>
  <c r="O148" i="5"/>
  <c r="L148" i="5"/>
  <c r="I148" i="5"/>
  <c r="J149" i="5" s="1"/>
  <c r="O147" i="5"/>
  <c r="L147" i="5"/>
  <c r="I147" i="5"/>
  <c r="J148" i="5" s="1"/>
  <c r="O146" i="5"/>
  <c r="L146" i="5"/>
  <c r="I146" i="5"/>
  <c r="J147" i="5" s="1"/>
  <c r="O145" i="5"/>
  <c r="L145" i="5"/>
  <c r="I145" i="5"/>
  <c r="J146" i="5" s="1"/>
  <c r="O144" i="5"/>
  <c r="L144" i="5"/>
  <c r="I144" i="5"/>
  <c r="J145" i="5" s="1"/>
  <c r="O143" i="5"/>
  <c r="L143" i="5"/>
  <c r="I143" i="5"/>
  <c r="J144" i="5" s="1"/>
  <c r="O142" i="5"/>
  <c r="L142" i="5"/>
  <c r="I142" i="5"/>
  <c r="J143" i="5" s="1"/>
  <c r="O141" i="5"/>
  <c r="L141" i="5"/>
  <c r="I141" i="5"/>
  <c r="J142" i="5" s="1"/>
  <c r="O140" i="5"/>
  <c r="L140" i="5"/>
  <c r="I140" i="5"/>
  <c r="J141" i="5" s="1"/>
  <c r="O139" i="5"/>
  <c r="L139" i="5"/>
  <c r="I139" i="5"/>
  <c r="J140" i="5" s="1"/>
  <c r="O138" i="5"/>
  <c r="L138" i="5"/>
  <c r="I138" i="5"/>
  <c r="J139" i="5" s="1"/>
  <c r="O137" i="5"/>
  <c r="L137" i="5"/>
  <c r="I137" i="5"/>
  <c r="J138" i="5" s="1"/>
  <c r="O136" i="5"/>
  <c r="L136" i="5"/>
  <c r="I136" i="5"/>
  <c r="J137" i="5" s="1"/>
  <c r="O135" i="5"/>
  <c r="L135" i="5"/>
  <c r="I135" i="5"/>
  <c r="J136" i="5" s="1"/>
  <c r="O134" i="5"/>
  <c r="L134" i="5"/>
  <c r="I134" i="5"/>
  <c r="J135" i="5" s="1"/>
  <c r="O133" i="5"/>
  <c r="L133" i="5"/>
  <c r="I133" i="5"/>
  <c r="J134" i="5" s="1"/>
  <c r="O132" i="5"/>
  <c r="L132" i="5"/>
  <c r="I132" i="5"/>
  <c r="J133" i="5" s="1"/>
  <c r="O131" i="5"/>
  <c r="L131" i="5"/>
  <c r="I131" i="5"/>
  <c r="J132" i="5" s="1"/>
  <c r="O130" i="5"/>
  <c r="L130" i="5"/>
  <c r="I130" i="5"/>
  <c r="J131" i="5" s="1"/>
  <c r="O129" i="5"/>
  <c r="L129" i="5"/>
  <c r="I129" i="5"/>
  <c r="J130" i="5" s="1"/>
  <c r="O128" i="5"/>
  <c r="L128" i="5"/>
  <c r="I128" i="5"/>
  <c r="J129" i="5" s="1"/>
  <c r="O127" i="5"/>
  <c r="L127" i="5"/>
  <c r="I127" i="5"/>
  <c r="J128" i="5" s="1"/>
  <c r="O126" i="5"/>
  <c r="L126" i="5"/>
  <c r="I126" i="5"/>
  <c r="J127" i="5" s="1"/>
  <c r="O125" i="5"/>
  <c r="L125" i="5"/>
  <c r="I125" i="5"/>
  <c r="J126" i="5" s="1"/>
  <c r="O124" i="5"/>
  <c r="L124" i="5"/>
  <c r="I124" i="5"/>
  <c r="J125" i="5" s="1"/>
  <c r="O123" i="5"/>
  <c r="L123" i="5"/>
  <c r="I123" i="5"/>
  <c r="J124" i="5" s="1"/>
  <c r="O122" i="5"/>
  <c r="L122" i="5"/>
  <c r="I122" i="5"/>
  <c r="J123" i="5" s="1"/>
  <c r="O121" i="5"/>
  <c r="L121" i="5"/>
  <c r="I121" i="5"/>
  <c r="J122" i="5" s="1"/>
  <c r="O120" i="5"/>
  <c r="L120" i="5"/>
  <c r="I120" i="5"/>
  <c r="J121" i="5" s="1"/>
  <c r="O119" i="5"/>
  <c r="L119" i="5"/>
  <c r="I119" i="5"/>
  <c r="J120" i="5" s="1"/>
  <c r="O118" i="5"/>
  <c r="L118" i="5"/>
  <c r="I118" i="5"/>
  <c r="J119" i="5" s="1"/>
  <c r="O117" i="5"/>
  <c r="L117" i="5"/>
  <c r="I117" i="5"/>
  <c r="J118" i="5" s="1"/>
  <c r="O116" i="5"/>
  <c r="L116" i="5"/>
  <c r="I116" i="5"/>
  <c r="J117" i="5" s="1"/>
  <c r="O115" i="5"/>
  <c r="L115" i="5"/>
  <c r="I115" i="5"/>
  <c r="J116" i="5" s="1"/>
  <c r="O114" i="5"/>
  <c r="L114" i="5"/>
  <c r="I114" i="5"/>
  <c r="J115" i="5" s="1"/>
  <c r="O113" i="5"/>
  <c r="L113" i="5"/>
  <c r="I113" i="5"/>
  <c r="J114" i="5" s="1"/>
  <c r="O112" i="5"/>
  <c r="L112" i="5"/>
  <c r="I112" i="5"/>
  <c r="J113" i="5" s="1"/>
  <c r="O111" i="5"/>
  <c r="L111" i="5"/>
  <c r="I111" i="5"/>
  <c r="J112" i="5" s="1"/>
  <c r="O110" i="5"/>
  <c r="L110" i="5"/>
  <c r="I110" i="5"/>
  <c r="J111" i="5" s="1"/>
  <c r="O109" i="5"/>
  <c r="L109" i="5"/>
  <c r="I109" i="5"/>
  <c r="J110" i="5" s="1"/>
  <c r="O108" i="5"/>
  <c r="L108" i="5"/>
  <c r="I108" i="5"/>
  <c r="J109" i="5" s="1"/>
  <c r="O107" i="5"/>
  <c r="L107" i="5"/>
  <c r="I107" i="5"/>
  <c r="J108" i="5" s="1"/>
  <c r="O106" i="5"/>
  <c r="L106" i="5"/>
  <c r="I106" i="5"/>
  <c r="J107" i="5" s="1"/>
  <c r="O105" i="5"/>
  <c r="L105" i="5"/>
  <c r="I105" i="5"/>
  <c r="J106" i="5" s="1"/>
  <c r="O104" i="5"/>
  <c r="L104" i="5"/>
  <c r="I104" i="5"/>
  <c r="J105" i="5" s="1"/>
  <c r="O103" i="5"/>
  <c r="L103" i="5"/>
  <c r="I103" i="5"/>
  <c r="J104" i="5" s="1"/>
  <c r="O102" i="5"/>
  <c r="L102" i="5"/>
  <c r="I102" i="5"/>
  <c r="J103" i="5" s="1"/>
  <c r="O101" i="5"/>
  <c r="L101" i="5"/>
  <c r="I101" i="5"/>
  <c r="J102" i="5" s="1"/>
  <c r="O100" i="5"/>
  <c r="L100" i="5"/>
  <c r="I100" i="5"/>
  <c r="J101" i="5" s="1"/>
  <c r="O99" i="5"/>
  <c r="L99" i="5"/>
  <c r="I99" i="5"/>
  <c r="J100" i="5" s="1"/>
  <c r="O98" i="5"/>
  <c r="L98" i="5"/>
  <c r="I98" i="5"/>
  <c r="J99" i="5" s="1"/>
  <c r="O97" i="5"/>
  <c r="L97" i="5"/>
  <c r="I97" i="5"/>
  <c r="J98" i="5" s="1"/>
  <c r="O96" i="5"/>
  <c r="L96" i="5"/>
  <c r="I96" i="5"/>
  <c r="J97" i="5" s="1"/>
  <c r="O95" i="5"/>
  <c r="L95" i="5"/>
  <c r="I95" i="5"/>
  <c r="J96" i="5" s="1"/>
  <c r="O94" i="5"/>
  <c r="L94" i="5"/>
  <c r="I94" i="5"/>
  <c r="J95" i="5" s="1"/>
  <c r="O93" i="5"/>
  <c r="L93" i="5"/>
  <c r="I93" i="5"/>
  <c r="J94" i="5" s="1"/>
  <c r="O92" i="5"/>
  <c r="L92" i="5"/>
  <c r="I92" i="5"/>
  <c r="J93" i="5" s="1"/>
  <c r="O91" i="5"/>
  <c r="L91" i="5"/>
  <c r="I91" i="5"/>
  <c r="J92" i="5" s="1"/>
  <c r="O90" i="5"/>
  <c r="L90" i="5"/>
  <c r="I90" i="5"/>
  <c r="J91" i="5" s="1"/>
  <c r="O89" i="5"/>
  <c r="L89" i="5"/>
  <c r="I89" i="5"/>
  <c r="J90" i="5" s="1"/>
  <c r="O88" i="5"/>
  <c r="L88" i="5"/>
  <c r="I88" i="5"/>
  <c r="J89" i="5" s="1"/>
  <c r="O87" i="5"/>
  <c r="L87" i="5"/>
  <c r="I87" i="5"/>
  <c r="J88" i="5" s="1"/>
  <c r="O86" i="5"/>
  <c r="L86" i="5"/>
  <c r="I86" i="5"/>
  <c r="J87" i="5" s="1"/>
  <c r="O85" i="5"/>
  <c r="L85" i="5"/>
  <c r="I85" i="5"/>
  <c r="J86" i="5" s="1"/>
  <c r="O84" i="5"/>
  <c r="L84" i="5"/>
  <c r="I84" i="5"/>
  <c r="J85" i="5" s="1"/>
  <c r="O83" i="5"/>
  <c r="L83" i="5"/>
  <c r="I83" i="5"/>
  <c r="J84" i="5" s="1"/>
  <c r="O82" i="5"/>
  <c r="L82" i="5"/>
  <c r="I82" i="5"/>
  <c r="J83" i="5" s="1"/>
  <c r="O81" i="5"/>
  <c r="L81" i="5"/>
  <c r="I81" i="5"/>
  <c r="J82" i="5" s="1"/>
  <c r="O80" i="5"/>
  <c r="L80" i="5"/>
  <c r="I80" i="5"/>
  <c r="J81" i="5" s="1"/>
  <c r="O79" i="5"/>
  <c r="L79" i="5"/>
  <c r="I79" i="5"/>
  <c r="J80" i="5" s="1"/>
  <c r="O78" i="5"/>
  <c r="L78" i="5"/>
  <c r="I78" i="5"/>
  <c r="J79" i="5" s="1"/>
  <c r="O77" i="5"/>
  <c r="L77" i="5"/>
  <c r="I77" i="5"/>
  <c r="J78" i="5" s="1"/>
  <c r="O76" i="5"/>
  <c r="L76" i="5"/>
  <c r="I76" i="5"/>
  <c r="J77" i="5" s="1"/>
  <c r="O75" i="5"/>
  <c r="L75" i="5"/>
  <c r="I75" i="5"/>
  <c r="J76" i="5" s="1"/>
  <c r="O74" i="5"/>
  <c r="L74" i="5"/>
  <c r="I74" i="5"/>
  <c r="J75" i="5" s="1"/>
  <c r="O73" i="5"/>
  <c r="L73" i="5"/>
  <c r="I73" i="5"/>
  <c r="J74" i="5" s="1"/>
  <c r="O72" i="5"/>
  <c r="L72" i="5"/>
  <c r="I72" i="5"/>
  <c r="J73" i="5" s="1"/>
  <c r="O71" i="5"/>
  <c r="L71" i="5"/>
  <c r="I71" i="5"/>
  <c r="J72" i="5" s="1"/>
  <c r="O70" i="5"/>
  <c r="L70" i="5"/>
  <c r="I70" i="5"/>
  <c r="J71" i="5" s="1"/>
  <c r="O69" i="5"/>
  <c r="L69" i="5"/>
  <c r="I69" i="5"/>
  <c r="J70" i="5" s="1"/>
  <c r="O68" i="5"/>
  <c r="L68" i="5"/>
  <c r="I68" i="5"/>
  <c r="J69" i="5" s="1"/>
  <c r="O67" i="5"/>
  <c r="L67" i="5"/>
  <c r="I67" i="5"/>
  <c r="J68" i="5" s="1"/>
  <c r="O66" i="5"/>
  <c r="L66" i="5"/>
  <c r="I66" i="5"/>
  <c r="J67" i="5" s="1"/>
  <c r="O65" i="5"/>
  <c r="L65" i="5"/>
  <c r="I65" i="5"/>
  <c r="J66" i="5" s="1"/>
  <c r="O64" i="5"/>
  <c r="L64" i="5"/>
  <c r="I64" i="5"/>
  <c r="J65" i="5" s="1"/>
  <c r="O63" i="5"/>
  <c r="L63" i="5"/>
  <c r="I63" i="5"/>
  <c r="J64" i="5" s="1"/>
  <c r="O62" i="5"/>
  <c r="L62" i="5"/>
  <c r="I62" i="5"/>
  <c r="J63" i="5" s="1"/>
  <c r="O61" i="5"/>
  <c r="L61" i="5"/>
  <c r="I61" i="5"/>
  <c r="J62" i="5" s="1"/>
  <c r="O60" i="5"/>
  <c r="L60" i="5"/>
  <c r="I60" i="5"/>
  <c r="J61" i="5" s="1"/>
  <c r="O59" i="5"/>
  <c r="L59" i="5"/>
  <c r="I59" i="5"/>
  <c r="J60" i="5" s="1"/>
  <c r="O58" i="5"/>
  <c r="L58" i="5"/>
  <c r="I58" i="5"/>
  <c r="J59" i="5" s="1"/>
  <c r="O57" i="5"/>
  <c r="L57" i="5"/>
  <c r="I57" i="5"/>
  <c r="J58" i="5" s="1"/>
  <c r="O56" i="5"/>
  <c r="L56" i="5"/>
  <c r="I56" i="5"/>
  <c r="J57" i="5" s="1"/>
  <c r="O55" i="5"/>
  <c r="L55" i="5"/>
  <c r="I55" i="5"/>
  <c r="J56" i="5" s="1"/>
  <c r="O54" i="5"/>
  <c r="L54" i="5"/>
  <c r="I54" i="5"/>
  <c r="J55" i="5" s="1"/>
  <c r="O53" i="5"/>
  <c r="L53" i="5"/>
  <c r="I53" i="5"/>
  <c r="J54" i="5" s="1"/>
  <c r="O52" i="5"/>
  <c r="L52" i="5"/>
  <c r="I52" i="5"/>
  <c r="J53" i="5" s="1"/>
  <c r="O51" i="5"/>
  <c r="L51" i="5"/>
  <c r="I51" i="5"/>
  <c r="J52" i="5" s="1"/>
  <c r="O50" i="5"/>
  <c r="L50" i="5"/>
  <c r="I50" i="5"/>
  <c r="J51" i="5" s="1"/>
  <c r="O49" i="5"/>
  <c r="L49" i="5"/>
  <c r="I49" i="5"/>
  <c r="J50" i="5" s="1"/>
  <c r="O48" i="5"/>
  <c r="L48" i="5"/>
  <c r="I48" i="5"/>
  <c r="J49" i="5" s="1"/>
  <c r="O47" i="5"/>
  <c r="L47" i="5"/>
  <c r="I47" i="5"/>
  <c r="J48" i="5" s="1"/>
  <c r="O46" i="5"/>
  <c r="L46" i="5"/>
  <c r="I46" i="5"/>
  <c r="J47" i="5" s="1"/>
  <c r="O45" i="5"/>
  <c r="L45" i="5"/>
  <c r="I45" i="5"/>
  <c r="J46" i="5" s="1"/>
  <c r="O44" i="5"/>
  <c r="L44" i="5"/>
  <c r="I44" i="5"/>
  <c r="J45" i="5" s="1"/>
  <c r="O43" i="5"/>
  <c r="L43" i="5"/>
  <c r="I43" i="5"/>
  <c r="J44" i="5" s="1"/>
  <c r="O42" i="5"/>
  <c r="L42" i="5"/>
  <c r="I42" i="5"/>
  <c r="J43" i="5" s="1"/>
  <c r="O41" i="5"/>
  <c r="L41" i="5"/>
  <c r="I41" i="5"/>
  <c r="J42" i="5" s="1"/>
  <c r="O40" i="5"/>
  <c r="L40" i="5"/>
  <c r="I40" i="5"/>
  <c r="J41" i="5" s="1"/>
  <c r="O39" i="5"/>
  <c r="L39" i="5"/>
  <c r="I39" i="5"/>
  <c r="J40" i="5" s="1"/>
  <c r="O38" i="5"/>
  <c r="L38" i="5"/>
  <c r="I38" i="5"/>
  <c r="J39" i="5" s="1"/>
  <c r="O37" i="5"/>
  <c r="L37" i="5"/>
  <c r="I37" i="5"/>
  <c r="J38" i="5" s="1"/>
  <c r="O36" i="5"/>
  <c r="L36" i="5"/>
  <c r="I36" i="5"/>
  <c r="J37" i="5" s="1"/>
  <c r="O35" i="5"/>
  <c r="L35" i="5"/>
  <c r="I35" i="5"/>
  <c r="J36" i="5" s="1"/>
  <c r="O34" i="5"/>
  <c r="L34" i="5"/>
  <c r="I34" i="5"/>
  <c r="J35" i="5" s="1"/>
  <c r="O33" i="5"/>
  <c r="L33" i="5"/>
  <c r="I33" i="5"/>
  <c r="J34" i="5" s="1"/>
  <c r="O32" i="5"/>
  <c r="L32" i="5"/>
  <c r="I32" i="5"/>
  <c r="J33" i="5" s="1"/>
  <c r="O31" i="5"/>
  <c r="L31" i="5"/>
  <c r="I31" i="5"/>
  <c r="J32" i="5" s="1"/>
  <c r="O30" i="5"/>
  <c r="L30" i="5"/>
  <c r="I30" i="5"/>
  <c r="J31" i="5" s="1"/>
  <c r="O29" i="5"/>
  <c r="L29" i="5"/>
  <c r="I29" i="5"/>
  <c r="J30" i="5" s="1"/>
  <c r="O28" i="5"/>
  <c r="L28" i="5"/>
  <c r="I28" i="5"/>
  <c r="J29" i="5" s="1"/>
  <c r="O27" i="5"/>
  <c r="L27" i="5"/>
  <c r="I27" i="5"/>
  <c r="J28" i="5" s="1"/>
  <c r="O26" i="5"/>
  <c r="L26" i="5"/>
  <c r="I26" i="5"/>
  <c r="J27" i="5" s="1"/>
  <c r="O25" i="5"/>
  <c r="L25" i="5"/>
  <c r="I25" i="5"/>
  <c r="J26" i="5" s="1"/>
  <c r="O24" i="5"/>
  <c r="L24" i="5"/>
  <c r="I24" i="5"/>
  <c r="J25" i="5" s="1"/>
  <c r="O23" i="5"/>
  <c r="L23" i="5"/>
  <c r="I23" i="5"/>
  <c r="J24" i="5" s="1"/>
  <c r="O22" i="5"/>
  <c r="L22" i="5"/>
  <c r="I22" i="5"/>
  <c r="J23" i="5" s="1"/>
  <c r="O21" i="5"/>
  <c r="L21" i="5"/>
  <c r="I21" i="5"/>
  <c r="J22" i="5" s="1"/>
  <c r="O20" i="5"/>
  <c r="L20" i="5"/>
  <c r="I20" i="5"/>
  <c r="J21" i="5" s="1"/>
  <c r="O19" i="5"/>
  <c r="L19" i="5"/>
  <c r="I19" i="5"/>
  <c r="J20" i="5" s="1"/>
  <c r="O18" i="5"/>
  <c r="L18" i="5"/>
  <c r="I18" i="5"/>
  <c r="J19" i="5" s="1"/>
  <c r="O17" i="5"/>
  <c r="L17" i="5"/>
  <c r="I17" i="5"/>
  <c r="J18" i="5" s="1"/>
  <c r="O16" i="5"/>
  <c r="L16" i="5"/>
  <c r="I16" i="5"/>
  <c r="J17" i="5" s="1"/>
  <c r="O15" i="5"/>
  <c r="L15" i="5"/>
  <c r="I15" i="5"/>
  <c r="J16" i="5" s="1"/>
  <c r="O14" i="5"/>
  <c r="L14" i="5"/>
  <c r="I14" i="5"/>
  <c r="J15" i="5" s="1"/>
  <c r="O13" i="5"/>
  <c r="L13" i="5"/>
  <c r="I13" i="5"/>
  <c r="J14" i="5" s="1"/>
  <c r="O12" i="5"/>
  <c r="L12" i="5"/>
  <c r="I12" i="5"/>
  <c r="J13" i="5" s="1"/>
  <c r="O11" i="5"/>
  <c r="L11" i="5"/>
  <c r="I11" i="5"/>
  <c r="J12" i="5" s="1"/>
  <c r="O10" i="5"/>
  <c r="L10" i="5"/>
  <c r="I10" i="5"/>
  <c r="J11" i="5" s="1"/>
  <c r="O9" i="5"/>
  <c r="L9" i="5"/>
  <c r="I9" i="5"/>
  <c r="J10" i="5" s="1"/>
  <c r="O8" i="5"/>
  <c r="L8" i="5"/>
  <c r="I8" i="5"/>
  <c r="J9" i="5" s="1"/>
  <c r="O7" i="5"/>
  <c r="L7" i="5"/>
  <c r="I7" i="5"/>
  <c r="J8" i="5" s="1"/>
  <c r="O6" i="5"/>
  <c r="L6" i="5"/>
  <c r="I6" i="5"/>
  <c r="J7" i="5" s="1"/>
  <c r="W5" i="5"/>
  <c r="V5" i="5"/>
  <c r="U5" i="5"/>
  <c r="T5" i="5"/>
  <c r="S5" i="5"/>
  <c r="R5" i="5"/>
  <c r="Q5" i="5"/>
  <c r="P5" i="5"/>
  <c r="O5" i="5"/>
  <c r="N5" i="5"/>
  <c r="M5" i="5"/>
  <c r="L5" i="5"/>
  <c r="J5" i="5"/>
  <c r="I5" i="5"/>
  <c r="J6" i="5" s="1"/>
  <c r="O410" i="2"/>
  <c r="L410" i="2"/>
  <c r="J410" i="2"/>
  <c r="I410" i="2"/>
  <c r="O409" i="2"/>
  <c r="L409" i="2"/>
  <c r="I409" i="2"/>
  <c r="J409" i="2" s="1"/>
  <c r="O408" i="2"/>
  <c r="L408" i="2"/>
  <c r="I408" i="2"/>
  <c r="J408" i="2" s="1"/>
  <c r="O407" i="2"/>
  <c r="L407" i="2"/>
  <c r="I407" i="2"/>
  <c r="J407" i="2" s="1"/>
  <c r="O406" i="2"/>
  <c r="L406" i="2"/>
  <c r="I406" i="2"/>
  <c r="J406" i="2" s="1"/>
  <c r="O405" i="2"/>
  <c r="L405" i="2"/>
  <c r="I405" i="2"/>
  <c r="J405" i="2" s="1"/>
  <c r="O404" i="2"/>
  <c r="L404" i="2"/>
  <c r="I404" i="2"/>
  <c r="J404" i="2" s="1"/>
  <c r="O403" i="2"/>
  <c r="L403" i="2"/>
  <c r="I403" i="2"/>
  <c r="J403" i="2" s="1"/>
  <c r="O402" i="2"/>
  <c r="L402" i="2"/>
  <c r="I402" i="2"/>
  <c r="J402" i="2" s="1"/>
  <c r="O401" i="2"/>
  <c r="L401" i="2"/>
  <c r="I401" i="2"/>
  <c r="J401" i="2" s="1"/>
  <c r="O400" i="2"/>
  <c r="L400" i="2"/>
  <c r="I400" i="2"/>
  <c r="J400" i="2" s="1"/>
  <c r="O399" i="2"/>
  <c r="L399" i="2"/>
  <c r="I399" i="2"/>
  <c r="J399" i="2" s="1"/>
  <c r="O398" i="2"/>
  <c r="L398" i="2"/>
  <c r="I398" i="2"/>
  <c r="J398" i="2" s="1"/>
  <c r="O397" i="2"/>
  <c r="L397" i="2"/>
  <c r="I397" i="2"/>
  <c r="J397" i="2" s="1"/>
  <c r="O396" i="2"/>
  <c r="L396" i="2"/>
  <c r="I396" i="2"/>
  <c r="J396" i="2" s="1"/>
  <c r="O395" i="2"/>
  <c r="L395" i="2"/>
  <c r="I395" i="2"/>
  <c r="J395" i="2" s="1"/>
  <c r="O394" i="2"/>
  <c r="L394" i="2"/>
  <c r="I394" i="2"/>
  <c r="J394" i="2" s="1"/>
  <c r="O393" i="2"/>
  <c r="L393" i="2"/>
  <c r="I393" i="2"/>
  <c r="J393" i="2" s="1"/>
  <c r="O392" i="2"/>
  <c r="L392" i="2"/>
  <c r="I392" i="2"/>
  <c r="J392" i="2" s="1"/>
  <c r="O391" i="2"/>
  <c r="L391" i="2"/>
  <c r="I391" i="2"/>
  <c r="J391" i="2" s="1"/>
  <c r="O390" i="2"/>
  <c r="L390" i="2"/>
  <c r="I390" i="2"/>
  <c r="J390" i="2" s="1"/>
  <c r="O389" i="2"/>
  <c r="L389" i="2"/>
  <c r="I389" i="2"/>
  <c r="J389" i="2" s="1"/>
  <c r="O388" i="2"/>
  <c r="L388" i="2"/>
  <c r="I388" i="2"/>
  <c r="J388" i="2" s="1"/>
  <c r="O387" i="2"/>
  <c r="L387" i="2"/>
  <c r="I387" i="2"/>
  <c r="J387" i="2" s="1"/>
  <c r="O386" i="2"/>
  <c r="L386" i="2"/>
  <c r="I386" i="2"/>
  <c r="J386" i="2" s="1"/>
  <c r="O385" i="2"/>
  <c r="L385" i="2"/>
  <c r="I385" i="2"/>
  <c r="J385" i="2" s="1"/>
  <c r="O384" i="2"/>
  <c r="L384" i="2"/>
  <c r="I384" i="2"/>
  <c r="J384" i="2" s="1"/>
  <c r="O383" i="2"/>
  <c r="L383" i="2"/>
  <c r="I383" i="2"/>
  <c r="J383" i="2" s="1"/>
  <c r="O382" i="2"/>
  <c r="L382" i="2"/>
  <c r="I382" i="2"/>
  <c r="J382" i="2" s="1"/>
  <c r="O381" i="2"/>
  <c r="L381" i="2"/>
  <c r="I381" i="2"/>
  <c r="J381" i="2" s="1"/>
  <c r="O380" i="2"/>
  <c r="L380" i="2"/>
  <c r="I380" i="2"/>
  <c r="J380" i="2" s="1"/>
  <c r="O379" i="2"/>
  <c r="L379" i="2"/>
  <c r="I379" i="2"/>
  <c r="J379" i="2" s="1"/>
  <c r="O378" i="2"/>
  <c r="L378" i="2"/>
  <c r="I378" i="2"/>
  <c r="J378" i="2" s="1"/>
  <c r="O377" i="2"/>
  <c r="L377" i="2"/>
  <c r="I377" i="2"/>
  <c r="J377" i="2" s="1"/>
  <c r="O376" i="2"/>
  <c r="L376" i="2"/>
  <c r="I376" i="2"/>
  <c r="J376" i="2" s="1"/>
  <c r="O375" i="2"/>
  <c r="L375" i="2"/>
  <c r="I375" i="2"/>
  <c r="J375" i="2" s="1"/>
  <c r="O374" i="2"/>
  <c r="L374" i="2"/>
  <c r="I374" i="2"/>
  <c r="J374" i="2" s="1"/>
  <c r="O373" i="2"/>
  <c r="L373" i="2"/>
  <c r="I373" i="2"/>
  <c r="J373" i="2" s="1"/>
  <c r="O372" i="2"/>
  <c r="L372" i="2"/>
  <c r="I372" i="2"/>
  <c r="J372" i="2" s="1"/>
  <c r="O371" i="2"/>
  <c r="L371" i="2"/>
  <c r="I371" i="2"/>
  <c r="J371" i="2" s="1"/>
  <c r="O370" i="2"/>
  <c r="L370" i="2"/>
  <c r="I370" i="2"/>
  <c r="J370" i="2" s="1"/>
  <c r="O369" i="2"/>
  <c r="L369" i="2"/>
  <c r="I369" i="2"/>
  <c r="J369" i="2" s="1"/>
  <c r="O368" i="2"/>
  <c r="L368" i="2"/>
  <c r="I368" i="2"/>
  <c r="J368" i="2" s="1"/>
  <c r="O367" i="2"/>
  <c r="L367" i="2"/>
  <c r="I367" i="2"/>
  <c r="J367" i="2" s="1"/>
  <c r="O366" i="2"/>
  <c r="L366" i="2"/>
  <c r="I366" i="2"/>
  <c r="J366" i="2" s="1"/>
  <c r="O365" i="2"/>
  <c r="L365" i="2"/>
  <c r="I365" i="2"/>
  <c r="J365" i="2" s="1"/>
  <c r="O364" i="2"/>
  <c r="L364" i="2"/>
  <c r="I364" i="2"/>
  <c r="J364" i="2" s="1"/>
  <c r="O363" i="2"/>
  <c r="L363" i="2"/>
  <c r="I363" i="2"/>
  <c r="J363" i="2" s="1"/>
  <c r="O362" i="2"/>
  <c r="L362" i="2"/>
  <c r="I362" i="2"/>
  <c r="J362" i="2" s="1"/>
  <c r="O361" i="2"/>
  <c r="L361" i="2"/>
  <c r="I361" i="2"/>
  <c r="J361" i="2" s="1"/>
  <c r="O360" i="2"/>
  <c r="L360" i="2"/>
  <c r="I360" i="2"/>
  <c r="J360" i="2" s="1"/>
  <c r="O359" i="2"/>
  <c r="L359" i="2"/>
  <c r="I359" i="2"/>
  <c r="J359" i="2" s="1"/>
  <c r="O358" i="2"/>
  <c r="L358" i="2"/>
  <c r="I358" i="2"/>
  <c r="J358" i="2" s="1"/>
  <c r="O357" i="2"/>
  <c r="L357" i="2"/>
  <c r="I357" i="2"/>
  <c r="J357" i="2" s="1"/>
  <c r="O356" i="2"/>
  <c r="L356" i="2"/>
  <c r="I356" i="2"/>
  <c r="J356" i="2" s="1"/>
  <c r="O355" i="2"/>
  <c r="L355" i="2"/>
  <c r="I355" i="2"/>
  <c r="J355" i="2" s="1"/>
  <c r="O354" i="2"/>
  <c r="L354" i="2"/>
  <c r="I354" i="2"/>
  <c r="J354" i="2" s="1"/>
  <c r="O353" i="2"/>
  <c r="L353" i="2"/>
  <c r="I353" i="2"/>
  <c r="J353" i="2" s="1"/>
  <c r="O352" i="2"/>
  <c r="L352" i="2"/>
  <c r="I352" i="2"/>
  <c r="J352" i="2" s="1"/>
  <c r="O351" i="2"/>
  <c r="L351" i="2"/>
  <c r="I351" i="2"/>
  <c r="J351" i="2" s="1"/>
  <c r="O350" i="2"/>
  <c r="L350" i="2"/>
  <c r="I350" i="2"/>
  <c r="J350" i="2" s="1"/>
  <c r="O349" i="2"/>
  <c r="L349" i="2"/>
  <c r="I349" i="2"/>
  <c r="J349" i="2" s="1"/>
  <c r="O348" i="2"/>
  <c r="L348" i="2"/>
  <c r="I348" i="2"/>
  <c r="J348" i="2" s="1"/>
  <c r="O347" i="2"/>
  <c r="L347" i="2"/>
  <c r="I347" i="2"/>
  <c r="J347" i="2" s="1"/>
  <c r="O346" i="2"/>
  <c r="L346" i="2"/>
  <c r="I346" i="2"/>
  <c r="J346" i="2" s="1"/>
  <c r="O345" i="2"/>
  <c r="L345" i="2"/>
  <c r="I345" i="2"/>
  <c r="J345" i="2" s="1"/>
  <c r="O344" i="2"/>
  <c r="L344" i="2"/>
  <c r="I344" i="2"/>
  <c r="J344" i="2" s="1"/>
  <c r="O343" i="2"/>
  <c r="L343" i="2"/>
  <c r="I343" i="2"/>
  <c r="J343" i="2" s="1"/>
  <c r="O342" i="2"/>
  <c r="L342" i="2"/>
  <c r="I342" i="2"/>
  <c r="J342" i="2" s="1"/>
  <c r="O341" i="2"/>
  <c r="L341" i="2"/>
  <c r="I341" i="2"/>
  <c r="J341" i="2" s="1"/>
  <c r="O340" i="2"/>
  <c r="L340" i="2"/>
  <c r="I340" i="2"/>
  <c r="J340" i="2" s="1"/>
  <c r="O339" i="2"/>
  <c r="L339" i="2"/>
  <c r="I339" i="2"/>
  <c r="J339" i="2" s="1"/>
  <c r="O338" i="2"/>
  <c r="L338" i="2"/>
  <c r="I338" i="2"/>
  <c r="J338" i="2" s="1"/>
  <c r="O337" i="2"/>
  <c r="L337" i="2"/>
  <c r="I337" i="2"/>
  <c r="J337" i="2" s="1"/>
  <c r="O336" i="2"/>
  <c r="L336" i="2"/>
  <c r="I336" i="2"/>
  <c r="J336" i="2" s="1"/>
  <c r="O335" i="2"/>
  <c r="L335" i="2"/>
  <c r="I335" i="2"/>
  <c r="J335" i="2" s="1"/>
  <c r="O334" i="2"/>
  <c r="L334" i="2"/>
  <c r="I334" i="2"/>
  <c r="J334" i="2" s="1"/>
  <c r="O333" i="2"/>
  <c r="L333" i="2"/>
  <c r="I333" i="2"/>
  <c r="J333" i="2" s="1"/>
  <c r="O332" i="2"/>
  <c r="L332" i="2"/>
  <c r="I332" i="2"/>
  <c r="J332" i="2" s="1"/>
  <c r="O331" i="2"/>
  <c r="L331" i="2"/>
  <c r="I331" i="2"/>
  <c r="J331" i="2" s="1"/>
  <c r="O330" i="2"/>
  <c r="L330" i="2"/>
  <c r="I330" i="2"/>
  <c r="J330" i="2" s="1"/>
  <c r="O329" i="2"/>
  <c r="L329" i="2"/>
  <c r="I329" i="2"/>
  <c r="J329" i="2" s="1"/>
  <c r="O328" i="2"/>
  <c r="L328" i="2"/>
  <c r="I328" i="2"/>
  <c r="J328" i="2" s="1"/>
  <c r="O327" i="2"/>
  <c r="L327" i="2"/>
  <c r="I327" i="2"/>
  <c r="J327" i="2" s="1"/>
  <c r="O326" i="2"/>
  <c r="L326" i="2"/>
  <c r="I326" i="2"/>
  <c r="J326" i="2" s="1"/>
  <c r="O325" i="2"/>
  <c r="L325" i="2"/>
  <c r="I325" i="2"/>
  <c r="J325" i="2" s="1"/>
  <c r="O324" i="2"/>
  <c r="L324" i="2"/>
  <c r="I324" i="2"/>
  <c r="J324" i="2" s="1"/>
  <c r="O323" i="2"/>
  <c r="L323" i="2"/>
  <c r="I323" i="2"/>
  <c r="J323" i="2" s="1"/>
  <c r="O322" i="2"/>
  <c r="L322" i="2"/>
  <c r="I322" i="2"/>
  <c r="J322" i="2" s="1"/>
  <c r="O321" i="2"/>
  <c r="L321" i="2"/>
  <c r="I321" i="2"/>
  <c r="J321" i="2" s="1"/>
  <c r="O320" i="2"/>
  <c r="L320" i="2"/>
  <c r="I320" i="2"/>
  <c r="J320" i="2" s="1"/>
  <c r="O319" i="2"/>
  <c r="L319" i="2"/>
  <c r="I319" i="2"/>
  <c r="J319" i="2" s="1"/>
  <c r="O318" i="2"/>
  <c r="L318" i="2"/>
  <c r="I318" i="2"/>
  <c r="J318" i="2" s="1"/>
  <c r="O317" i="2"/>
  <c r="L317" i="2"/>
  <c r="I317" i="2"/>
  <c r="J317" i="2" s="1"/>
  <c r="O316" i="2"/>
  <c r="L316" i="2"/>
  <c r="I316" i="2"/>
  <c r="J316" i="2" s="1"/>
  <c r="O315" i="2"/>
  <c r="L315" i="2"/>
  <c r="I315" i="2"/>
  <c r="J315" i="2" s="1"/>
  <c r="O314" i="2"/>
  <c r="L314" i="2"/>
  <c r="I314" i="2"/>
  <c r="J314" i="2" s="1"/>
  <c r="O313" i="2"/>
  <c r="L313" i="2"/>
  <c r="I313" i="2"/>
  <c r="J313" i="2" s="1"/>
  <c r="O312" i="2"/>
  <c r="L312" i="2"/>
  <c r="I312" i="2"/>
  <c r="J312" i="2" s="1"/>
  <c r="O311" i="2"/>
  <c r="L311" i="2"/>
  <c r="I311" i="2"/>
  <c r="J311" i="2" s="1"/>
  <c r="O310" i="2"/>
  <c r="L310" i="2"/>
  <c r="I310" i="2"/>
  <c r="J310" i="2" s="1"/>
  <c r="O309" i="2"/>
  <c r="L309" i="2"/>
  <c r="I309" i="2"/>
  <c r="J309" i="2" s="1"/>
  <c r="O308" i="2"/>
  <c r="L308" i="2"/>
  <c r="I308" i="2"/>
  <c r="J308" i="2" s="1"/>
  <c r="O307" i="2"/>
  <c r="L307" i="2"/>
  <c r="I307" i="2"/>
  <c r="J307" i="2" s="1"/>
  <c r="O306" i="2"/>
  <c r="L306" i="2"/>
  <c r="I306" i="2"/>
  <c r="J306" i="2" s="1"/>
  <c r="O305" i="2"/>
  <c r="L305" i="2"/>
  <c r="I305" i="2"/>
  <c r="J305" i="2" s="1"/>
  <c r="O304" i="2"/>
  <c r="L304" i="2"/>
  <c r="I304" i="2"/>
  <c r="J304" i="2" s="1"/>
  <c r="O303" i="2"/>
  <c r="L303" i="2"/>
  <c r="I303" i="2"/>
  <c r="J303" i="2" s="1"/>
  <c r="O302" i="2"/>
  <c r="L302" i="2"/>
  <c r="I302" i="2"/>
  <c r="J302" i="2" s="1"/>
  <c r="O301" i="2"/>
  <c r="L301" i="2"/>
  <c r="I301" i="2"/>
  <c r="J301" i="2" s="1"/>
  <c r="O300" i="2"/>
  <c r="L300" i="2"/>
  <c r="I300" i="2"/>
  <c r="J300" i="2" s="1"/>
  <c r="O299" i="2"/>
  <c r="L299" i="2"/>
  <c r="I299" i="2"/>
  <c r="J299" i="2" s="1"/>
  <c r="O298" i="2"/>
  <c r="L298" i="2"/>
  <c r="I298" i="2"/>
  <c r="J298" i="2" s="1"/>
  <c r="O297" i="2"/>
  <c r="L297" i="2"/>
  <c r="I297" i="2"/>
  <c r="J297" i="2" s="1"/>
  <c r="O296" i="2"/>
  <c r="L296" i="2"/>
  <c r="I296" i="2"/>
  <c r="J296" i="2" s="1"/>
  <c r="O295" i="2"/>
  <c r="L295" i="2"/>
  <c r="I295" i="2"/>
  <c r="J295" i="2" s="1"/>
  <c r="O294" i="2"/>
  <c r="N294" i="2"/>
  <c r="M294" i="2"/>
  <c r="L294" i="2"/>
  <c r="I294" i="2"/>
  <c r="J294" i="2" s="1"/>
  <c r="O293" i="2"/>
  <c r="L293" i="2"/>
  <c r="I293" i="2"/>
  <c r="J293" i="2" s="1"/>
  <c r="O292" i="2"/>
  <c r="L292" i="2"/>
  <c r="I292" i="2"/>
  <c r="J292" i="2" s="1"/>
  <c r="O291" i="2"/>
  <c r="L291" i="2"/>
  <c r="I291" i="2"/>
  <c r="J291" i="2" s="1"/>
  <c r="O290" i="2"/>
  <c r="L290" i="2"/>
  <c r="I290" i="2"/>
  <c r="J290" i="2" s="1"/>
  <c r="O289" i="2"/>
  <c r="L289" i="2"/>
  <c r="I289" i="2"/>
  <c r="J289" i="2" s="1"/>
  <c r="O288" i="2"/>
  <c r="L288" i="2"/>
  <c r="I288" i="2"/>
  <c r="J288" i="2" s="1"/>
  <c r="O287" i="2"/>
  <c r="L287" i="2"/>
  <c r="I287" i="2"/>
  <c r="J287" i="2" s="1"/>
  <c r="O286" i="2"/>
  <c r="L286" i="2"/>
  <c r="I286" i="2"/>
  <c r="J286" i="2" s="1"/>
  <c r="O285" i="2"/>
  <c r="L285" i="2"/>
  <c r="I285" i="2"/>
  <c r="J285" i="2" s="1"/>
  <c r="O284" i="2"/>
  <c r="L284" i="2"/>
  <c r="I284" i="2"/>
  <c r="J284" i="2" s="1"/>
  <c r="O283" i="2"/>
  <c r="L283" i="2"/>
  <c r="I283" i="2"/>
  <c r="J283" i="2" s="1"/>
  <c r="O282" i="2"/>
  <c r="L282" i="2"/>
  <c r="I282" i="2"/>
  <c r="J282" i="2" s="1"/>
  <c r="O281" i="2"/>
  <c r="L281" i="2"/>
  <c r="I281" i="2"/>
  <c r="J281" i="2" s="1"/>
  <c r="O280" i="2"/>
  <c r="L280" i="2"/>
  <c r="I280" i="2"/>
  <c r="J280" i="2" s="1"/>
  <c r="O279" i="2"/>
  <c r="L279" i="2"/>
  <c r="I279" i="2"/>
  <c r="J279" i="2" s="1"/>
  <c r="O278" i="2"/>
  <c r="L278" i="2"/>
  <c r="I278" i="2"/>
  <c r="J278" i="2" s="1"/>
  <c r="O277" i="2"/>
  <c r="L277" i="2"/>
  <c r="I277" i="2"/>
  <c r="J277" i="2" s="1"/>
  <c r="O276" i="2"/>
  <c r="L276" i="2"/>
  <c r="I276" i="2"/>
  <c r="J276" i="2" s="1"/>
  <c r="O275" i="2"/>
  <c r="L275" i="2"/>
  <c r="I275" i="2"/>
  <c r="J275" i="2" s="1"/>
  <c r="O274" i="2"/>
  <c r="L274" i="2"/>
  <c r="I274" i="2"/>
  <c r="J274" i="2" s="1"/>
  <c r="O273" i="2"/>
  <c r="L273" i="2"/>
  <c r="I273" i="2"/>
  <c r="J273" i="2" s="1"/>
  <c r="O272" i="2"/>
  <c r="L272" i="2"/>
  <c r="I272" i="2"/>
  <c r="J272" i="2" s="1"/>
  <c r="O271" i="2"/>
  <c r="L271" i="2"/>
  <c r="I271" i="2"/>
  <c r="J271" i="2" s="1"/>
  <c r="O270" i="2"/>
  <c r="L270" i="2"/>
  <c r="I270" i="2"/>
  <c r="J270" i="2" s="1"/>
  <c r="O269" i="2"/>
  <c r="L269" i="2"/>
  <c r="I269" i="2"/>
  <c r="J269" i="2" s="1"/>
  <c r="O268" i="2"/>
  <c r="L268" i="2"/>
  <c r="I268" i="2"/>
  <c r="J268" i="2" s="1"/>
  <c r="O267" i="2"/>
  <c r="L267" i="2"/>
  <c r="I267" i="2"/>
  <c r="J267" i="2" s="1"/>
  <c r="O266" i="2"/>
  <c r="L266" i="2"/>
  <c r="I266" i="2"/>
  <c r="J266" i="2" s="1"/>
  <c r="O265" i="2"/>
  <c r="L265" i="2"/>
  <c r="I265" i="2"/>
  <c r="J265" i="2" s="1"/>
  <c r="O264" i="2"/>
  <c r="L264" i="2"/>
  <c r="I264" i="2"/>
  <c r="J264" i="2" s="1"/>
  <c r="O263" i="2"/>
  <c r="L263" i="2"/>
  <c r="I263" i="2"/>
  <c r="J263" i="2" s="1"/>
  <c r="O262" i="2"/>
  <c r="L262" i="2"/>
  <c r="I262" i="2"/>
  <c r="J262" i="2" s="1"/>
  <c r="O261" i="2"/>
  <c r="L261" i="2"/>
  <c r="I261" i="2"/>
  <c r="J261" i="2" s="1"/>
  <c r="O260" i="2"/>
  <c r="L260" i="2"/>
  <c r="I260" i="2"/>
  <c r="J260" i="2" s="1"/>
  <c r="O259" i="2"/>
  <c r="L259" i="2"/>
  <c r="I259" i="2"/>
  <c r="J259" i="2" s="1"/>
  <c r="O258" i="2"/>
  <c r="L258" i="2"/>
  <c r="I258" i="2"/>
  <c r="J258" i="2" s="1"/>
  <c r="O257" i="2"/>
  <c r="L257" i="2"/>
  <c r="I257" i="2"/>
  <c r="J257" i="2" s="1"/>
  <c r="O256" i="2"/>
  <c r="L256" i="2"/>
  <c r="I256" i="2"/>
  <c r="J256" i="2" s="1"/>
  <c r="O255" i="2"/>
  <c r="L255" i="2"/>
  <c r="I255" i="2"/>
  <c r="J255" i="2" s="1"/>
  <c r="O254" i="2"/>
  <c r="L254" i="2"/>
  <c r="I254" i="2"/>
  <c r="J254" i="2" s="1"/>
  <c r="O253" i="2"/>
  <c r="L253" i="2"/>
  <c r="I253" i="2"/>
  <c r="J253" i="2" s="1"/>
  <c r="O252" i="2"/>
  <c r="L252" i="2"/>
  <c r="I252" i="2"/>
  <c r="J252" i="2" s="1"/>
  <c r="O251" i="2"/>
  <c r="L251" i="2"/>
  <c r="I251" i="2"/>
  <c r="J251" i="2" s="1"/>
  <c r="O250" i="2"/>
  <c r="L250" i="2"/>
  <c r="I250" i="2"/>
  <c r="J250" i="2" s="1"/>
  <c r="O249" i="2"/>
  <c r="L249" i="2"/>
  <c r="I249" i="2"/>
  <c r="J249" i="2" s="1"/>
  <c r="O248" i="2"/>
  <c r="L248" i="2"/>
  <c r="I248" i="2"/>
  <c r="J248" i="2" s="1"/>
  <c r="O247" i="2"/>
  <c r="L247" i="2"/>
  <c r="I247" i="2"/>
  <c r="J247" i="2" s="1"/>
  <c r="O246" i="2"/>
  <c r="L246" i="2"/>
  <c r="I246" i="2"/>
  <c r="J246" i="2" s="1"/>
  <c r="O245" i="2"/>
  <c r="L245" i="2"/>
  <c r="I245" i="2"/>
  <c r="J245" i="2" s="1"/>
  <c r="O244" i="2"/>
  <c r="L244" i="2"/>
  <c r="I244" i="2"/>
  <c r="J244" i="2" s="1"/>
  <c r="O243" i="2"/>
  <c r="L243" i="2"/>
  <c r="I243" i="2"/>
  <c r="J243" i="2" s="1"/>
  <c r="O242" i="2"/>
  <c r="L242" i="2"/>
  <c r="I242" i="2"/>
  <c r="J242" i="2" s="1"/>
  <c r="O241" i="2"/>
  <c r="L241" i="2"/>
  <c r="I241" i="2"/>
  <c r="J241" i="2" s="1"/>
  <c r="O240" i="2"/>
  <c r="L240" i="2"/>
  <c r="I240" i="2"/>
  <c r="J240" i="2" s="1"/>
  <c r="O239" i="2"/>
  <c r="L239" i="2"/>
  <c r="I239" i="2"/>
  <c r="J239" i="2" s="1"/>
  <c r="O238" i="2"/>
  <c r="L238" i="2"/>
  <c r="I238" i="2"/>
  <c r="J238" i="2" s="1"/>
  <c r="O237" i="2"/>
  <c r="L237" i="2"/>
  <c r="I237" i="2"/>
  <c r="J237" i="2" s="1"/>
  <c r="O236" i="2"/>
  <c r="L236" i="2"/>
  <c r="I236" i="2"/>
  <c r="J236" i="2" s="1"/>
  <c r="O235" i="2"/>
  <c r="L235" i="2"/>
  <c r="I235" i="2"/>
  <c r="J235" i="2" s="1"/>
  <c r="O234" i="2"/>
  <c r="L234" i="2"/>
  <c r="I234" i="2"/>
  <c r="J234" i="2" s="1"/>
  <c r="O233" i="2"/>
  <c r="L233" i="2"/>
  <c r="I233" i="2"/>
  <c r="J233" i="2" s="1"/>
  <c r="O232" i="2"/>
  <c r="L232" i="2"/>
  <c r="I232" i="2"/>
  <c r="J232" i="2" s="1"/>
  <c r="O231" i="2"/>
  <c r="L231" i="2"/>
  <c r="I231" i="2"/>
  <c r="J231" i="2" s="1"/>
  <c r="O230" i="2"/>
  <c r="L230" i="2"/>
  <c r="I230" i="2"/>
  <c r="J230" i="2" s="1"/>
  <c r="O229" i="2"/>
  <c r="L229" i="2"/>
  <c r="I229" i="2"/>
  <c r="J229" i="2" s="1"/>
  <c r="O228" i="2"/>
  <c r="L228" i="2"/>
  <c r="I228" i="2"/>
  <c r="J228" i="2" s="1"/>
  <c r="O227" i="2"/>
  <c r="L227" i="2"/>
  <c r="I227" i="2"/>
  <c r="J227" i="2" s="1"/>
  <c r="O226" i="2"/>
  <c r="L226" i="2"/>
  <c r="I226" i="2"/>
  <c r="J226" i="2" s="1"/>
  <c r="O225" i="2"/>
  <c r="L225" i="2"/>
  <c r="I225" i="2"/>
  <c r="J225" i="2" s="1"/>
  <c r="O224" i="2"/>
  <c r="L224" i="2"/>
  <c r="I224" i="2"/>
  <c r="J224" i="2" s="1"/>
  <c r="O223" i="2"/>
  <c r="L223" i="2"/>
  <c r="I223" i="2"/>
  <c r="J223" i="2" s="1"/>
  <c r="O222" i="2"/>
  <c r="L222" i="2"/>
  <c r="I222" i="2"/>
  <c r="J222" i="2" s="1"/>
  <c r="O221" i="2"/>
  <c r="L221" i="2"/>
  <c r="I221" i="2"/>
  <c r="J221" i="2" s="1"/>
  <c r="O220" i="2"/>
  <c r="L220" i="2"/>
  <c r="I220" i="2"/>
  <c r="J220" i="2" s="1"/>
  <c r="O219" i="2"/>
  <c r="L219" i="2"/>
  <c r="I219" i="2"/>
  <c r="J219" i="2" s="1"/>
  <c r="O218" i="2"/>
  <c r="L218" i="2"/>
  <c r="I218" i="2"/>
  <c r="J218" i="2" s="1"/>
  <c r="O217" i="2"/>
  <c r="L217" i="2"/>
  <c r="I217" i="2"/>
  <c r="J217" i="2" s="1"/>
  <c r="O216" i="2"/>
  <c r="L216" i="2"/>
  <c r="I216" i="2"/>
  <c r="J216" i="2" s="1"/>
  <c r="O215" i="2"/>
  <c r="L215" i="2"/>
  <c r="I215" i="2"/>
  <c r="J215" i="2" s="1"/>
  <c r="O214" i="2"/>
  <c r="L214" i="2"/>
  <c r="I214" i="2"/>
  <c r="J214" i="2" s="1"/>
  <c r="O213" i="2"/>
  <c r="L213" i="2"/>
  <c r="I213" i="2"/>
  <c r="J213" i="2" s="1"/>
  <c r="O212" i="2"/>
  <c r="L212" i="2"/>
  <c r="I212" i="2"/>
  <c r="J212" i="2" s="1"/>
  <c r="O211" i="2"/>
  <c r="L211" i="2"/>
  <c r="I211" i="2"/>
  <c r="J211" i="2" s="1"/>
  <c r="O210" i="2"/>
  <c r="L210" i="2"/>
  <c r="I210" i="2"/>
  <c r="J210" i="2" s="1"/>
  <c r="O209" i="2"/>
  <c r="L209" i="2"/>
  <c r="I209" i="2"/>
  <c r="J209" i="2" s="1"/>
  <c r="O208" i="2"/>
  <c r="L208" i="2"/>
  <c r="I208" i="2"/>
  <c r="J208" i="2" s="1"/>
  <c r="O207" i="2"/>
  <c r="L207" i="2"/>
  <c r="I207" i="2"/>
  <c r="J207" i="2" s="1"/>
  <c r="O206" i="2"/>
  <c r="L206" i="2"/>
  <c r="I206" i="2"/>
  <c r="J206" i="2" s="1"/>
  <c r="O205" i="2"/>
  <c r="L205" i="2"/>
  <c r="I205" i="2"/>
  <c r="J205" i="2" s="1"/>
  <c r="O204" i="2"/>
  <c r="L204" i="2"/>
  <c r="I204" i="2"/>
  <c r="J204" i="2" s="1"/>
  <c r="O203" i="2"/>
  <c r="L203" i="2"/>
  <c r="I203" i="2"/>
  <c r="J203" i="2" s="1"/>
  <c r="O202" i="2"/>
  <c r="L202" i="2"/>
  <c r="I202" i="2"/>
  <c r="J202" i="2" s="1"/>
  <c r="O201" i="2"/>
  <c r="L201" i="2"/>
  <c r="I201" i="2"/>
  <c r="J201" i="2" s="1"/>
  <c r="O200" i="2"/>
  <c r="L200" i="2"/>
  <c r="I200" i="2"/>
  <c r="J200" i="2" s="1"/>
  <c r="O199" i="2"/>
  <c r="L199" i="2"/>
  <c r="I199" i="2"/>
  <c r="J199" i="2" s="1"/>
  <c r="O198" i="2"/>
  <c r="L198" i="2"/>
  <c r="I198" i="2"/>
  <c r="J198" i="2" s="1"/>
  <c r="O197" i="2"/>
  <c r="L197" i="2"/>
  <c r="I197" i="2"/>
  <c r="J197" i="2" s="1"/>
  <c r="O196" i="2"/>
  <c r="L196" i="2"/>
  <c r="I196" i="2"/>
  <c r="J196" i="2" s="1"/>
  <c r="O195" i="2"/>
  <c r="L195" i="2"/>
  <c r="I195" i="2"/>
  <c r="J195" i="2" s="1"/>
  <c r="O194" i="2"/>
  <c r="L194" i="2"/>
  <c r="I194" i="2"/>
  <c r="J194" i="2" s="1"/>
  <c r="O193" i="2"/>
  <c r="L193" i="2"/>
  <c r="I193" i="2"/>
  <c r="J193" i="2" s="1"/>
  <c r="O192" i="2"/>
  <c r="L192" i="2"/>
  <c r="I192" i="2"/>
  <c r="J192" i="2" s="1"/>
  <c r="O191" i="2"/>
  <c r="L191" i="2"/>
  <c r="I191" i="2"/>
  <c r="J191" i="2" s="1"/>
  <c r="O190" i="2"/>
  <c r="L190" i="2"/>
  <c r="I190" i="2"/>
  <c r="J190" i="2" s="1"/>
  <c r="O189" i="2"/>
  <c r="L189" i="2"/>
  <c r="I189" i="2"/>
  <c r="J189" i="2" s="1"/>
  <c r="O188" i="2"/>
  <c r="L188" i="2"/>
  <c r="I188" i="2"/>
  <c r="J188" i="2" s="1"/>
  <c r="O187" i="2"/>
  <c r="L187" i="2"/>
  <c r="I187" i="2"/>
  <c r="J187" i="2" s="1"/>
  <c r="O186" i="2"/>
  <c r="L186" i="2"/>
  <c r="I186" i="2"/>
  <c r="J186" i="2" s="1"/>
  <c r="O185" i="2"/>
  <c r="L185" i="2"/>
  <c r="I185" i="2"/>
  <c r="J185" i="2" s="1"/>
  <c r="O184" i="2"/>
  <c r="L184" i="2"/>
  <c r="I184" i="2"/>
  <c r="J184" i="2" s="1"/>
  <c r="O183" i="2"/>
  <c r="L183" i="2"/>
  <c r="I183" i="2"/>
  <c r="J183" i="2" s="1"/>
  <c r="O182" i="2"/>
  <c r="L182" i="2"/>
  <c r="I182" i="2"/>
  <c r="J182" i="2" s="1"/>
  <c r="O181" i="2"/>
  <c r="L181" i="2"/>
  <c r="I181" i="2"/>
  <c r="J181" i="2" s="1"/>
  <c r="O180" i="2"/>
  <c r="L180" i="2"/>
  <c r="I180" i="2"/>
  <c r="J180" i="2" s="1"/>
  <c r="O179" i="2"/>
  <c r="L179" i="2"/>
  <c r="I179" i="2"/>
  <c r="J179" i="2" s="1"/>
  <c r="O178" i="2"/>
  <c r="L178" i="2"/>
  <c r="I178" i="2"/>
  <c r="J178" i="2" s="1"/>
  <c r="O177" i="2"/>
  <c r="L177" i="2"/>
  <c r="I177" i="2"/>
  <c r="J177" i="2" s="1"/>
  <c r="O176" i="2"/>
  <c r="L176" i="2"/>
  <c r="I176" i="2"/>
  <c r="J176" i="2" s="1"/>
  <c r="O175" i="2"/>
  <c r="L175" i="2"/>
  <c r="I175" i="2"/>
  <c r="J175" i="2" s="1"/>
  <c r="O174" i="2"/>
  <c r="L174" i="2"/>
  <c r="I174" i="2"/>
  <c r="J174" i="2" s="1"/>
  <c r="O173" i="2"/>
  <c r="L173" i="2"/>
  <c r="I173" i="2"/>
  <c r="J173" i="2" s="1"/>
  <c r="O172" i="2"/>
  <c r="L172" i="2"/>
  <c r="I172" i="2"/>
  <c r="J172" i="2" s="1"/>
  <c r="O171" i="2"/>
  <c r="L171" i="2"/>
  <c r="I171" i="2"/>
  <c r="J171" i="2" s="1"/>
  <c r="O170" i="2"/>
  <c r="L170" i="2"/>
  <c r="I170" i="2"/>
  <c r="J170" i="2" s="1"/>
  <c r="O169" i="2"/>
  <c r="L169" i="2"/>
  <c r="I169" i="2"/>
  <c r="J169" i="2" s="1"/>
  <c r="O168" i="2"/>
  <c r="L168" i="2"/>
  <c r="I168" i="2"/>
  <c r="J168" i="2" s="1"/>
  <c r="O167" i="2"/>
  <c r="L167" i="2"/>
  <c r="I167" i="2"/>
  <c r="J167" i="2" s="1"/>
  <c r="O166" i="2"/>
  <c r="L166" i="2"/>
  <c r="I166" i="2"/>
  <c r="J166" i="2" s="1"/>
  <c r="O165" i="2"/>
  <c r="L165" i="2"/>
  <c r="I165" i="2"/>
  <c r="J165" i="2" s="1"/>
  <c r="O164" i="2"/>
  <c r="L164" i="2"/>
  <c r="I164" i="2"/>
  <c r="J164" i="2" s="1"/>
  <c r="O163" i="2"/>
  <c r="L163" i="2"/>
  <c r="I163" i="2"/>
  <c r="J163" i="2" s="1"/>
  <c r="O162" i="2"/>
  <c r="L162" i="2"/>
  <c r="I162" i="2"/>
  <c r="J162" i="2" s="1"/>
  <c r="O161" i="2"/>
  <c r="L161" i="2"/>
  <c r="I161" i="2"/>
  <c r="J161" i="2" s="1"/>
  <c r="O160" i="2"/>
  <c r="L160" i="2"/>
  <c r="I160" i="2"/>
  <c r="J160" i="2" s="1"/>
  <c r="O159" i="2"/>
  <c r="L159" i="2"/>
  <c r="I159" i="2"/>
  <c r="J159" i="2" s="1"/>
  <c r="O158" i="2"/>
  <c r="L158" i="2"/>
  <c r="I158" i="2"/>
  <c r="J158" i="2" s="1"/>
  <c r="O157" i="2"/>
  <c r="L157" i="2"/>
  <c r="I157" i="2"/>
  <c r="J157" i="2" s="1"/>
  <c r="O156" i="2"/>
  <c r="L156" i="2"/>
  <c r="I156" i="2"/>
  <c r="J156" i="2" s="1"/>
  <c r="O155" i="2"/>
  <c r="L155" i="2"/>
  <c r="I155" i="2"/>
  <c r="J155" i="2" s="1"/>
  <c r="O154" i="2"/>
  <c r="L154" i="2"/>
  <c r="I154" i="2"/>
  <c r="J154" i="2" s="1"/>
  <c r="O153" i="2"/>
  <c r="L153" i="2"/>
  <c r="I153" i="2"/>
  <c r="J153" i="2" s="1"/>
  <c r="O152" i="2"/>
  <c r="L152" i="2"/>
  <c r="I152" i="2"/>
  <c r="J152" i="2" s="1"/>
  <c r="O151" i="2"/>
  <c r="L151" i="2"/>
  <c r="I151" i="2"/>
  <c r="J151" i="2" s="1"/>
  <c r="O150" i="2"/>
  <c r="L150" i="2"/>
  <c r="I150" i="2"/>
  <c r="J150" i="2" s="1"/>
  <c r="O149" i="2"/>
  <c r="L149" i="2"/>
  <c r="I149" i="2"/>
  <c r="J149" i="2" s="1"/>
  <c r="O148" i="2"/>
  <c r="L148" i="2"/>
  <c r="I148" i="2"/>
  <c r="J148" i="2" s="1"/>
  <c r="O147" i="2"/>
  <c r="L147" i="2"/>
  <c r="I147" i="2"/>
  <c r="J147" i="2" s="1"/>
  <c r="O146" i="2"/>
  <c r="L146" i="2"/>
  <c r="I146" i="2"/>
  <c r="J146" i="2" s="1"/>
  <c r="O145" i="2"/>
  <c r="L145" i="2"/>
  <c r="I145" i="2"/>
  <c r="J145" i="2" s="1"/>
  <c r="O144" i="2"/>
  <c r="L144" i="2"/>
  <c r="I144" i="2"/>
  <c r="J144" i="2" s="1"/>
  <c r="O143" i="2"/>
  <c r="L143" i="2"/>
  <c r="I143" i="2"/>
  <c r="J143" i="2" s="1"/>
  <c r="O142" i="2"/>
  <c r="L142" i="2"/>
  <c r="I142" i="2"/>
  <c r="J142" i="2" s="1"/>
  <c r="O141" i="2"/>
  <c r="L141" i="2"/>
  <c r="I141" i="2"/>
  <c r="J141" i="2" s="1"/>
  <c r="O140" i="2"/>
  <c r="L140" i="2"/>
  <c r="I140" i="2"/>
  <c r="J140" i="2" s="1"/>
  <c r="O139" i="2"/>
  <c r="L139" i="2"/>
  <c r="I139" i="2"/>
  <c r="J139" i="2" s="1"/>
  <c r="O138" i="2"/>
  <c r="L138" i="2"/>
  <c r="I138" i="2"/>
  <c r="J138" i="2" s="1"/>
  <c r="O137" i="2"/>
  <c r="L137" i="2"/>
  <c r="I137" i="2"/>
  <c r="J137" i="2" s="1"/>
  <c r="O136" i="2"/>
  <c r="L136" i="2"/>
  <c r="I136" i="2"/>
  <c r="J136" i="2" s="1"/>
  <c r="O135" i="2"/>
  <c r="L135" i="2"/>
  <c r="I135" i="2"/>
  <c r="J135" i="2" s="1"/>
  <c r="O134" i="2"/>
  <c r="L134" i="2"/>
  <c r="I134" i="2"/>
  <c r="J134" i="2" s="1"/>
  <c r="O133" i="2"/>
  <c r="L133" i="2"/>
  <c r="I133" i="2"/>
  <c r="J133" i="2" s="1"/>
  <c r="O132" i="2"/>
  <c r="L132" i="2"/>
  <c r="I132" i="2"/>
  <c r="J132" i="2" s="1"/>
  <c r="O131" i="2"/>
  <c r="L131" i="2"/>
  <c r="I131" i="2"/>
  <c r="J131" i="2" s="1"/>
  <c r="O130" i="2"/>
  <c r="L130" i="2"/>
  <c r="I130" i="2"/>
  <c r="J130" i="2" s="1"/>
  <c r="O129" i="2"/>
  <c r="L129" i="2"/>
  <c r="I129" i="2"/>
  <c r="J129" i="2" s="1"/>
  <c r="O128" i="2"/>
  <c r="L128" i="2"/>
  <c r="I128" i="2"/>
  <c r="J128" i="2" s="1"/>
  <c r="O127" i="2"/>
  <c r="L127" i="2"/>
  <c r="I127" i="2"/>
  <c r="J127" i="2" s="1"/>
  <c r="O126" i="2"/>
  <c r="L126" i="2"/>
  <c r="I126" i="2"/>
  <c r="J126" i="2" s="1"/>
  <c r="O125" i="2"/>
  <c r="L125" i="2"/>
  <c r="I125" i="2"/>
  <c r="J125" i="2" s="1"/>
  <c r="O124" i="2"/>
  <c r="L124" i="2"/>
  <c r="I124" i="2"/>
  <c r="J124" i="2" s="1"/>
  <c r="O123" i="2"/>
  <c r="L123" i="2"/>
  <c r="I123" i="2"/>
  <c r="J123" i="2" s="1"/>
  <c r="O122" i="2"/>
  <c r="L122" i="2"/>
  <c r="I122" i="2"/>
  <c r="J122" i="2" s="1"/>
  <c r="O121" i="2"/>
  <c r="L121" i="2"/>
  <c r="I121" i="2"/>
  <c r="J121" i="2" s="1"/>
  <c r="O120" i="2"/>
  <c r="L120" i="2"/>
  <c r="I120" i="2"/>
  <c r="J120" i="2" s="1"/>
  <c r="O119" i="2"/>
  <c r="L119" i="2"/>
  <c r="I119" i="2"/>
  <c r="J119" i="2" s="1"/>
  <c r="O118" i="2"/>
  <c r="L118" i="2"/>
  <c r="I118" i="2"/>
  <c r="J118" i="2" s="1"/>
  <c r="O117" i="2"/>
  <c r="L117" i="2"/>
  <c r="I117" i="2"/>
  <c r="J117" i="2" s="1"/>
  <c r="O116" i="2"/>
  <c r="L116" i="2"/>
  <c r="I116" i="2"/>
  <c r="J116" i="2" s="1"/>
  <c r="O115" i="2"/>
  <c r="L115" i="2"/>
  <c r="I115" i="2"/>
  <c r="J115" i="2" s="1"/>
  <c r="O114" i="2"/>
  <c r="L114" i="2"/>
  <c r="I114" i="2"/>
  <c r="J114" i="2" s="1"/>
  <c r="O113" i="2"/>
  <c r="L113" i="2"/>
  <c r="I113" i="2"/>
  <c r="J113" i="2" s="1"/>
  <c r="O112" i="2"/>
  <c r="L112" i="2"/>
  <c r="I112" i="2"/>
  <c r="J112" i="2" s="1"/>
  <c r="O111" i="2"/>
  <c r="L111" i="2"/>
  <c r="I111" i="2"/>
  <c r="J111" i="2" s="1"/>
  <c r="O110" i="2"/>
  <c r="L110" i="2"/>
  <c r="I110" i="2"/>
  <c r="J110" i="2" s="1"/>
  <c r="O109" i="2"/>
  <c r="L109" i="2"/>
  <c r="I109" i="2"/>
  <c r="J109" i="2" s="1"/>
  <c r="O108" i="2"/>
  <c r="L108" i="2"/>
  <c r="I108" i="2"/>
  <c r="J108" i="2" s="1"/>
  <c r="O107" i="2"/>
  <c r="L107" i="2"/>
  <c r="I107" i="2"/>
  <c r="J107" i="2" s="1"/>
  <c r="O106" i="2"/>
  <c r="L106" i="2"/>
  <c r="I106" i="2"/>
  <c r="J106" i="2" s="1"/>
  <c r="O105" i="2"/>
  <c r="L105" i="2"/>
  <c r="I105" i="2"/>
  <c r="J105" i="2" s="1"/>
  <c r="O104" i="2"/>
  <c r="L104" i="2"/>
  <c r="I104" i="2"/>
  <c r="J104" i="2" s="1"/>
  <c r="O103" i="2"/>
  <c r="L103" i="2"/>
  <c r="I103" i="2"/>
  <c r="J103" i="2" s="1"/>
  <c r="O102" i="2"/>
  <c r="L102" i="2"/>
  <c r="I102" i="2"/>
  <c r="J102" i="2" s="1"/>
  <c r="O101" i="2"/>
  <c r="L101" i="2"/>
  <c r="I101" i="2"/>
  <c r="J101" i="2" s="1"/>
  <c r="O100" i="2"/>
  <c r="L100" i="2"/>
  <c r="I100" i="2"/>
  <c r="J100" i="2" s="1"/>
  <c r="O99" i="2"/>
  <c r="L99" i="2"/>
  <c r="I99" i="2"/>
  <c r="J99" i="2" s="1"/>
  <c r="O98" i="2"/>
  <c r="L98" i="2"/>
  <c r="I98" i="2"/>
  <c r="J98" i="2" s="1"/>
  <c r="O97" i="2"/>
  <c r="L97" i="2"/>
  <c r="I97" i="2"/>
  <c r="J97" i="2" s="1"/>
  <c r="O96" i="2"/>
  <c r="L96" i="2"/>
  <c r="I96" i="2"/>
  <c r="J96" i="2" s="1"/>
  <c r="O95" i="2"/>
  <c r="L95" i="2"/>
  <c r="I95" i="2"/>
  <c r="J95" i="2" s="1"/>
  <c r="O94" i="2"/>
  <c r="L94" i="2"/>
  <c r="I94" i="2"/>
  <c r="J94" i="2" s="1"/>
  <c r="O93" i="2"/>
  <c r="L93" i="2"/>
  <c r="I93" i="2"/>
  <c r="J93" i="2" s="1"/>
  <c r="O92" i="2"/>
  <c r="L92" i="2"/>
  <c r="I92" i="2"/>
  <c r="J92" i="2" s="1"/>
  <c r="O91" i="2"/>
  <c r="L91" i="2"/>
  <c r="I91" i="2"/>
  <c r="J91" i="2" s="1"/>
  <c r="O90" i="2"/>
  <c r="L90" i="2"/>
  <c r="I90" i="2"/>
  <c r="J90" i="2" s="1"/>
  <c r="O89" i="2"/>
  <c r="L89" i="2"/>
  <c r="I89" i="2"/>
  <c r="J89" i="2" s="1"/>
  <c r="O88" i="2"/>
  <c r="L88" i="2"/>
  <c r="I88" i="2"/>
  <c r="J88" i="2" s="1"/>
  <c r="O87" i="2"/>
  <c r="L87" i="2"/>
  <c r="I87" i="2"/>
  <c r="J87" i="2" s="1"/>
  <c r="O86" i="2"/>
  <c r="L86" i="2"/>
  <c r="I86" i="2"/>
  <c r="J86" i="2" s="1"/>
  <c r="O85" i="2"/>
  <c r="L85" i="2"/>
  <c r="I85" i="2"/>
  <c r="J85" i="2" s="1"/>
  <c r="O84" i="2"/>
  <c r="L84" i="2"/>
  <c r="I84" i="2"/>
  <c r="J84" i="2" s="1"/>
  <c r="O83" i="2"/>
  <c r="L83" i="2"/>
  <c r="I83" i="2"/>
  <c r="J83" i="2" s="1"/>
  <c r="O82" i="2"/>
  <c r="L82" i="2"/>
  <c r="I82" i="2"/>
  <c r="J82" i="2" s="1"/>
  <c r="O81" i="2"/>
  <c r="L81" i="2"/>
  <c r="I81" i="2"/>
  <c r="J81" i="2" s="1"/>
  <c r="O80" i="2"/>
  <c r="L80" i="2"/>
  <c r="I80" i="2"/>
  <c r="J80" i="2" s="1"/>
  <c r="O79" i="2"/>
  <c r="L79" i="2"/>
  <c r="I79" i="2"/>
  <c r="J79" i="2" s="1"/>
  <c r="O78" i="2"/>
  <c r="L78" i="2"/>
  <c r="I78" i="2"/>
  <c r="J78" i="2" s="1"/>
  <c r="O77" i="2"/>
  <c r="L77" i="2"/>
  <c r="I77" i="2"/>
  <c r="J77" i="2" s="1"/>
  <c r="O76" i="2"/>
  <c r="L76" i="2"/>
  <c r="I76" i="2"/>
  <c r="J76" i="2" s="1"/>
  <c r="O75" i="2"/>
  <c r="L75" i="2"/>
  <c r="I75" i="2"/>
  <c r="J75" i="2" s="1"/>
  <c r="O74" i="2"/>
  <c r="L74" i="2"/>
  <c r="I74" i="2"/>
  <c r="J74" i="2" s="1"/>
  <c r="O73" i="2"/>
  <c r="L73" i="2"/>
  <c r="I73" i="2"/>
  <c r="J73" i="2" s="1"/>
  <c r="O72" i="2"/>
  <c r="L72" i="2"/>
  <c r="I72" i="2"/>
  <c r="J72" i="2" s="1"/>
  <c r="O71" i="2"/>
  <c r="L71" i="2"/>
  <c r="I71" i="2"/>
  <c r="J71" i="2" s="1"/>
  <c r="O70" i="2"/>
  <c r="L70" i="2"/>
  <c r="I70" i="2"/>
  <c r="J70" i="2" s="1"/>
  <c r="O69" i="2"/>
  <c r="L69" i="2"/>
  <c r="I69" i="2"/>
  <c r="J69" i="2" s="1"/>
  <c r="O68" i="2"/>
  <c r="L68" i="2"/>
  <c r="I68" i="2"/>
  <c r="J68" i="2" s="1"/>
  <c r="O67" i="2"/>
  <c r="L67" i="2"/>
  <c r="I67" i="2"/>
  <c r="J67" i="2" s="1"/>
  <c r="O66" i="2"/>
  <c r="L66" i="2"/>
  <c r="I66" i="2"/>
  <c r="J66" i="2" s="1"/>
  <c r="O65" i="2"/>
  <c r="L65" i="2"/>
  <c r="I65" i="2"/>
  <c r="J65" i="2" s="1"/>
  <c r="O64" i="2"/>
  <c r="L64" i="2"/>
  <c r="I64" i="2"/>
  <c r="J64" i="2" s="1"/>
  <c r="O63" i="2"/>
  <c r="L63" i="2"/>
  <c r="I63" i="2"/>
  <c r="J63" i="2" s="1"/>
  <c r="O62" i="2"/>
  <c r="L62" i="2"/>
  <c r="I62" i="2"/>
  <c r="J62" i="2" s="1"/>
  <c r="O61" i="2"/>
  <c r="L61" i="2"/>
  <c r="I61" i="2"/>
  <c r="J61" i="2" s="1"/>
  <c r="O60" i="2"/>
  <c r="L60" i="2"/>
  <c r="I60" i="2"/>
  <c r="J60" i="2" s="1"/>
  <c r="O59" i="2"/>
  <c r="L59" i="2"/>
  <c r="I59" i="2"/>
  <c r="J59" i="2" s="1"/>
  <c r="O58" i="2"/>
  <c r="L58" i="2"/>
  <c r="I58" i="2"/>
  <c r="J58" i="2" s="1"/>
  <c r="O57" i="2"/>
  <c r="L57" i="2"/>
  <c r="I57" i="2"/>
  <c r="J57" i="2" s="1"/>
  <c r="O56" i="2"/>
  <c r="L56" i="2"/>
  <c r="I56" i="2"/>
  <c r="J56" i="2" s="1"/>
  <c r="O55" i="2"/>
  <c r="L55" i="2"/>
  <c r="I55" i="2"/>
  <c r="J55" i="2" s="1"/>
  <c r="O54" i="2"/>
  <c r="L54" i="2"/>
  <c r="I54" i="2"/>
  <c r="J54" i="2" s="1"/>
  <c r="O53" i="2"/>
  <c r="L53" i="2"/>
  <c r="I53" i="2"/>
  <c r="J53" i="2" s="1"/>
  <c r="O52" i="2"/>
  <c r="L52" i="2"/>
  <c r="I52" i="2"/>
  <c r="J52" i="2" s="1"/>
  <c r="O51" i="2"/>
  <c r="L51" i="2"/>
  <c r="I51" i="2"/>
  <c r="J51" i="2" s="1"/>
  <c r="O50" i="2"/>
  <c r="L50" i="2"/>
  <c r="I50" i="2"/>
  <c r="J50" i="2" s="1"/>
  <c r="O49" i="2"/>
  <c r="L49" i="2"/>
  <c r="I49" i="2"/>
  <c r="J49" i="2" s="1"/>
  <c r="O48" i="2"/>
  <c r="L48" i="2"/>
  <c r="I48" i="2"/>
  <c r="J48" i="2" s="1"/>
  <c r="O47" i="2"/>
  <c r="L47" i="2"/>
  <c r="I47" i="2"/>
  <c r="J47" i="2" s="1"/>
  <c r="O46" i="2"/>
  <c r="L46" i="2"/>
  <c r="I46" i="2"/>
  <c r="J46" i="2" s="1"/>
  <c r="O45" i="2"/>
  <c r="L45" i="2"/>
  <c r="I45" i="2"/>
  <c r="J45" i="2" s="1"/>
  <c r="O44" i="2"/>
  <c r="L44" i="2"/>
  <c r="I44" i="2"/>
  <c r="J44" i="2" s="1"/>
  <c r="O43" i="2"/>
  <c r="L43" i="2"/>
  <c r="I43" i="2"/>
  <c r="J43" i="2" s="1"/>
  <c r="O42" i="2"/>
  <c r="L42" i="2"/>
  <c r="I42" i="2"/>
  <c r="J42" i="2" s="1"/>
  <c r="O41" i="2"/>
  <c r="L41" i="2"/>
  <c r="I41" i="2"/>
  <c r="J41" i="2" s="1"/>
  <c r="O40" i="2"/>
  <c r="L40" i="2"/>
  <c r="I40" i="2"/>
  <c r="J40" i="2" s="1"/>
  <c r="O39" i="2"/>
  <c r="L39" i="2"/>
  <c r="I39" i="2"/>
  <c r="J39" i="2" s="1"/>
  <c r="O38" i="2"/>
  <c r="L38" i="2"/>
  <c r="I38" i="2"/>
  <c r="J38" i="2" s="1"/>
  <c r="O37" i="2"/>
  <c r="L37" i="2"/>
  <c r="I37" i="2"/>
  <c r="J37" i="2" s="1"/>
  <c r="O36" i="2"/>
  <c r="L36" i="2"/>
  <c r="I36" i="2"/>
  <c r="J36" i="2" s="1"/>
  <c r="O35" i="2"/>
  <c r="L35" i="2"/>
  <c r="I35" i="2"/>
  <c r="J35" i="2" s="1"/>
  <c r="O34" i="2"/>
  <c r="L34" i="2"/>
  <c r="I34" i="2"/>
  <c r="J34" i="2" s="1"/>
  <c r="O33" i="2"/>
  <c r="L33" i="2"/>
  <c r="I33" i="2"/>
  <c r="J33" i="2" s="1"/>
  <c r="O32" i="2"/>
  <c r="N32" i="2"/>
  <c r="L32" i="2"/>
  <c r="M32" i="2" s="1"/>
  <c r="I32" i="2"/>
  <c r="J32" i="2" s="1"/>
  <c r="O31" i="2"/>
  <c r="L31" i="2"/>
  <c r="I31" i="2"/>
  <c r="J31" i="2" s="1"/>
  <c r="O30" i="2"/>
  <c r="L30" i="2"/>
  <c r="I30" i="2"/>
  <c r="J30" i="2" s="1"/>
  <c r="O29" i="2"/>
  <c r="L29" i="2"/>
  <c r="I29" i="2"/>
  <c r="J29" i="2" s="1"/>
  <c r="O28" i="2"/>
  <c r="L28" i="2"/>
  <c r="I28" i="2"/>
  <c r="J28" i="2" s="1"/>
  <c r="O27" i="2"/>
  <c r="L27" i="2"/>
  <c r="I27" i="2"/>
  <c r="J27" i="2" s="1"/>
  <c r="O26" i="2"/>
  <c r="L26" i="2"/>
  <c r="I26" i="2"/>
  <c r="J26" i="2" s="1"/>
  <c r="O25" i="2"/>
  <c r="L25" i="2"/>
  <c r="I25" i="2"/>
  <c r="J25" i="2" s="1"/>
  <c r="O24" i="2"/>
  <c r="L24" i="2"/>
  <c r="I24" i="2"/>
  <c r="J24" i="2" s="1"/>
  <c r="O23" i="2"/>
  <c r="L23" i="2"/>
  <c r="I23" i="2"/>
  <c r="J23" i="2" s="1"/>
  <c r="O22" i="2"/>
  <c r="L22" i="2"/>
  <c r="I22" i="2"/>
  <c r="J22" i="2" s="1"/>
  <c r="O21" i="2"/>
  <c r="L21" i="2"/>
  <c r="I21" i="2"/>
  <c r="J21" i="2" s="1"/>
  <c r="O20" i="2"/>
  <c r="L20" i="2"/>
  <c r="I20" i="2"/>
  <c r="J20" i="2" s="1"/>
  <c r="O19" i="2"/>
  <c r="L19" i="2"/>
  <c r="I19" i="2"/>
  <c r="J19" i="2" s="1"/>
  <c r="O18" i="2"/>
  <c r="L18" i="2"/>
  <c r="I18" i="2"/>
  <c r="J18" i="2" s="1"/>
  <c r="O17" i="2"/>
  <c r="L17" i="2"/>
  <c r="I17" i="2"/>
  <c r="J17" i="2" s="1"/>
  <c r="O16" i="2"/>
  <c r="L16" i="2"/>
  <c r="I16" i="2"/>
  <c r="J16" i="2" s="1"/>
  <c r="O15" i="2"/>
  <c r="L15" i="2"/>
  <c r="I15" i="2"/>
  <c r="J15" i="2" s="1"/>
  <c r="O14" i="2"/>
  <c r="L14" i="2"/>
  <c r="I14" i="2"/>
  <c r="J14" i="2" s="1"/>
  <c r="O13" i="2"/>
  <c r="L13" i="2"/>
  <c r="I13" i="2"/>
  <c r="J13" i="2" s="1"/>
  <c r="O12" i="2"/>
  <c r="L12" i="2"/>
  <c r="I12" i="2"/>
  <c r="J12" i="2" s="1"/>
  <c r="O11" i="2"/>
  <c r="L11" i="2"/>
  <c r="I11" i="2"/>
  <c r="J11" i="2" s="1"/>
  <c r="O10" i="2"/>
  <c r="L10" i="2"/>
  <c r="I10" i="2"/>
  <c r="J10" i="2" s="1"/>
  <c r="O9" i="2"/>
  <c r="L9" i="2"/>
  <c r="I9" i="2"/>
  <c r="J9" i="2" s="1"/>
  <c r="O8" i="2"/>
  <c r="L8" i="2"/>
  <c r="I8" i="2"/>
  <c r="J8" i="2" s="1"/>
  <c r="O7" i="2"/>
  <c r="L7" i="2"/>
  <c r="I7" i="2"/>
  <c r="J7" i="2" s="1"/>
  <c r="O6" i="2"/>
  <c r="L6" i="2"/>
  <c r="I6" i="2"/>
  <c r="J6" i="2" s="1"/>
  <c r="O5" i="2"/>
  <c r="L5" i="2"/>
  <c r="I5" i="2"/>
  <c r="J5" i="2" s="1"/>
  <c r="O4" i="2"/>
  <c r="L4" i="2"/>
  <c r="I4" i="2"/>
  <c r="J4" i="2" s="1"/>
  <c r="W411" i="5" l="1"/>
  <c r="T411" i="5"/>
  <c r="Q411" i="5"/>
  <c r="P411" i="5"/>
  <c r="N411" i="5"/>
  <c r="M411" i="5"/>
  <c r="W410" i="5"/>
  <c r="T410" i="5"/>
  <c r="Q410" i="5"/>
  <c r="P410" i="5"/>
  <c r="N410" i="5"/>
  <c r="M410" i="5"/>
  <c r="W409" i="5"/>
  <c r="T409" i="5"/>
  <c r="Q409" i="5"/>
  <c r="P409" i="5"/>
  <c r="N409" i="5"/>
  <c r="M409" i="5"/>
  <c r="W408" i="5"/>
  <c r="T408" i="5"/>
  <c r="Q408" i="5"/>
  <c r="P408" i="5"/>
  <c r="N408" i="5"/>
  <c r="M408" i="5"/>
  <c r="W407" i="5"/>
  <c r="T407" i="5"/>
  <c r="Q407" i="5"/>
  <c r="P407" i="5"/>
  <c r="N407" i="5"/>
  <c r="M407" i="5"/>
  <c r="W406" i="5"/>
  <c r="T406" i="5"/>
  <c r="Q406" i="5"/>
  <c r="P406" i="5"/>
  <c r="N406" i="5"/>
  <c r="M406" i="5"/>
  <c r="W405" i="5"/>
  <c r="T405" i="5"/>
  <c r="Q405" i="5"/>
  <c r="P405" i="5"/>
  <c r="N405" i="5"/>
  <c r="M405" i="5"/>
  <c r="W404" i="5"/>
  <c r="T404" i="5"/>
  <c r="Q404" i="5"/>
  <c r="P404" i="5"/>
  <c r="N404" i="5"/>
  <c r="M404" i="5"/>
  <c r="W403" i="5"/>
  <c r="T403" i="5"/>
  <c r="Q403" i="5"/>
  <c r="P403" i="5"/>
  <c r="N403" i="5"/>
  <c r="M403" i="5"/>
  <c r="W402" i="5"/>
  <c r="T402" i="5"/>
  <c r="Q402" i="5"/>
  <c r="P402" i="5"/>
  <c r="N402" i="5"/>
  <c r="M402" i="5"/>
  <c r="W401" i="5"/>
  <c r="T401" i="5"/>
  <c r="Q401" i="5"/>
  <c r="P401" i="5"/>
  <c r="N401" i="5"/>
  <c r="M401" i="5"/>
  <c r="W400" i="5"/>
  <c r="T400" i="5"/>
  <c r="Q400" i="5"/>
  <c r="P400" i="5"/>
  <c r="N400" i="5"/>
  <c r="M400" i="5"/>
  <c r="W399" i="5"/>
  <c r="T399" i="5"/>
  <c r="Q399" i="5"/>
  <c r="P399" i="5"/>
  <c r="N399" i="5"/>
  <c r="M399" i="5"/>
  <c r="W398" i="5"/>
  <c r="T398" i="5"/>
  <c r="Q398" i="5"/>
  <c r="P398" i="5"/>
  <c r="N398" i="5"/>
  <c r="M398" i="5"/>
  <c r="W397" i="5"/>
  <c r="T397" i="5"/>
  <c r="Q397" i="5"/>
  <c r="P397" i="5"/>
  <c r="N397" i="5"/>
  <c r="M397" i="5"/>
  <c r="W396" i="5"/>
  <c r="T396" i="5"/>
  <c r="Q396" i="5"/>
  <c r="P396" i="5"/>
  <c r="N396" i="5"/>
  <c r="M396" i="5"/>
  <c r="W395" i="5"/>
  <c r="T395" i="5"/>
  <c r="Q395" i="5"/>
  <c r="P395" i="5"/>
  <c r="N395" i="5"/>
  <c r="M395" i="5"/>
  <c r="W394" i="5"/>
  <c r="T394" i="5"/>
  <c r="Q394" i="5"/>
  <c r="P394" i="5"/>
  <c r="N394" i="5"/>
  <c r="M394" i="5"/>
  <c r="W393" i="5"/>
  <c r="T393" i="5"/>
  <c r="Q393" i="5"/>
  <c r="P393" i="5"/>
  <c r="N393" i="5"/>
  <c r="M393" i="5"/>
  <c r="W392" i="5"/>
  <c r="T392" i="5"/>
  <c r="Q392" i="5"/>
  <c r="P392" i="5"/>
  <c r="N392" i="5"/>
  <c r="M392" i="5"/>
  <c r="W391" i="5"/>
  <c r="T391" i="5"/>
  <c r="Q391" i="5"/>
  <c r="P391" i="5"/>
  <c r="N391" i="5"/>
  <c r="M391" i="5"/>
  <c r="W390" i="5"/>
  <c r="T390" i="5"/>
  <c r="Q390" i="5"/>
  <c r="P390" i="5"/>
  <c r="N390" i="5"/>
  <c r="M390" i="5"/>
  <c r="W389" i="5"/>
  <c r="T389" i="5"/>
  <c r="Q389" i="5"/>
  <c r="P389" i="5"/>
  <c r="N389" i="5"/>
  <c r="M389" i="5"/>
  <c r="W388" i="5"/>
  <c r="T388" i="5"/>
  <c r="Q388" i="5"/>
  <c r="P388" i="5"/>
  <c r="N388" i="5"/>
  <c r="M388" i="5"/>
  <c r="W387" i="5"/>
  <c r="T387" i="5"/>
  <c r="Q387" i="5"/>
  <c r="P387" i="5"/>
  <c r="N387" i="5"/>
  <c r="M387" i="5"/>
  <c r="W386" i="5"/>
  <c r="T386" i="5"/>
  <c r="Q386" i="5"/>
  <c r="P386" i="5"/>
  <c r="N386" i="5"/>
  <c r="M386" i="5"/>
  <c r="W385" i="5"/>
  <c r="T385" i="5"/>
  <c r="Q385" i="5"/>
  <c r="P385" i="5"/>
  <c r="N385" i="5"/>
  <c r="M385" i="5"/>
  <c r="W384" i="5"/>
  <c r="T384" i="5"/>
  <c r="Q384" i="5"/>
  <c r="P384" i="5"/>
  <c r="N384" i="5"/>
  <c r="M384" i="5"/>
  <c r="W383" i="5"/>
  <c r="T383" i="5"/>
  <c r="Q383" i="5"/>
  <c r="P383" i="5"/>
  <c r="N383" i="5"/>
  <c r="M383" i="5"/>
  <c r="W382" i="5"/>
  <c r="T382" i="5"/>
  <c r="Q382" i="5"/>
  <c r="P382" i="5"/>
  <c r="N382" i="5"/>
  <c r="M382" i="5"/>
  <c r="W381" i="5"/>
  <c r="T381" i="5"/>
  <c r="Q381" i="5"/>
  <c r="P381" i="5"/>
  <c r="N381" i="5"/>
  <c r="M381" i="5"/>
  <c r="W380" i="5"/>
  <c r="T380" i="5"/>
  <c r="Q380" i="5"/>
  <c r="P380" i="5"/>
  <c r="N380" i="5"/>
  <c r="M380" i="5"/>
  <c r="W379" i="5"/>
  <c r="T379" i="5"/>
  <c r="Q379" i="5"/>
  <c r="P379" i="5"/>
  <c r="N379" i="5"/>
  <c r="M379" i="5"/>
  <c r="W378" i="5"/>
  <c r="T378" i="5"/>
  <c r="Q378" i="5"/>
  <c r="P378" i="5"/>
  <c r="N378" i="5"/>
  <c r="M378" i="5"/>
  <c r="W377" i="5"/>
  <c r="T377" i="5"/>
  <c r="Q377" i="5"/>
  <c r="P377" i="5"/>
  <c r="N377" i="5"/>
  <c r="M377" i="5"/>
  <c r="W376" i="5"/>
  <c r="T376" i="5"/>
  <c r="Q376" i="5"/>
  <c r="P376" i="5"/>
  <c r="N376" i="5"/>
  <c r="M376" i="5"/>
  <c r="W375" i="5"/>
  <c r="T375" i="5"/>
  <c r="Q375" i="5"/>
  <c r="P375" i="5"/>
  <c r="N375" i="5"/>
  <c r="M375" i="5"/>
  <c r="W374" i="5"/>
  <c r="T374" i="5"/>
  <c r="Q374" i="5"/>
  <c r="P374" i="5"/>
  <c r="N374" i="5"/>
  <c r="M374" i="5"/>
  <c r="W373" i="5"/>
  <c r="T373" i="5"/>
  <c r="Q373" i="5"/>
  <c r="P373" i="5"/>
  <c r="N373" i="5"/>
  <c r="M373" i="5"/>
  <c r="W372" i="5"/>
  <c r="T372" i="5"/>
  <c r="Q372" i="5"/>
  <c r="P372" i="5"/>
  <c r="N372" i="5"/>
  <c r="M372" i="5"/>
  <c r="W371" i="5"/>
  <c r="T371" i="5"/>
  <c r="Q371" i="5"/>
  <c r="P371" i="5"/>
  <c r="N371" i="5"/>
  <c r="M371" i="5"/>
  <c r="W370" i="5"/>
  <c r="T370" i="5"/>
  <c r="Q370" i="5"/>
  <c r="P370" i="5"/>
  <c r="N370" i="5"/>
  <c r="M370" i="5"/>
  <c r="W369" i="5"/>
  <c r="T369" i="5"/>
  <c r="Q369" i="5"/>
  <c r="P369" i="5"/>
  <c r="N369" i="5"/>
  <c r="M369" i="5"/>
  <c r="W368" i="5"/>
  <c r="T368" i="5"/>
  <c r="Q368" i="5"/>
  <c r="P368" i="5"/>
  <c r="N368" i="5"/>
  <c r="M368" i="5"/>
  <c r="W367" i="5"/>
  <c r="T367" i="5"/>
  <c r="Q367" i="5"/>
  <c r="P367" i="5"/>
  <c r="N367" i="5"/>
  <c r="M367" i="5"/>
  <c r="W366" i="5"/>
  <c r="T366" i="5"/>
  <c r="Q366" i="5"/>
  <c r="P366" i="5"/>
  <c r="N366" i="5"/>
  <c r="M366" i="5"/>
  <c r="W365" i="5"/>
  <c r="T365" i="5"/>
  <c r="Q365" i="5"/>
  <c r="P365" i="5"/>
  <c r="N365" i="5"/>
  <c r="M365" i="5"/>
  <c r="W364" i="5"/>
  <c r="T364" i="5"/>
  <c r="Q364" i="5"/>
  <c r="P364" i="5"/>
  <c r="N364" i="5"/>
  <c r="M364" i="5"/>
  <c r="W363" i="5"/>
  <c r="T363" i="5"/>
  <c r="Q363" i="5"/>
  <c r="P363" i="5"/>
  <c r="N363" i="5"/>
  <c r="M363" i="5"/>
  <c r="W362" i="5"/>
  <c r="T362" i="5"/>
  <c r="Q362" i="5"/>
  <c r="P362" i="5"/>
  <c r="N362" i="5"/>
  <c r="M362" i="5"/>
  <c r="W361" i="5"/>
  <c r="T361" i="5"/>
  <c r="Q361" i="5"/>
  <c r="P361" i="5"/>
  <c r="N361" i="5"/>
  <c r="M361" i="5"/>
  <c r="W360" i="5"/>
  <c r="T360" i="5"/>
  <c r="Q360" i="5"/>
  <c r="P360" i="5"/>
  <c r="N360" i="5"/>
  <c r="M360" i="5"/>
  <c r="W359" i="5"/>
  <c r="T359" i="5"/>
  <c r="Q359" i="5"/>
  <c r="P359" i="5"/>
  <c r="N359" i="5"/>
  <c r="M359" i="5"/>
  <c r="W358" i="5"/>
  <c r="T358" i="5"/>
  <c r="Q358" i="5"/>
  <c r="P358" i="5"/>
  <c r="N358" i="5"/>
  <c r="M358" i="5"/>
  <c r="W357" i="5"/>
  <c r="T357" i="5"/>
  <c r="Q357" i="5"/>
  <c r="P357" i="5"/>
  <c r="N357" i="5"/>
  <c r="M357" i="5"/>
  <c r="W356" i="5"/>
  <c r="T356" i="5"/>
  <c r="Q356" i="5"/>
  <c r="P356" i="5"/>
  <c r="N356" i="5"/>
  <c r="M356" i="5"/>
  <c r="W355" i="5"/>
  <c r="T355" i="5"/>
  <c r="Q355" i="5"/>
  <c r="P355" i="5"/>
  <c r="N355" i="5"/>
  <c r="M355" i="5"/>
  <c r="W354" i="5"/>
  <c r="T354" i="5"/>
  <c r="Q354" i="5"/>
  <c r="P354" i="5"/>
  <c r="N354" i="5"/>
  <c r="M354" i="5"/>
  <c r="W353" i="5"/>
  <c r="T353" i="5"/>
  <c r="Q353" i="5"/>
  <c r="P353" i="5"/>
  <c r="N353" i="5"/>
  <c r="M353" i="5"/>
  <c r="W352" i="5"/>
  <c r="T352" i="5"/>
  <c r="Q352" i="5"/>
  <c r="P352" i="5"/>
  <c r="N352" i="5"/>
  <c r="M352" i="5"/>
  <c r="W351" i="5"/>
  <c r="T351" i="5"/>
  <c r="Q351" i="5"/>
  <c r="P351" i="5"/>
  <c r="N351" i="5"/>
  <c r="M351" i="5"/>
  <c r="W350" i="5"/>
  <c r="T350" i="5"/>
  <c r="Q350" i="5"/>
  <c r="P350" i="5"/>
  <c r="N350" i="5"/>
  <c r="M350" i="5"/>
  <c r="T349" i="5"/>
  <c r="W349" i="5"/>
  <c r="Q349" i="5"/>
  <c r="P349" i="5"/>
  <c r="N349" i="5"/>
  <c r="M349" i="5"/>
  <c r="W348" i="5"/>
  <c r="T348" i="5"/>
  <c r="Q348" i="5"/>
  <c r="P348" i="5"/>
  <c r="N348" i="5"/>
  <c r="M348" i="5"/>
  <c r="W347" i="5"/>
  <c r="T347" i="5"/>
  <c r="Q347" i="5"/>
  <c r="P347" i="5"/>
  <c r="N347" i="5"/>
  <c r="M347" i="5"/>
  <c r="W346" i="5"/>
  <c r="T346" i="5"/>
  <c r="M346" i="5"/>
  <c r="P346" i="5"/>
  <c r="N346" i="5"/>
  <c r="Q346" i="5"/>
  <c r="W345" i="5"/>
  <c r="T345" i="5"/>
  <c r="Q345" i="5"/>
  <c r="P345" i="5"/>
  <c r="N345" i="5"/>
  <c r="M345" i="5"/>
  <c r="W344" i="5"/>
  <c r="T344" i="5"/>
  <c r="Q344" i="5"/>
  <c r="P344" i="5"/>
  <c r="N344" i="5"/>
  <c r="M344" i="5"/>
  <c r="W343" i="5"/>
  <c r="T343" i="5"/>
  <c r="Q343" i="5"/>
  <c r="P343" i="5"/>
  <c r="N343" i="5"/>
  <c r="M343" i="5"/>
  <c r="W342" i="5"/>
  <c r="T342" i="5"/>
  <c r="M342" i="5"/>
  <c r="P342" i="5"/>
  <c r="N342" i="5"/>
  <c r="Q342" i="5"/>
  <c r="W341" i="5"/>
  <c r="T341" i="5"/>
  <c r="Q341" i="5"/>
  <c r="P341" i="5"/>
  <c r="N341" i="5"/>
  <c r="M341" i="5"/>
  <c r="W340" i="5"/>
  <c r="T340" i="5"/>
  <c r="Q340" i="5"/>
  <c r="P340" i="5"/>
  <c r="N340" i="5"/>
  <c r="M340" i="5"/>
  <c r="W339" i="5"/>
  <c r="T339" i="5"/>
  <c r="Q339" i="5"/>
  <c r="P339" i="5"/>
  <c r="N339" i="5"/>
  <c r="M339" i="5"/>
  <c r="W338" i="5"/>
  <c r="T338" i="5"/>
  <c r="Q338" i="5"/>
  <c r="P338" i="5"/>
  <c r="N338" i="5"/>
  <c r="M338" i="5"/>
  <c r="W337" i="5"/>
  <c r="T337" i="5"/>
  <c r="Q337" i="5"/>
  <c r="P337" i="5"/>
  <c r="N337" i="5"/>
  <c r="M337" i="5"/>
  <c r="W336" i="5"/>
  <c r="T336" i="5"/>
  <c r="Q336" i="5"/>
  <c r="P336" i="5"/>
  <c r="N336" i="5"/>
  <c r="M336" i="5"/>
  <c r="W335" i="5"/>
  <c r="T335" i="5"/>
  <c r="Q335" i="5"/>
  <c r="P335" i="5"/>
  <c r="N335" i="5"/>
  <c r="M335" i="5"/>
  <c r="W334" i="5"/>
  <c r="T334" i="5"/>
  <c r="N334" i="5"/>
  <c r="P334" i="5"/>
  <c r="Q334" i="5"/>
  <c r="M334" i="5"/>
  <c r="W333" i="5"/>
  <c r="T333" i="5"/>
  <c r="Q333" i="5"/>
  <c r="P333" i="5"/>
  <c r="N333" i="5"/>
  <c r="M333" i="5"/>
  <c r="T332" i="5"/>
  <c r="W332" i="5"/>
  <c r="Q332" i="5"/>
  <c r="P332" i="5"/>
  <c r="N332" i="5"/>
  <c r="M332" i="5"/>
  <c r="W331" i="5"/>
  <c r="T331" i="5"/>
  <c r="Q331" i="5"/>
  <c r="P331" i="5"/>
  <c r="N331" i="5"/>
  <c r="M331" i="5"/>
  <c r="T330" i="5"/>
  <c r="W330" i="5"/>
  <c r="Q330" i="5"/>
  <c r="P330" i="5"/>
  <c r="N330" i="5"/>
  <c r="M330" i="5"/>
  <c r="W329" i="5"/>
  <c r="T329" i="5"/>
  <c r="Q329" i="5"/>
  <c r="P329" i="5"/>
  <c r="N329" i="5"/>
  <c r="M329" i="5"/>
  <c r="W328" i="5"/>
  <c r="T328" i="5"/>
  <c r="Q328" i="5"/>
  <c r="P328" i="5"/>
  <c r="N328" i="5"/>
  <c r="M328" i="5"/>
  <c r="W327" i="5"/>
  <c r="T327" i="5"/>
  <c r="Q327" i="5"/>
  <c r="P327" i="5"/>
  <c r="N327" i="5"/>
  <c r="M327" i="5"/>
  <c r="T326" i="5"/>
  <c r="W326" i="5"/>
  <c r="Q326" i="5"/>
  <c r="P326" i="5"/>
  <c r="N326" i="5"/>
  <c r="M326" i="5"/>
  <c r="W325" i="5"/>
  <c r="T325" i="5"/>
  <c r="Q325" i="5"/>
  <c r="P325" i="5"/>
  <c r="N325" i="5"/>
  <c r="M325" i="5"/>
  <c r="W324" i="5"/>
  <c r="T324" i="5"/>
  <c r="Q324" i="5"/>
  <c r="P324" i="5"/>
  <c r="N324" i="5"/>
  <c r="M324" i="5"/>
  <c r="W323" i="5"/>
  <c r="T323" i="5"/>
  <c r="Q323" i="5"/>
  <c r="P323" i="5"/>
  <c r="N323" i="5"/>
  <c r="M323" i="5"/>
  <c r="W322" i="5"/>
  <c r="T322" i="5"/>
  <c r="Q322" i="5"/>
  <c r="P322" i="5"/>
  <c r="N322" i="5"/>
  <c r="M322" i="5"/>
  <c r="W321" i="5"/>
  <c r="T321" i="5"/>
  <c r="Q321" i="5"/>
  <c r="P321" i="5"/>
  <c r="N321" i="5"/>
  <c r="M321" i="5"/>
  <c r="W320" i="5"/>
  <c r="T320" i="5"/>
  <c r="Q320" i="5"/>
  <c r="P320" i="5"/>
  <c r="N320" i="5"/>
  <c r="M320" i="5"/>
  <c r="W319" i="5"/>
  <c r="T319" i="5"/>
  <c r="Q319" i="5"/>
  <c r="P319" i="5"/>
  <c r="N319" i="5"/>
  <c r="M319" i="5"/>
  <c r="T318" i="5"/>
  <c r="W318" i="5"/>
  <c r="Q318" i="5"/>
  <c r="P318" i="5"/>
  <c r="N318" i="5"/>
  <c r="M318" i="5"/>
  <c r="W317" i="5"/>
  <c r="T317" i="5"/>
  <c r="Q317" i="5"/>
  <c r="P317" i="5"/>
  <c r="N317" i="5"/>
  <c r="M317" i="5"/>
  <c r="W316" i="5"/>
  <c r="T316" i="5"/>
  <c r="Q316" i="5"/>
  <c r="P316" i="5"/>
  <c r="N316" i="5"/>
  <c r="M316" i="5"/>
  <c r="W315" i="5"/>
  <c r="T315" i="5"/>
  <c r="M315" i="5"/>
  <c r="P315" i="5"/>
  <c r="N315" i="5"/>
  <c r="Q315" i="5"/>
  <c r="W314" i="5"/>
  <c r="T314" i="5"/>
  <c r="Q314" i="5"/>
  <c r="P314" i="5"/>
  <c r="N314" i="5"/>
  <c r="M314" i="5"/>
  <c r="W313" i="5"/>
  <c r="T313" i="5"/>
  <c r="Q313" i="5"/>
  <c r="P313" i="5"/>
  <c r="N313" i="5"/>
  <c r="M313" i="5"/>
  <c r="W312" i="5"/>
  <c r="T312" i="5"/>
  <c r="Q312" i="5"/>
  <c r="P312" i="5"/>
  <c r="N312" i="5"/>
  <c r="M312" i="5"/>
  <c r="W311" i="5"/>
  <c r="T311" i="5"/>
  <c r="M311" i="5"/>
  <c r="P311" i="5"/>
  <c r="N311" i="5"/>
  <c r="Q311" i="5"/>
  <c r="W310" i="5"/>
  <c r="T310" i="5"/>
  <c r="Q310" i="5"/>
  <c r="P310" i="5"/>
  <c r="N310" i="5"/>
  <c r="M310" i="5"/>
  <c r="W309" i="5"/>
  <c r="T309" i="5"/>
  <c r="Q309" i="5"/>
  <c r="P309" i="5"/>
  <c r="N309" i="5"/>
  <c r="M309" i="5"/>
  <c r="W308" i="5"/>
  <c r="T308" i="5"/>
  <c r="Q308" i="5"/>
  <c r="P308" i="5"/>
  <c r="N308" i="5"/>
  <c r="M308" i="5"/>
  <c r="W307" i="5"/>
  <c r="T307" i="5"/>
  <c r="Q307" i="5"/>
  <c r="P307" i="5"/>
  <c r="N307" i="5"/>
  <c r="M307" i="5"/>
  <c r="W306" i="5"/>
  <c r="T306" i="5"/>
  <c r="Q306" i="5"/>
  <c r="P306" i="5"/>
  <c r="N306" i="5"/>
  <c r="M306" i="5"/>
  <c r="W305" i="5"/>
  <c r="T305" i="5"/>
  <c r="Q305" i="5"/>
  <c r="P305" i="5"/>
  <c r="N305" i="5"/>
  <c r="M305" i="5"/>
  <c r="W304" i="5"/>
  <c r="T304" i="5"/>
  <c r="Q304" i="5"/>
  <c r="P304" i="5"/>
  <c r="N304" i="5"/>
  <c r="M304" i="5"/>
  <c r="W303" i="5"/>
  <c r="T303" i="5"/>
  <c r="M303" i="5"/>
  <c r="P303" i="5"/>
  <c r="N303" i="5"/>
  <c r="Q303" i="5"/>
  <c r="W302" i="5"/>
  <c r="T302" i="5"/>
  <c r="Q302" i="5"/>
  <c r="P302" i="5"/>
  <c r="N302" i="5"/>
  <c r="M302" i="5"/>
  <c r="W301" i="5"/>
  <c r="T301" i="5"/>
  <c r="Q301" i="5"/>
  <c r="P301" i="5"/>
  <c r="N301" i="5"/>
  <c r="M301" i="5"/>
  <c r="W300" i="5"/>
  <c r="T300" i="5"/>
  <c r="Q300" i="5"/>
  <c r="P300" i="5"/>
  <c r="N300" i="5"/>
  <c r="M300" i="5"/>
  <c r="W299" i="5"/>
  <c r="T299" i="5"/>
  <c r="Q299" i="5"/>
  <c r="P299" i="5"/>
  <c r="N299" i="5"/>
  <c r="M299" i="5"/>
  <c r="W298" i="5"/>
  <c r="T298" i="5"/>
  <c r="Q298" i="5"/>
  <c r="P298" i="5"/>
  <c r="N298" i="5"/>
  <c r="M298" i="5"/>
  <c r="W297" i="5"/>
  <c r="T297" i="5"/>
  <c r="Q297" i="5"/>
  <c r="P297" i="5"/>
  <c r="N297" i="5"/>
  <c r="M297" i="5"/>
  <c r="W296" i="5"/>
  <c r="T296" i="5"/>
  <c r="Q296" i="5"/>
  <c r="P296" i="5"/>
  <c r="N296" i="5"/>
  <c r="M296" i="5"/>
  <c r="W295" i="5"/>
  <c r="T295" i="5"/>
  <c r="Q295" i="5"/>
  <c r="P295" i="5"/>
  <c r="N295" i="5"/>
  <c r="M295" i="5"/>
  <c r="W294" i="5"/>
  <c r="T294" i="5"/>
  <c r="Q294" i="5"/>
  <c r="P294" i="5"/>
  <c r="N294" i="5"/>
  <c r="M294" i="5"/>
  <c r="W293" i="5"/>
  <c r="T293" i="5"/>
  <c r="Q293" i="5"/>
  <c r="P293" i="5"/>
  <c r="N293" i="5"/>
  <c r="M293" i="5"/>
  <c r="W292" i="5"/>
  <c r="T292" i="5"/>
  <c r="Q292" i="5"/>
  <c r="P292" i="5"/>
  <c r="N292" i="5"/>
  <c r="M292" i="5"/>
  <c r="W291" i="5"/>
  <c r="T291" i="5"/>
  <c r="Q291" i="5"/>
  <c r="P291" i="5"/>
  <c r="N291" i="5"/>
  <c r="M291" i="5"/>
  <c r="W290" i="5"/>
  <c r="T290" i="5"/>
  <c r="Q290" i="5"/>
  <c r="P290" i="5"/>
  <c r="N290" i="5"/>
  <c r="M290" i="5"/>
  <c r="W289" i="5"/>
  <c r="T289" i="5"/>
  <c r="Q289" i="5"/>
  <c r="P289" i="5"/>
  <c r="N289" i="5"/>
  <c r="M289" i="5"/>
  <c r="W288" i="5"/>
  <c r="T288" i="5"/>
  <c r="Q288" i="5"/>
  <c r="P288" i="5"/>
  <c r="N288" i="5"/>
  <c r="M288" i="5"/>
  <c r="W287" i="5"/>
  <c r="T287" i="5"/>
  <c r="Q287" i="5"/>
  <c r="M287" i="5"/>
  <c r="N287" i="5"/>
  <c r="P287" i="5"/>
  <c r="T286" i="5"/>
  <c r="W286" i="5"/>
  <c r="N286" i="5"/>
  <c r="M286" i="5"/>
  <c r="P286" i="5"/>
  <c r="Q286" i="5"/>
  <c r="W285" i="5"/>
  <c r="T285" i="5"/>
  <c r="Q285" i="5"/>
  <c r="M285" i="5"/>
  <c r="N285" i="5"/>
  <c r="P285" i="5"/>
  <c r="T284" i="5"/>
  <c r="W284" i="5"/>
  <c r="P284" i="5"/>
  <c r="N284" i="5"/>
  <c r="Q284" i="5"/>
  <c r="M284" i="5"/>
  <c r="W283" i="5"/>
  <c r="T283" i="5"/>
  <c r="Q283" i="5"/>
  <c r="P283" i="5"/>
  <c r="N283" i="5"/>
  <c r="M283" i="5"/>
  <c r="W282" i="5"/>
  <c r="T282" i="5"/>
  <c r="P282" i="5"/>
  <c r="N282" i="5"/>
  <c r="Q282" i="5"/>
  <c r="M282" i="5"/>
  <c r="T281" i="5"/>
  <c r="W281" i="5"/>
  <c r="P281" i="5"/>
  <c r="Q281" i="5"/>
  <c r="M281" i="5"/>
  <c r="N281" i="5"/>
  <c r="T280" i="5"/>
  <c r="W280" i="5"/>
  <c r="P280" i="5"/>
  <c r="N280" i="5"/>
  <c r="M280" i="5"/>
  <c r="Q280" i="5"/>
  <c r="W279" i="5"/>
  <c r="T279" i="5"/>
  <c r="P279" i="5"/>
  <c r="Q279" i="5"/>
  <c r="N279" i="5"/>
  <c r="M279" i="5"/>
  <c r="T278" i="5"/>
  <c r="W278" i="5"/>
  <c r="Q278" i="5"/>
  <c r="P278" i="5"/>
  <c r="N278" i="5"/>
  <c r="M278" i="5"/>
  <c r="W277" i="5"/>
  <c r="T277" i="5"/>
  <c r="Q277" i="5"/>
  <c r="P277" i="5"/>
  <c r="N277" i="5"/>
  <c r="M277" i="5"/>
  <c r="T276" i="5"/>
  <c r="W276" i="5"/>
  <c r="Q276" i="5"/>
  <c r="M276" i="5"/>
  <c r="N276" i="5"/>
  <c r="P276" i="5"/>
  <c r="T275" i="5"/>
  <c r="W275" i="5"/>
  <c r="Q275" i="5"/>
  <c r="P275" i="5"/>
  <c r="N275" i="5"/>
  <c r="M275" i="5"/>
  <c r="W274" i="5"/>
  <c r="T274" i="5"/>
  <c r="Q274" i="5"/>
  <c r="P274" i="5"/>
  <c r="N274" i="5"/>
  <c r="M274" i="5"/>
  <c r="W273" i="5"/>
  <c r="T273" i="5"/>
  <c r="M273" i="5"/>
  <c r="P273" i="5"/>
  <c r="N273" i="5"/>
  <c r="Q273" i="5"/>
  <c r="W272" i="5"/>
  <c r="T272" i="5"/>
  <c r="Q272" i="5"/>
  <c r="P272" i="5"/>
  <c r="N272" i="5"/>
  <c r="M272" i="5"/>
  <c r="W271" i="5"/>
  <c r="T271" i="5"/>
  <c r="M271" i="5"/>
  <c r="N271" i="5"/>
  <c r="Q271" i="5"/>
  <c r="P271" i="5"/>
  <c r="W270" i="5"/>
  <c r="T270" i="5"/>
  <c r="M270" i="5"/>
  <c r="Q270" i="5"/>
  <c r="P270" i="5"/>
  <c r="N270" i="5"/>
  <c r="W269" i="5"/>
  <c r="T269" i="5"/>
  <c r="P269" i="5"/>
  <c r="N269" i="5"/>
  <c r="M269" i="5"/>
  <c r="Q269" i="5"/>
  <c r="W268" i="5"/>
  <c r="T268" i="5"/>
  <c r="Q268" i="5"/>
  <c r="P268" i="5"/>
  <c r="N268" i="5"/>
  <c r="M268" i="5"/>
  <c r="T267" i="5"/>
  <c r="W267" i="5"/>
  <c r="P267" i="5"/>
  <c r="N267" i="5"/>
  <c r="M267" i="5"/>
  <c r="Q267" i="5"/>
  <c r="W266" i="5"/>
  <c r="T266" i="5"/>
  <c r="Q266" i="5"/>
  <c r="P266" i="5"/>
  <c r="N266" i="5"/>
  <c r="M266" i="5"/>
  <c r="W265" i="5"/>
  <c r="T265" i="5"/>
  <c r="M265" i="5"/>
  <c r="N265" i="5"/>
  <c r="Q265" i="5"/>
  <c r="P265" i="5"/>
  <c r="W264" i="5"/>
  <c r="T264" i="5"/>
  <c r="Q264" i="5"/>
  <c r="P264" i="5"/>
  <c r="N264" i="5"/>
  <c r="M264" i="5"/>
  <c r="W263" i="5"/>
  <c r="T263" i="5"/>
  <c r="Q263" i="5"/>
  <c r="P263" i="5"/>
  <c r="N263" i="5"/>
  <c r="M263" i="5"/>
  <c r="T262" i="5"/>
  <c r="W262" i="5"/>
  <c r="Q262" i="5"/>
  <c r="P262" i="5"/>
  <c r="N262" i="5"/>
  <c r="M262" i="5"/>
  <c r="W261" i="5"/>
  <c r="T261" i="5"/>
  <c r="Q261" i="5"/>
  <c r="P261" i="5"/>
  <c r="N261" i="5"/>
  <c r="M261" i="5"/>
  <c r="W260" i="5"/>
  <c r="T260" i="5"/>
  <c r="P260" i="5"/>
  <c r="Q260" i="5"/>
  <c r="M260" i="5"/>
  <c r="N260" i="5"/>
  <c r="W259" i="5"/>
  <c r="T259" i="5"/>
  <c r="Q259" i="5"/>
  <c r="P259" i="5"/>
  <c r="N259" i="5"/>
  <c r="M259" i="5"/>
  <c r="W258" i="5"/>
  <c r="T258" i="5"/>
  <c r="N258" i="5"/>
  <c r="Q258" i="5"/>
  <c r="P258" i="5"/>
  <c r="M258" i="5"/>
  <c r="W257" i="5"/>
  <c r="T257" i="5"/>
  <c r="Q257" i="5"/>
  <c r="P257" i="5"/>
  <c r="N257" i="5"/>
  <c r="M257" i="5"/>
  <c r="T256" i="5"/>
  <c r="W256" i="5"/>
  <c r="P256" i="5"/>
  <c r="N256" i="5"/>
  <c r="M256" i="5"/>
  <c r="Q256" i="5"/>
  <c r="W255" i="5"/>
  <c r="T255" i="5"/>
  <c r="P255" i="5"/>
  <c r="N255" i="5"/>
  <c r="Q255" i="5"/>
  <c r="M255" i="5"/>
  <c r="W254" i="5"/>
  <c r="T254" i="5"/>
  <c r="Q254" i="5"/>
  <c r="P254" i="5"/>
  <c r="N254" i="5"/>
  <c r="M254" i="5"/>
  <c r="T253" i="5"/>
  <c r="W253" i="5"/>
  <c r="Q253" i="5"/>
  <c r="P253" i="5"/>
  <c r="N253" i="5"/>
  <c r="M253" i="5"/>
  <c r="W252" i="5"/>
  <c r="T252" i="5"/>
  <c r="N252" i="5"/>
  <c r="P252" i="5"/>
  <c r="M252" i="5"/>
  <c r="Q252" i="5"/>
  <c r="T251" i="5"/>
  <c r="W251" i="5"/>
  <c r="M251" i="5"/>
  <c r="Q251" i="5"/>
  <c r="P251" i="5"/>
  <c r="N251" i="5"/>
  <c r="W250" i="5"/>
  <c r="T250" i="5"/>
  <c r="P250" i="5"/>
  <c r="Q250" i="5"/>
  <c r="M250" i="5"/>
  <c r="N250" i="5"/>
  <c r="W249" i="5"/>
  <c r="T249" i="5"/>
  <c r="Q249" i="5"/>
  <c r="P249" i="5"/>
  <c r="M249" i="5"/>
  <c r="N249" i="5"/>
  <c r="T248" i="5"/>
  <c r="W248" i="5"/>
  <c r="M248" i="5"/>
  <c r="N248" i="5"/>
  <c r="P248" i="5"/>
  <c r="Q248" i="5"/>
  <c r="T247" i="5"/>
  <c r="W247" i="5"/>
  <c r="M247" i="5"/>
  <c r="N247" i="5"/>
  <c r="Q247" i="5"/>
  <c r="P247" i="5"/>
  <c r="W246" i="5"/>
  <c r="T246" i="5"/>
  <c r="Q246" i="5"/>
  <c r="P246" i="5"/>
  <c r="N246" i="5"/>
  <c r="M246" i="5"/>
  <c r="T245" i="5"/>
  <c r="W245" i="5"/>
  <c r="M245" i="5"/>
  <c r="N245" i="5"/>
  <c r="P245" i="5"/>
  <c r="Q245" i="5"/>
  <c r="T244" i="5"/>
  <c r="W244" i="5"/>
  <c r="P244" i="5"/>
  <c r="M244" i="5"/>
  <c r="N244" i="5"/>
  <c r="Q244" i="5"/>
  <c r="T243" i="5"/>
  <c r="W243" i="5"/>
  <c r="P243" i="5"/>
  <c r="N243" i="5"/>
  <c r="M243" i="5"/>
  <c r="Q243" i="5"/>
  <c r="T242" i="5"/>
  <c r="W242" i="5"/>
  <c r="Q242" i="5"/>
  <c r="M242" i="5"/>
  <c r="P242" i="5"/>
  <c r="N242" i="5"/>
  <c r="T241" i="5"/>
  <c r="W241" i="5"/>
  <c r="Q241" i="5"/>
  <c r="M241" i="5"/>
  <c r="N241" i="5"/>
  <c r="P241" i="5"/>
  <c r="W240" i="5"/>
  <c r="T240" i="5"/>
  <c r="N240" i="5"/>
  <c r="P240" i="5"/>
  <c r="Q240" i="5"/>
  <c r="M240" i="5"/>
  <c r="W239" i="5"/>
  <c r="T239" i="5"/>
  <c r="M239" i="5"/>
  <c r="N239" i="5"/>
  <c r="P239" i="5"/>
  <c r="Q239" i="5"/>
  <c r="T238" i="5"/>
  <c r="W238" i="5"/>
  <c r="Q238" i="5"/>
  <c r="P238" i="5"/>
  <c r="N238" i="5"/>
  <c r="M238" i="5"/>
  <c r="W237" i="5"/>
  <c r="T237" i="5"/>
  <c r="Q237" i="5"/>
  <c r="P237" i="5"/>
  <c r="N237" i="5"/>
  <c r="M237" i="5"/>
  <c r="T236" i="5"/>
  <c r="W236" i="5"/>
  <c r="Q236" i="5"/>
  <c r="N236" i="5"/>
  <c r="P236" i="5"/>
  <c r="M236" i="5"/>
  <c r="W235" i="5"/>
  <c r="T235" i="5"/>
  <c r="M235" i="5"/>
  <c r="N235" i="5"/>
  <c r="Q235" i="5"/>
  <c r="P235" i="5"/>
  <c r="T234" i="5"/>
  <c r="W234" i="5"/>
  <c r="Q234" i="5"/>
  <c r="P234" i="5"/>
  <c r="N234" i="5"/>
  <c r="M234" i="5"/>
  <c r="W233" i="5"/>
  <c r="T233" i="5"/>
  <c r="M233" i="5"/>
  <c r="P233" i="5"/>
  <c r="Q233" i="5"/>
  <c r="N233" i="5"/>
  <c r="W232" i="5"/>
  <c r="T232" i="5"/>
  <c r="Q232" i="5"/>
  <c r="P232" i="5"/>
  <c r="N232" i="5"/>
  <c r="M232" i="5"/>
  <c r="T231" i="5"/>
  <c r="W231" i="5"/>
  <c r="N231" i="5"/>
  <c r="M231" i="5"/>
  <c r="P231" i="5"/>
  <c r="Q231" i="5"/>
  <c r="W230" i="5"/>
  <c r="T230" i="5"/>
  <c r="Q230" i="5"/>
  <c r="P230" i="5"/>
  <c r="N230" i="5"/>
  <c r="M230" i="5"/>
  <c r="W229" i="5"/>
  <c r="T229" i="5"/>
  <c r="Q229" i="5"/>
  <c r="P229" i="5"/>
  <c r="N229" i="5"/>
  <c r="M229" i="5"/>
  <c r="W228" i="5"/>
  <c r="T228" i="5"/>
  <c r="Q228" i="5"/>
  <c r="N228" i="5"/>
  <c r="P228" i="5"/>
  <c r="M228" i="5"/>
  <c r="W227" i="5"/>
  <c r="T227" i="5"/>
  <c r="M227" i="5"/>
  <c r="N227" i="5"/>
  <c r="P227" i="5"/>
  <c r="Q227" i="5"/>
  <c r="W226" i="5"/>
  <c r="T226" i="5"/>
  <c r="M226" i="5"/>
  <c r="N226" i="5"/>
  <c r="P226" i="5"/>
  <c r="Q226" i="5"/>
  <c r="W225" i="5"/>
  <c r="T225" i="5"/>
  <c r="Q225" i="5"/>
  <c r="P225" i="5"/>
  <c r="N225" i="5"/>
  <c r="M225" i="5"/>
  <c r="W224" i="5"/>
  <c r="T224" i="5"/>
  <c r="Q224" i="5"/>
  <c r="P224" i="5"/>
  <c r="N224" i="5"/>
  <c r="M224" i="5"/>
  <c r="W223" i="5"/>
  <c r="T223" i="5"/>
  <c r="M223" i="5"/>
  <c r="Q223" i="5"/>
  <c r="P223" i="5"/>
  <c r="N223" i="5"/>
  <c r="W222" i="5"/>
  <c r="T222" i="5"/>
  <c r="Q222" i="5"/>
  <c r="M222" i="5"/>
  <c r="P222" i="5"/>
  <c r="N222" i="5"/>
  <c r="T221" i="5"/>
  <c r="W221" i="5"/>
  <c r="Q221" i="5"/>
  <c r="P221" i="5"/>
  <c r="N221" i="5"/>
  <c r="M221" i="5"/>
  <c r="W220" i="5"/>
  <c r="T220" i="5"/>
  <c r="M220" i="5"/>
  <c r="N220" i="5"/>
  <c r="P220" i="5"/>
  <c r="Q220" i="5"/>
  <c r="W219" i="5"/>
  <c r="T219" i="5"/>
  <c r="Q219" i="5"/>
  <c r="P219" i="5"/>
  <c r="N219" i="5"/>
  <c r="M219" i="5"/>
  <c r="T218" i="5"/>
  <c r="W218" i="5"/>
  <c r="P218" i="5"/>
  <c r="N218" i="5"/>
  <c r="M218" i="5"/>
  <c r="Q218" i="5"/>
  <c r="W217" i="5"/>
  <c r="T217" i="5"/>
  <c r="Q217" i="5"/>
  <c r="M217" i="5"/>
  <c r="P217" i="5"/>
  <c r="N217" i="5"/>
  <c r="W216" i="5"/>
  <c r="T216" i="5"/>
  <c r="Q216" i="5"/>
  <c r="N216" i="5"/>
  <c r="M216" i="5"/>
  <c r="P216" i="5"/>
  <c r="W215" i="5"/>
  <c r="T215" i="5"/>
  <c r="Q215" i="5"/>
  <c r="P215" i="5"/>
  <c r="N215" i="5"/>
  <c r="M215" i="5"/>
  <c r="W214" i="5"/>
  <c r="T214" i="5"/>
  <c r="Q214" i="5"/>
  <c r="P214" i="5"/>
  <c r="N214" i="5"/>
  <c r="M214" i="5"/>
  <c r="W213" i="5"/>
  <c r="T213" i="5"/>
  <c r="N213" i="5"/>
  <c r="M213" i="5"/>
  <c r="Q213" i="5"/>
  <c r="P213" i="5"/>
  <c r="W212" i="5"/>
  <c r="T212" i="5"/>
  <c r="Q212" i="5"/>
  <c r="P212" i="5"/>
  <c r="N212" i="5"/>
  <c r="M212" i="5"/>
  <c r="W211" i="5"/>
  <c r="T211" i="5"/>
  <c r="N211" i="5"/>
  <c r="M211" i="5"/>
  <c r="P211" i="5"/>
  <c r="Q211" i="5"/>
  <c r="W210" i="5"/>
  <c r="T210" i="5"/>
  <c r="Q210" i="5"/>
  <c r="P210" i="5"/>
  <c r="N210" i="5"/>
  <c r="M210" i="5"/>
  <c r="W209" i="5"/>
  <c r="T209" i="5"/>
  <c r="Q209" i="5"/>
  <c r="P209" i="5"/>
  <c r="N209" i="5"/>
  <c r="M209" i="5"/>
  <c r="W208" i="5"/>
  <c r="T208" i="5"/>
  <c r="P208" i="5"/>
  <c r="Q208" i="5"/>
  <c r="N208" i="5"/>
  <c r="M208" i="5"/>
  <c r="W207" i="5"/>
  <c r="T207" i="5"/>
  <c r="P207" i="5"/>
  <c r="N207" i="5"/>
  <c r="Q207" i="5"/>
  <c r="M207" i="5"/>
  <c r="W206" i="5"/>
  <c r="T206" i="5"/>
  <c r="Q206" i="5"/>
  <c r="P206" i="5"/>
  <c r="N206" i="5"/>
  <c r="M206" i="5"/>
  <c r="W205" i="5"/>
  <c r="T205" i="5"/>
  <c r="Q205" i="5"/>
  <c r="P205" i="5"/>
  <c r="N205" i="5"/>
  <c r="M205" i="5"/>
  <c r="W204" i="5"/>
  <c r="T204" i="5"/>
  <c r="M204" i="5"/>
  <c r="N204" i="5"/>
  <c r="Q204" i="5"/>
  <c r="P204" i="5"/>
  <c r="W203" i="5"/>
  <c r="T203" i="5"/>
  <c r="Q203" i="5"/>
  <c r="P203" i="5"/>
  <c r="N203" i="5"/>
  <c r="M203" i="5"/>
  <c r="W202" i="5"/>
  <c r="T202" i="5"/>
  <c r="Q202" i="5"/>
  <c r="P202" i="5"/>
  <c r="N202" i="5"/>
  <c r="M202" i="5"/>
  <c r="W201" i="5"/>
  <c r="T201" i="5"/>
  <c r="P201" i="5"/>
  <c r="N201" i="5"/>
  <c r="Q201" i="5"/>
  <c r="M201" i="5"/>
  <c r="W200" i="5"/>
  <c r="T200" i="5"/>
  <c r="Q200" i="5"/>
  <c r="N200" i="5"/>
  <c r="M200" i="5"/>
  <c r="P200" i="5"/>
  <c r="W199" i="5"/>
  <c r="T199" i="5"/>
  <c r="N199" i="5"/>
  <c r="M199" i="5"/>
  <c r="P199" i="5"/>
  <c r="Q199" i="5"/>
  <c r="W198" i="5"/>
  <c r="T198" i="5"/>
  <c r="Q198" i="5"/>
  <c r="P198" i="5"/>
  <c r="N198" i="5"/>
  <c r="M198" i="5"/>
  <c r="W197" i="5"/>
  <c r="T197" i="5"/>
  <c r="Q197" i="5"/>
  <c r="P197" i="5"/>
  <c r="N197" i="5"/>
  <c r="M197" i="5"/>
  <c r="W196" i="5"/>
  <c r="T196" i="5"/>
  <c r="P196" i="5"/>
  <c r="M196" i="5"/>
  <c r="N196" i="5"/>
  <c r="Q196" i="5"/>
  <c r="W195" i="5"/>
  <c r="T195" i="5"/>
  <c r="Q195" i="5"/>
  <c r="P195" i="5"/>
  <c r="N195" i="5"/>
  <c r="M195" i="5"/>
  <c r="W194" i="5"/>
  <c r="T194" i="5"/>
  <c r="Q194" i="5"/>
  <c r="P194" i="5"/>
  <c r="N194" i="5"/>
  <c r="M194" i="5"/>
  <c r="W193" i="5"/>
  <c r="T193" i="5"/>
  <c r="N193" i="5"/>
  <c r="Q193" i="5"/>
  <c r="P193" i="5"/>
  <c r="M193" i="5"/>
  <c r="W192" i="5"/>
  <c r="T192" i="5"/>
  <c r="P192" i="5"/>
  <c r="N192" i="5"/>
  <c r="M192" i="5"/>
  <c r="Q192" i="5"/>
  <c r="W191" i="5"/>
  <c r="T191" i="5"/>
  <c r="Q191" i="5"/>
  <c r="P191" i="5"/>
  <c r="N191" i="5"/>
  <c r="M191" i="5"/>
  <c r="W190" i="5"/>
  <c r="T190" i="5"/>
  <c r="Q190" i="5"/>
  <c r="P190" i="5"/>
  <c r="N190" i="5"/>
  <c r="M190" i="5"/>
  <c r="T189" i="5"/>
  <c r="W189" i="5"/>
  <c r="M189" i="5"/>
  <c r="N189" i="5"/>
  <c r="Q189" i="5"/>
  <c r="P189" i="5"/>
  <c r="W188" i="5"/>
  <c r="T188" i="5"/>
  <c r="Q188" i="5"/>
  <c r="P188" i="5"/>
  <c r="N188" i="5"/>
  <c r="M188" i="5"/>
  <c r="W187" i="5"/>
  <c r="T187" i="5"/>
  <c r="Q187" i="5"/>
  <c r="P187" i="5"/>
  <c r="N187" i="5"/>
  <c r="M187" i="5"/>
  <c r="T186" i="5"/>
  <c r="W186" i="5"/>
  <c r="M186" i="5"/>
  <c r="P186" i="5"/>
  <c r="Q186" i="5"/>
  <c r="N186" i="5"/>
  <c r="W185" i="5"/>
  <c r="T185" i="5"/>
  <c r="Q185" i="5"/>
  <c r="P185" i="5"/>
  <c r="N185" i="5"/>
  <c r="M185" i="5"/>
  <c r="W184" i="5"/>
  <c r="T184" i="5"/>
  <c r="N184" i="5"/>
  <c r="P184" i="5"/>
  <c r="Q184" i="5"/>
  <c r="M184" i="5"/>
  <c r="W183" i="5"/>
  <c r="T183" i="5"/>
  <c r="Q183" i="5"/>
  <c r="P183" i="5"/>
  <c r="N183" i="5"/>
  <c r="M183" i="5"/>
  <c r="W182" i="5"/>
  <c r="T182" i="5"/>
  <c r="Q182" i="5"/>
  <c r="P182" i="5"/>
  <c r="N182" i="5"/>
  <c r="M182" i="5"/>
  <c r="W181" i="5"/>
  <c r="T181" i="5"/>
  <c r="Q181" i="5"/>
  <c r="P181" i="5"/>
  <c r="N181" i="5"/>
  <c r="M181" i="5"/>
  <c r="W180" i="5"/>
  <c r="T180" i="5"/>
  <c r="Q180" i="5"/>
  <c r="P180" i="5"/>
  <c r="N180" i="5"/>
  <c r="M180" i="5"/>
  <c r="W179" i="5"/>
  <c r="T179" i="5"/>
  <c r="Q179" i="5"/>
  <c r="P179" i="5"/>
  <c r="N179" i="5"/>
  <c r="M179" i="5"/>
  <c r="W178" i="5"/>
  <c r="T178" i="5"/>
  <c r="Q178" i="5"/>
  <c r="P178" i="5"/>
  <c r="N178" i="5"/>
  <c r="M178" i="5"/>
  <c r="T177" i="5"/>
  <c r="W177" i="5"/>
  <c r="Q177" i="5"/>
  <c r="P177" i="5"/>
  <c r="N177" i="5"/>
  <c r="M177" i="5"/>
  <c r="W176" i="5"/>
  <c r="T176" i="5"/>
  <c r="Q176" i="5"/>
  <c r="P176" i="5"/>
  <c r="N176" i="5"/>
  <c r="M176" i="5"/>
  <c r="W175" i="5"/>
  <c r="T175" i="5"/>
  <c r="Q175" i="5"/>
  <c r="P175" i="5"/>
  <c r="N175" i="5"/>
  <c r="M175" i="5"/>
  <c r="W174" i="5"/>
  <c r="T174" i="5"/>
  <c r="Q174" i="5"/>
  <c r="P174" i="5"/>
  <c r="N174" i="5"/>
  <c r="M174" i="5"/>
  <c r="W173" i="5"/>
  <c r="T173" i="5"/>
  <c r="Q173" i="5"/>
  <c r="P173" i="5"/>
  <c r="N173" i="5"/>
  <c r="M173" i="5"/>
  <c r="W172" i="5"/>
  <c r="T172" i="5"/>
  <c r="Q172" i="5"/>
  <c r="P172" i="5"/>
  <c r="N172" i="5"/>
  <c r="M172" i="5"/>
  <c r="T171" i="5"/>
  <c r="W171" i="5"/>
  <c r="M171" i="5"/>
  <c r="N171" i="5"/>
  <c r="P171" i="5"/>
  <c r="Q171" i="5"/>
  <c r="T170" i="5"/>
  <c r="W170" i="5"/>
  <c r="M170" i="5"/>
  <c r="N170" i="5"/>
  <c r="P170" i="5"/>
  <c r="Q170" i="5"/>
  <c r="T169" i="5"/>
  <c r="W169" i="5"/>
  <c r="P169" i="5"/>
  <c r="N169" i="5"/>
  <c r="M169" i="5"/>
  <c r="Q169" i="5"/>
  <c r="T168" i="5"/>
  <c r="W168" i="5"/>
  <c r="Q168" i="5"/>
  <c r="P168" i="5"/>
  <c r="N168" i="5"/>
  <c r="M168" i="5"/>
  <c r="W167" i="5"/>
  <c r="T167" i="5"/>
  <c r="Q167" i="5"/>
  <c r="P167" i="5"/>
  <c r="N167" i="5"/>
  <c r="M167" i="5"/>
  <c r="W166" i="5"/>
  <c r="T166" i="5"/>
  <c r="M166" i="5"/>
  <c r="N166" i="5"/>
  <c r="P166" i="5"/>
  <c r="Q166" i="5"/>
  <c r="W165" i="5"/>
  <c r="T165" i="5"/>
  <c r="Q165" i="5"/>
  <c r="P165" i="5"/>
  <c r="N165" i="5"/>
  <c r="M165" i="5"/>
  <c r="W164" i="5"/>
  <c r="T164" i="5"/>
  <c r="P164" i="5"/>
  <c r="N164" i="5"/>
  <c r="M164" i="5"/>
  <c r="Q164" i="5"/>
  <c r="W163" i="5"/>
  <c r="T163" i="5"/>
  <c r="Q163" i="5"/>
  <c r="P163" i="5"/>
  <c r="N163" i="5"/>
  <c r="M163" i="5"/>
  <c r="T162" i="5"/>
  <c r="W162" i="5"/>
  <c r="Q162" i="5"/>
  <c r="P162" i="5"/>
  <c r="N162" i="5"/>
  <c r="M162" i="5"/>
  <c r="W161" i="5"/>
  <c r="T161" i="5"/>
  <c r="Q161" i="5"/>
  <c r="P161" i="5"/>
  <c r="N161" i="5"/>
  <c r="M161" i="5"/>
  <c r="W160" i="5"/>
  <c r="T160" i="5"/>
  <c r="Q160" i="5"/>
  <c r="P160" i="5"/>
  <c r="N160" i="5"/>
  <c r="M160" i="5"/>
  <c r="T159" i="5"/>
  <c r="W159" i="5"/>
  <c r="Q159" i="5"/>
  <c r="P159" i="5"/>
  <c r="N159" i="5"/>
  <c r="M159" i="5"/>
  <c r="W158" i="5"/>
  <c r="T158" i="5"/>
  <c r="Q158" i="5"/>
  <c r="P158" i="5"/>
  <c r="N158" i="5"/>
  <c r="M158" i="5"/>
  <c r="W157" i="5"/>
  <c r="T157" i="5"/>
  <c r="Q157" i="5"/>
  <c r="P157" i="5"/>
  <c r="N157" i="5"/>
  <c r="M157" i="5"/>
  <c r="T156" i="5"/>
  <c r="W156" i="5"/>
  <c r="P156" i="5"/>
  <c r="Q156" i="5"/>
  <c r="N156" i="5"/>
  <c r="M156" i="5"/>
  <c r="W155" i="5"/>
  <c r="T155" i="5"/>
  <c r="Q155" i="5"/>
  <c r="P155" i="5"/>
  <c r="N155" i="5"/>
  <c r="M155" i="5"/>
  <c r="W154" i="5"/>
  <c r="T154" i="5"/>
  <c r="Q154" i="5"/>
  <c r="P154" i="5"/>
  <c r="N154" i="5"/>
  <c r="M154" i="5"/>
  <c r="W153" i="5"/>
  <c r="T153" i="5"/>
  <c r="N153" i="5"/>
  <c r="M153" i="5"/>
  <c r="Q153" i="5"/>
  <c r="P153" i="5"/>
  <c r="W152" i="5"/>
  <c r="T152" i="5"/>
  <c r="Q152" i="5"/>
  <c r="P152" i="5"/>
  <c r="N152" i="5"/>
  <c r="M152" i="5"/>
  <c r="W151" i="5"/>
  <c r="T151" i="5"/>
  <c r="V151" i="5"/>
  <c r="S151" i="5"/>
  <c r="U151" i="5"/>
  <c r="R151" i="5"/>
  <c r="M151" i="5"/>
  <c r="Q151" i="5"/>
  <c r="N151" i="5"/>
  <c r="P151" i="5"/>
  <c r="W149" i="5"/>
  <c r="T149" i="5"/>
  <c r="M149" i="5"/>
  <c r="Q149" i="5"/>
  <c r="P149" i="5"/>
  <c r="N149" i="5"/>
  <c r="P150" i="5"/>
  <c r="Q150" i="5"/>
  <c r="T150" i="5"/>
  <c r="W150" i="5"/>
  <c r="W148" i="5"/>
  <c r="T148" i="5"/>
  <c r="Q148" i="5"/>
  <c r="P148" i="5"/>
  <c r="N148" i="5"/>
  <c r="M148" i="5"/>
  <c r="T147" i="5"/>
  <c r="W147" i="5"/>
  <c r="N147" i="5"/>
  <c r="P147" i="5"/>
  <c r="Q147" i="5"/>
  <c r="M147" i="5"/>
  <c r="W146" i="5"/>
  <c r="T146" i="5"/>
  <c r="Q146" i="5"/>
  <c r="P146" i="5"/>
  <c r="N146" i="5"/>
  <c r="M146" i="5"/>
  <c r="W145" i="5"/>
  <c r="T145" i="5"/>
  <c r="Q145" i="5"/>
  <c r="P145" i="5"/>
  <c r="N145" i="5"/>
  <c r="M145" i="5"/>
  <c r="W144" i="5"/>
  <c r="T144" i="5"/>
  <c r="Q144" i="5"/>
  <c r="P144" i="5"/>
  <c r="N144" i="5"/>
  <c r="M144" i="5"/>
  <c r="T143" i="5"/>
  <c r="W143" i="5"/>
  <c r="N143" i="5"/>
  <c r="P143" i="5"/>
  <c r="Q143" i="5"/>
  <c r="M143" i="5"/>
  <c r="W142" i="5"/>
  <c r="T142" i="5"/>
  <c r="Q142" i="5"/>
  <c r="P142" i="5"/>
  <c r="N142" i="5"/>
  <c r="M142" i="5"/>
  <c r="W141" i="5"/>
  <c r="T141" i="5"/>
  <c r="Q141" i="5"/>
  <c r="P141" i="5"/>
  <c r="N141" i="5"/>
  <c r="M141" i="5"/>
  <c r="T140" i="5"/>
  <c r="W140" i="5"/>
  <c r="M140" i="5"/>
  <c r="Q140" i="5"/>
  <c r="P140" i="5"/>
  <c r="N140" i="5"/>
  <c r="W139" i="5"/>
  <c r="T139" i="5"/>
  <c r="Q139" i="5"/>
  <c r="P139" i="5"/>
  <c r="N139" i="5"/>
  <c r="M139" i="5"/>
  <c r="W138" i="5"/>
  <c r="T138" i="5"/>
  <c r="Q138" i="5"/>
  <c r="P138" i="5"/>
  <c r="N138" i="5"/>
  <c r="M138" i="5"/>
  <c r="W137" i="5"/>
  <c r="T137" i="5"/>
  <c r="Q137" i="5"/>
  <c r="P137" i="5"/>
  <c r="N137" i="5"/>
  <c r="M137" i="5"/>
  <c r="T136" i="5"/>
  <c r="W136" i="5"/>
  <c r="M136" i="5"/>
  <c r="Q136" i="5"/>
  <c r="P136" i="5"/>
  <c r="N136" i="5"/>
  <c r="T135" i="5"/>
  <c r="W135" i="5"/>
  <c r="Q135" i="5"/>
  <c r="P135" i="5"/>
  <c r="N135" i="5"/>
  <c r="M135" i="5"/>
  <c r="W134" i="5"/>
  <c r="T134" i="5"/>
  <c r="Q134" i="5"/>
  <c r="P134" i="5"/>
  <c r="N134" i="5"/>
  <c r="M134" i="5"/>
  <c r="W133" i="5"/>
  <c r="T133" i="5"/>
  <c r="Q133" i="5"/>
  <c r="P133" i="5"/>
  <c r="N133" i="5"/>
  <c r="M133" i="5"/>
  <c r="T132" i="5"/>
  <c r="W132" i="5"/>
  <c r="P132" i="5"/>
  <c r="Q132" i="5"/>
  <c r="N132" i="5"/>
  <c r="M132" i="5"/>
  <c r="W131" i="5"/>
  <c r="T131" i="5"/>
  <c r="Q131" i="5"/>
  <c r="P131" i="5"/>
  <c r="N131" i="5"/>
  <c r="M131" i="5"/>
  <c r="W130" i="5"/>
  <c r="T130" i="5"/>
  <c r="Q130" i="5"/>
  <c r="P130" i="5"/>
  <c r="N130" i="5"/>
  <c r="M130" i="5"/>
  <c r="W129" i="5"/>
  <c r="T129" i="5"/>
  <c r="Q129" i="5"/>
  <c r="P129" i="5"/>
  <c r="N129" i="5"/>
  <c r="M129" i="5"/>
  <c r="T128" i="5"/>
  <c r="W128" i="5"/>
  <c r="P128" i="5"/>
  <c r="Q128" i="5"/>
  <c r="N128" i="5"/>
  <c r="M128" i="5"/>
  <c r="W127" i="5"/>
  <c r="T127" i="5"/>
  <c r="Q127" i="5"/>
  <c r="P127" i="5"/>
  <c r="N127" i="5"/>
  <c r="M127" i="5"/>
  <c r="W126" i="5"/>
  <c r="T126" i="5"/>
  <c r="Q126" i="5"/>
  <c r="P126" i="5"/>
  <c r="N126" i="5"/>
  <c r="M126" i="5"/>
  <c r="T125" i="5"/>
  <c r="W125" i="5"/>
  <c r="M125" i="5"/>
  <c r="Q125" i="5"/>
  <c r="P125" i="5"/>
  <c r="N125" i="5"/>
  <c r="W124" i="5"/>
  <c r="T124" i="5"/>
  <c r="Q124" i="5"/>
  <c r="P124" i="5"/>
  <c r="N124" i="5"/>
  <c r="M124" i="5"/>
  <c r="W123" i="5"/>
  <c r="T123" i="5"/>
  <c r="Q123" i="5"/>
  <c r="P123" i="5"/>
  <c r="N123" i="5"/>
  <c r="M123" i="5"/>
  <c r="W122" i="5"/>
  <c r="T122" i="5"/>
  <c r="Q122" i="5"/>
  <c r="P122" i="5"/>
  <c r="N122" i="5"/>
  <c r="M122" i="5"/>
  <c r="T121" i="5"/>
  <c r="W121" i="5"/>
  <c r="M121" i="5"/>
  <c r="Q121" i="5"/>
  <c r="P121" i="5"/>
  <c r="N121" i="5"/>
  <c r="T120" i="5"/>
  <c r="W120" i="5"/>
  <c r="Q120" i="5"/>
  <c r="P120" i="5"/>
  <c r="N120" i="5"/>
  <c r="M120" i="5"/>
  <c r="W119" i="5"/>
  <c r="T119" i="5"/>
  <c r="Q119" i="5"/>
  <c r="P119" i="5"/>
  <c r="N119" i="5"/>
  <c r="M119" i="5"/>
  <c r="W118" i="5"/>
  <c r="T118" i="5"/>
  <c r="Q118" i="5"/>
  <c r="P118" i="5"/>
  <c r="N118" i="5"/>
  <c r="M118" i="5"/>
  <c r="W117" i="5"/>
  <c r="T117" i="5"/>
  <c r="Q117" i="5"/>
  <c r="P117" i="5"/>
  <c r="N117" i="5"/>
  <c r="M117" i="5"/>
  <c r="T116" i="5"/>
  <c r="W116" i="5"/>
  <c r="M116" i="5"/>
  <c r="Q116" i="5"/>
  <c r="P116" i="5"/>
  <c r="N116" i="5"/>
  <c r="T115" i="5"/>
  <c r="W115" i="5"/>
  <c r="Q115" i="5"/>
  <c r="P115" i="5"/>
  <c r="N115" i="5"/>
  <c r="M115" i="5"/>
  <c r="W114" i="5"/>
  <c r="T114" i="5"/>
  <c r="Q114" i="5"/>
  <c r="P114" i="5"/>
  <c r="N114" i="5"/>
  <c r="M114" i="5"/>
  <c r="W113" i="5"/>
  <c r="T113" i="5"/>
  <c r="Q113" i="5"/>
  <c r="P113" i="5"/>
  <c r="N113" i="5"/>
  <c r="M113" i="5"/>
  <c r="W112" i="5"/>
  <c r="T112" i="5"/>
  <c r="Q112" i="5"/>
  <c r="P112" i="5"/>
  <c r="N112" i="5"/>
  <c r="M112" i="5"/>
  <c r="T111" i="5"/>
  <c r="W111" i="5"/>
  <c r="M111" i="5"/>
  <c r="Q111" i="5"/>
  <c r="P111" i="5"/>
  <c r="N111" i="5"/>
  <c r="T110" i="5"/>
  <c r="W110" i="5"/>
  <c r="M110" i="5"/>
  <c r="N110" i="5"/>
  <c r="P110" i="5"/>
  <c r="Q110" i="5"/>
  <c r="W109" i="5"/>
  <c r="T109" i="5"/>
  <c r="Q109" i="5"/>
  <c r="P109" i="5"/>
  <c r="N109" i="5"/>
  <c r="M109" i="5"/>
  <c r="W108" i="5"/>
  <c r="T108" i="5"/>
  <c r="N108" i="5"/>
  <c r="P108" i="5"/>
  <c r="Q108" i="5"/>
  <c r="M108" i="5"/>
  <c r="W107" i="5"/>
  <c r="T107" i="5"/>
  <c r="Q107" i="5"/>
  <c r="P107" i="5"/>
  <c r="N107" i="5"/>
  <c r="M107" i="5"/>
  <c r="W106" i="5"/>
  <c r="T106" i="5"/>
  <c r="Q106" i="5"/>
  <c r="P106" i="5"/>
  <c r="N106" i="5"/>
  <c r="M106" i="5"/>
  <c r="T105" i="5"/>
  <c r="W105" i="5"/>
  <c r="P105" i="5"/>
  <c r="N105" i="5"/>
  <c r="M105" i="5"/>
  <c r="Q105" i="5"/>
  <c r="W104" i="5"/>
  <c r="T104" i="5"/>
  <c r="Q104" i="5"/>
  <c r="P104" i="5"/>
  <c r="N104" i="5"/>
  <c r="M104" i="5"/>
  <c r="W103" i="5"/>
  <c r="T103" i="5"/>
  <c r="Q103" i="5"/>
  <c r="P103" i="5"/>
  <c r="N103" i="5"/>
  <c r="M103" i="5"/>
  <c r="T102" i="5"/>
  <c r="W102" i="5"/>
  <c r="Q102" i="5"/>
  <c r="P102" i="5"/>
  <c r="N102" i="5"/>
  <c r="M102" i="5"/>
  <c r="W101" i="5"/>
  <c r="T101" i="5"/>
  <c r="Q101" i="5"/>
  <c r="P101" i="5"/>
  <c r="N101" i="5"/>
  <c r="M101" i="5"/>
  <c r="W100" i="5"/>
  <c r="T100" i="5"/>
  <c r="Q100" i="5"/>
  <c r="P100" i="5"/>
  <c r="N100" i="5"/>
  <c r="M100" i="5"/>
  <c r="W99" i="5"/>
  <c r="T99" i="5"/>
  <c r="Q99" i="5"/>
  <c r="N99" i="5"/>
  <c r="M99" i="5"/>
  <c r="P99" i="5"/>
  <c r="W98" i="5"/>
  <c r="T98" i="5"/>
  <c r="N98" i="5"/>
  <c r="Q98" i="5"/>
  <c r="P98" i="5"/>
  <c r="M98" i="5"/>
  <c r="W97" i="5"/>
  <c r="T97" i="5"/>
  <c r="Q97" i="5"/>
  <c r="P97" i="5"/>
  <c r="N97" i="5"/>
  <c r="M97" i="5"/>
  <c r="W96" i="5"/>
  <c r="T96" i="5"/>
  <c r="Q96" i="5"/>
  <c r="P96" i="5"/>
  <c r="N96" i="5"/>
  <c r="M96" i="5"/>
  <c r="T95" i="5"/>
  <c r="W95" i="5"/>
  <c r="P95" i="5"/>
  <c r="Q95" i="5"/>
  <c r="N95" i="5"/>
  <c r="M95" i="5"/>
  <c r="W94" i="5"/>
  <c r="T94" i="5"/>
  <c r="Q94" i="5"/>
  <c r="P94" i="5"/>
  <c r="N94" i="5"/>
  <c r="M94" i="5"/>
  <c r="W93" i="5"/>
  <c r="T93" i="5"/>
  <c r="N93" i="5"/>
  <c r="P93" i="5"/>
  <c r="Q93" i="5"/>
  <c r="M93" i="5"/>
  <c r="W92" i="5"/>
  <c r="T92" i="5"/>
  <c r="Q92" i="5"/>
  <c r="P92" i="5"/>
  <c r="N92" i="5"/>
  <c r="M92" i="5"/>
  <c r="W91" i="5"/>
  <c r="T91" i="5"/>
  <c r="Q91" i="5"/>
  <c r="P91" i="5"/>
  <c r="N91" i="5"/>
  <c r="M91" i="5"/>
  <c r="W90" i="5"/>
  <c r="T90" i="5"/>
  <c r="N90" i="5"/>
  <c r="Q90" i="5"/>
  <c r="M90" i="5"/>
  <c r="P90" i="5"/>
  <c r="W89" i="5"/>
  <c r="T89" i="5"/>
  <c r="M89" i="5"/>
  <c r="N89" i="5"/>
  <c r="P89" i="5"/>
  <c r="Q89" i="5"/>
  <c r="T88" i="5"/>
  <c r="W88" i="5"/>
  <c r="M88" i="5"/>
  <c r="N88" i="5"/>
  <c r="P88" i="5"/>
  <c r="Q88" i="5"/>
  <c r="T87" i="5"/>
  <c r="W87" i="5"/>
  <c r="M87" i="5"/>
  <c r="N87" i="5"/>
  <c r="P87" i="5"/>
  <c r="Q87" i="5"/>
  <c r="T86" i="5"/>
  <c r="W86" i="5"/>
  <c r="M86" i="5"/>
  <c r="N86" i="5"/>
  <c r="P86" i="5"/>
  <c r="Q86" i="5"/>
  <c r="W85" i="5"/>
  <c r="T85" i="5"/>
  <c r="P85" i="5"/>
  <c r="M85" i="5"/>
  <c r="N85" i="5"/>
  <c r="Q85" i="5"/>
  <c r="T84" i="5"/>
  <c r="W84" i="5"/>
  <c r="M84" i="5"/>
  <c r="P84" i="5"/>
  <c r="N84" i="5"/>
  <c r="Q84" i="5"/>
  <c r="T83" i="5"/>
  <c r="W83" i="5"/>
  <c r="M83" i="5"/>
  <c r="N83" i="5"/>
  <c r="P83" i="5"/>
  <c r="Q83" i="5"/>
  <c r="T82" i="5"/>
  <c r="W82" i="5"/>
  <c r="M82" i="5"/>
  <c r="N82" i="5"/>
  <c r="P82" i="5"/>
  <c r="Q82" i="5"/>
  <c r="W81" i="5"/>
  <c r="T81" i="5"/>
  <c r="N81" i="5"/>
  <c r="M81" i="5"/>
  <c r="P81" i="5"/>
  <c r="Q81" i="5"/>
  <c r="W80" i="5"/>
  <c r="T80" i="5"/>
  <c r="N80" i="5"/>
  <c r="M80" i="5"/>
  <c r="Q80" i="5"/>
  <c r="P80" i="5"/>
  <c r="T79" i="5"/>
  <c r="W79" i="5"/>
  <c r="N79" i="5"/>
  <c r="M79" i="5"/>
  <c r="Q79" i="5"/>
  <c r="P79" i="5"/>
  <c r="T78" i="5"/>
  <c r="W78" i="5"/>
  <c r="N78" i="5"/>
  <c r="M78" i="5"/>
  <c r="Q78" i="5"/>
  <c r="P78" i="5"/>
  <c r="T77" i="5"/>
  <c r="W77" i="5"/>
  <c r="N77" i="5"/>
  <c r="M77" i="5"/>
  <c r="Q77" i="5"/>
  <c r="P77" i="5"/>
  <c r="T76" i="5"/>
  <c r="W76" i="5"/>
  <c r="N76" i="5"/>
  <c r="M76" i="5"/>
  <c r="Q76" i="5"/>
  <c r="P76" i="5"/>
  <c r="T75" i="5"/>
  <c r="W75" i="5"/>
  <c r="N75" i="5"/>
  <c r="M75" i="5"/>
  <c r="Q75" i="5"/>
  <c r="P75" i="5"/>
  <c r="T74" i="5"/>
  <c r="W74" i="5"/>
  <c r="N74" i="5"/>
  <c r="M74" i="5"/>
  <c r="Q74" i="5"/>
  <c r="P74" i="5"/>
  <c r="T73" i="5"/>
  <c r="W73" i="5"/>
  <c r="N73" i="5"/>
  <c r="M73" i="5"/>
  <c r="Q73" i="5"/>
  <c r="P73" i="5"/>
  <c r="T72" i="5"/>
  <c r="W72" i="5"/>
  <c r="P72" i="5"/>
  <c r="Q72" i="5"/>
  <c r="N72" i="5"/>
  <c r="M72" i="5"/>
  <c r="W71" i="5"/>
  <c r="T71" i="5"/>
  <c r="M71" i="5"/>
  <c r="N71" i="5"/>
  <c r="Q71" i="5"/>
  <c r="P71" i="5"/>
  <c r="W70" i="5"/>
  <c r="T70" i="5"/>
  <c r="Q70" i="5"/>
  <c r="P70" i="5"/>
  <c r="N70" i="5"/>
  <c r="M70" i="5"/>
  <c r="W69" i="5"/>
  <c r="T69" i="5"/>
  <c r="Q69" i="5"/>
  <c r="P69" i="5"/>
  <c r="N69" i="5"/>
  <c r="M69" i="5"/>
  <c r="W68" i="5"/>
  <c r="T68" i="5"/>
  <c r="N68" i="5"/>
  <c r="M68" i="5"/>
  <c r="Q68" i="5"/>
  <c r="P68" i="5"/>
  <c r="T67" i="5"/>
  <c r="W67" i="5"/>
  <c r="P67" i="5"/>
  <c r="M67" i="5"/>
  <c r="N67" i="5"/>
  <c r="Q67" i="5"/>
  <c r="T66" i="5"/>
  <c r="W66" i="5"/>
  <c r="N66" i="5"/>
  <c r="M66" i="5"/>
  <c r="Q66" i="5"/>
  <c r="P66" i="5"/>
  <c r="W65" i="5"/>
  <c r="T65" i="5"/>
  <c r="N65" i="5"/>
  <c r="M65" i="5"/>
  <c r="Q65" i="5"/>
  <c r="P65" i="5"/>
  <c r="W64" i="5"/>
  <c r="T64" i="5"/>
  <c r="N64" i="5"/>
  <c r="M64" i="5"/>
  <c r="Q64" i="5"/>
  <c r="P64" i="5"/>
  <c r="W63" i="5"/>
  <c r="T63" i="5"/>
  <c r="N63" i="5"/>
  <c r="M63" i="5"/>
  <c r="Q63" i="5"/>
  <c r="P63" i="5"/>
  <c r="W62" i="5"/>
  <c r="T62" i="5"/>
  <c r="N62" i="5"/>
  <c r="M62" i="5"/>
  <c r="Q62" i="5"/>
  <c r="P62" i="5"/>
  <c r="W61" i="5"/>
  <c r="T61" i="5"/>
  <c r="N61" i="5"/>
  <c r="M61" i="5"/>
  <c r="Q61" i="5"/>
  <c r="P61" i="5"/>
  <c r="W60" i="5"/>
  <c r="T60" i="5"/>
  <c r="N60" i="5"/>
  <c r="M60" i="5"/>
  <c r="Q60" i="5"/>
  <c r="P60" i="5"/>
  <c r="W59" i="5"/>
  <c r="T59" i="5"/>
  <c r="N59" i="5"/>
  <c r="M59" i="5"/>
  <c r="Q59" i="5"/>
  <c r="P59" i="5"/>
  <c r="W58" i="5"/>
  <c r="T58" i="5"/>
  <c r="N58" i="5"/>
  <c r="M58" i="5"/>
  <c r="Q58" i="5"/>
  <c r="P58" i="5"/>
  <c r="W57" i="5"/>
  <c r="T57" i="5"/>
  <c r="N57" i="5"/>
  <c r="M57" i="5"/>
  <c r="Q57" i="5"/>
  <c r="P57" i="5"/>
  <c r="W56" i="5"/>
  <c r="T56" i="5"/>
  <c r="N56" i="5"/>
  <c r="M56" i="5"/>
  <c r="Q56" i="5"/>
  <c r="P56" i="5"/>
  <c r="W55" i="5"/>
  <c r="T55" i="5"/>
  <c r="N55" i="5"/>
  <c r="M55" i="5"/>
  <c r="Q55" i="5"/>
  <c r="P55" i="5"/>
  <c r="T54" i="5"/>
  <c r="W54" i="5"/>
  <c r="Q54" i="5"/>
  <c r="P54" i="5"/>
  <c r="N54" i="5"/>
  <c r="M54" i="5"/>
  <c r="T53" i="5"/>
  <c r="W53" i="5"/>
  <c r="Q53" i="5"/>
  <c r="P53" i="5"/>
  <c r="N53" i="5"/>
  <c r="M53" i="5"/>
  <c r="W52" i="5"/>
  <c r="T52" i="5"/>
  <c r="Q52" i="5"/>
  <c r="P52" i="5"/>
  <c r="N52" i="5"/>
  <c r="M52" i="5"/>
  <c r="W51" i="5"/>
  <c r="T51" i="5"/>
  <c r="M51" i="5"/>
  <c r="Q51" i="5"/>
  <c r="P51" i="5"/>
  <c r="N51" i="5"/>
  <c r="W50" i="5"/>
  <c r="T50" i="5"/>
  <c r="Q50" i="5"/>
  <c r="N50" i="5"/>
  <c r="M50" i="5"/>
  <c r="P50" i="5"/>
  <c r="W49" i="5"/>
  <c r="T49" i="5"/>
  <c r="Q49" i="5"/>
  <c r="P49" i="5"/>
  <c r="N49" i="5"/>
  <c r="M49" i="5"/>
  <c r="W48" i="5"/>
  <c r="T48" i="5"/>
  <c r="Q48" i="5"/>
  <c r="P48" i="5"/>
  <c r="N48" i="5"/>
  <c r="M48" i="5"/>
  <c r="W47" i="5"/>
  <c r="T47" i="5"/>
  <c r="N47" i="5"/>
  <c r="M47" i="5"/>
  <c r="Q47" i="5"/>
  <c r="P47" i="5"/>
  <c r="T46" i="5"/>
  <c r="W46" i="5"/>
  <c r="N46" i="5"/>
  <c r="M46" i="5"/>
  <c r="Q46" i="5"/>
  <c r="P46" i="5"/>
  <c r="T45" i="5"/>
  <c r="W45" i="5"/>
  <c r="N45" i="5"/>
  <c r="P45" i="5"/>
  <c r="M45" i="5"/>
  <c r="Q45" i="5"/>
  <c r="W44" i="5"/>
  <c r="T44" i="5"/>
  <c r="Q44" i="5"/>
  <c r="P44" i="5"/>
  <c r="N44" i="5"/>
  <c r="M44" i="5"/>
  <c r="W43" i="5"/>
  <c r="T43" i="5"/>
  <c r="N43" i="5"/>
  <c r="M43" i="5"/>
  <c r="Q43" i="5"/>
  <c r="P43" i="5"/>
  <c r="W42" i="5"/>
  <c r="T42" i="5"/>
  <c r="Q42" i="5"/>
  <c r="P42" i="5"/>
  <c r="N42" i="5"/>
  <c r="M42" i="5"/>
  <c r="W41" i="5"/>
  <c r="T41" i="5"/>
  <c r="Q41" i="5"/>
  <c r="P41" i="5"/>
  <c r="N41" i="5"/>
  <c r="M41" i="5"/>
  <c r="W40" i="5"/>
  <c r="T40" i="5"/>
  <c r="M40" i="5"/>
  <c r="Q40" i="5"/>
  <c r="P40" i="5"/>
  <c r="N40" i="5"/>
  <c r="T39" i="5"/>
  <c r="W39" i="5"/>
  <c r="N39" i="5"/>
  <c r="M39" i="5"/>
  <c r="Q39" i="5"/>
  <c r="P39" i="5"/>
  <c r="T38" i="5"/>
  <c r="W38" i="5"/>
  <c r="N38" i="5"/>
  <c r="M38" i="5"/>
  <c r="Q38" i="5"/>
  <c r="P38" i="5"/>
  <c r="T37" i="5"/>
  <c r="W37" i="5"/>
  <c r="N37" i="5"/>
  <c r="M37" i="5"/>
  <c r="Q37" i="5"/>
  <c r="P37" i="5"/>
  <c r="T36" i="5"/>
  <c r="W36" i="5"/>
  <c r="N36" i="5"/>
  <c r="M36" i="5"/>
  <c r="Q36" i="5"/>
  <c r="P36" i="5"/>
  <c r="T35" i="5"/>
  <c r="W35" i="5"/>
  <c r="N35" i="5"/>
  <c r="M35" i="5"/>
  <c r="Q35" i="5"/>
  <c r="P35" i="5"/>
  <c r="T34" i="5"/>
  <c r="W34" i="5"/>
  <c r="M34" i="5"/>
  <c r="Q34" i="5"/>
  <c r="P34" i="5"/>
  <c r="N34" i="5"/>
  <c r="W33" i="5"/>
  <c r="T33" i="5"/>
  <c r="Q33" i="5"/>
  <c r="P33" i="5"/>
  <c r="N33" i="5"/>
  <c r="M33" i="5"/>
  <c r="W32" i="5"/>
  <c r="T32" i="5"/>
  <c r="Q32" i="5"/>
  <c r="P32" i="5"/>
  <c r="N32" i="5"/>
  <c r="M32" i="5"/>
  <c r="T31" i="5"/>
  <c r="W31" i="5"/>
  <c r="N31" i="5"/>
  <c r="Q31" i="5"/>
  <c r="P31" i="5"/>
  <c r="M31" i="5"/>
  <c r="W30" i="5"/>
  <c r="T30" i="5"/>
  <c r="Q30" i="5"/>
  <c r="P30" i="5"/>
  <c r="N30" i="5"/>
  <c r="M30" i="5"/>
  <c r="W29" i="5"/>
  <c r="T29" i="5"/>
  <c r="Q29" i="5"/>
  <c r="P29" i="5"/>
  <c r="N29" i="5"/>
  <c r="M29" i="5"/>
  <c r="T28" i="5"/>
  <c r="W28" i="5"/>
  <c r="Q28" i="5"/>
  <c r="P28" i="5"/>
  <c r="N28" i="5"/>
  <c r="M28" i="5"/>
  <c r="W27" i="5"/>
  <c r="T27" i="5"/>
  <c r="Q27" i="5"/>
  <c r="P27" i="5"/>
  <c r="N27" i="5"/>
  <c r="M27" i="5"/>
  <c r="W26" i="5"/>
  <c r="T26" i="5"/>
  <c r="Q26" i="5"/>
  <c r="P26" i="5"/>
  <c r="N26" i="5"/>
  <c r="M26" i="5"/>
  <c r="W25" i="5"/>
  <c r="T25" i="5"/>
  <c r="Q25" i="5"/>
  <c r="P25" i="5"/>
  <c r="N25" i="5"/>
  <c r="M25" i="5"/>
  <c r="W24" i="5"/>
  <c r="T24" i="5"/>
  <c r="Q24" i="5"/>
  <c r="P24" i="5"/>
  <c r="N24" i="5"/>
  <c r="M24" i="5"/>
  <c r="W23" i="5"/>
  <c r="T23" i="5"/>
  <c r="Q23" i="5"/>
  <c r="P23" i="5"/>
  <c r="N23" i="5"/>
  <c r="M23" i="5"/>
  <c r="T22" i="5"/>
  <c r="W22" i="5"/>
  <c r="Q22" i="5"/>
  <c r="M22" i="5"/>
  <c r="P22" i="5"/>
  <c r="N22" i="5"/>
  <c r="W21" i="5"/>
  <c r="T21" i="5"/>
  <c r="N21" i="5"/>
  <c r="P21" i="5"/>
  <c r="M21" i="5"/>
  <c r="Q21" i="5"/>
  <c r="W20" i="5"/>
  <c r="T20" i="5"/>
  <c r="Q20" i="5"/>
  <c r="P20" i="5"/>
  <c r="N20" i="5"/>
  <c r="M20" i="5"/>
  <c r="W19" i="5"/>
  <c r="T19" i="5"/>
  <c r="N19" i="5"/>
  <c r="M19" i="5"/>
  <c r="Q19" i="5"/>
  <c r="P19" i="5"/>
  <c r="W18" i="5"/>
  <c r="T18" i="5"/>
  <c r="Q18" i="5"/>
  <c r="P18" i="5"/>
  <c r="N18" i="5"/>
  <c r="M18" i="5"/>
  <c r="W17" i="5"/>
  <c r="T17" i="5"/>
  <c r="Q17" i="5"/>
  <c r="P17" i="5"/>
  <c r="N17" i="5"/>
  <c r="M17" i="5"/>
  <c r="T16" i="5"/>
  <c r="W16" i="5"/>
  <c r="N16" i="5"/>
  <c r="P16" i="5"/>
  <c r="Q16" i="5"/>
  <c r="M16" i="5"/>
  <c r="W15" i="5"/>
  <c r="T15" i="5"/>
  <c r="Q15" i="5"/>
  <c r="P15" i="5"/>
  <c r="N15" i="5"/>
  <c r="M15" i="5"/>
  <c r="W14" i="5"/>
  <c r="T14" i="5"/>
  <c r="Q14" i="5"/>
  <c r="P14" i="5"/>
  <c r="N14" i="5"/>
  <c r="M14" i="5"/>
  <c r="W13" i="5"/>
  <c r="T13" i="5"/>
  <c r="P13" i="5"/>
  <c r="N13" i="5"/>
  <c r="M13" i="5"/>
  <c r="Q13" i="5"/>
  <c r="W12" i="5"/>
  <c r="T12" i="5"/>
  <c r="Q12" i="5"/>
  <c r="P12" i="5"/>
  <c r="N12" i="5"/>
  <c r="M12" i="5"/>
  <c r="W11" i="5"/>
  <c r="T11" i="5"/>
  <c r="Q11" i="5"/>
  <c r="P11" i="5"/>
  <c r="N11" i="5"/>
  <c r="M11" i="5"/>
  <c r="W10" i="5"/>
  <c r="T10" i="5"/>
  <c r="M10" i="5"/>
  <c r="N10" i="5"/>
  <c r="P10" i="5"/>
  <c r="Q10" i="5"/>
  <c r="W9" i="5"/>
  <c r="T9" i="5"/>
  <c r="Q9" i="5"/>
  <c r="P9" i="5"/>
  <c r="N9" i="5"/>
  <c r="M9" i="5"/>
  <c r="W8" i="5"/>
  <c r="T8" i="5"/>
  <c r="M8" i="5"/>
  <c r="Q8" i="5"/>
  <c r="N8" i="5"/>
  <c r="P8" i="5"/>
  <c r="T7" i="5"/>
  <c r="W7" i="5"/>
  <c r="M7" i="5"/>
  <c r="N7" i="5"/>
  <c r="P7" i="5"/>
  <c r="Q7" i="5"/>
  <c r="T6" i="5"/>
  <c r="W6" i="5"/>
  <c r="S6" i="5"/>
  <c r="V6" i="5"/>
  <c r="U6" i="5"/>
  <c r="R6" i="5"/>
  <c r="M6" i="5"/>
  <c r="P6" i="5"/>
  <c r="N6" i="5"/>
  <c r="Q6" i="5"/>
  <c r="W410" i="2"/>
  <c r="T410" i="2"/>
  <c r="M410" i="2"/>
  <c r="N410" i="2"/>
  <c r="P410" i="2"/>
  <c r="Q410" i="2"/>
  <c r="T409" i="2"/>
  <c r="W409" i="2"/>
  <c r="P409" i="2"/>
  <c r="N409" i="2"/>
  <c r="M409" i="2"/>
  <c r="Q409" i="2"/>
  <c r="T408" i="2"/>
  <c r="W408" i="2"/>
  <c r="P408" i="2"/>
  <c r="M408" i="2"/>
  <c r="N408" i="2"/>
  <c r="Q408" i="2"/>
  <c r="T407" i="2"/>
  <c r="W407" i="2"/>
  <c r="N407" i="2"/>
  <c r="P407" i="2"/>
  <c r="M407" i="2"/>
  <c r="Q407" i="2"/>
  <c r="W406" i="2"/>
  <c r="T406" i="2"/>
  <c r="Q406" i="2"/>
  <c r="M406" i="2"/>
  <c r="N406" i="2"/>
  <c r="P406" i="2"/>
  <c r="T405" i="2"/>
  <c r="W405" i="2"/>
  <c r="M405" i="2"/>
  <c r="N405" i="2"/>
  <c r="P405" i="2"/>
  <c r="Q405" i="2"/>
  <c r="T404" i="2"/>
  <c r="W404" i="2"/>
  <c r="M404" i="2"/>
  <c r="N404" i="2"/>
  <c r="P404" i="2"/>
  <c r="Q404" i="2"/>
  <c r="W403" i="2"/>
  <c r="T403" i="2"/>
  <c r="Q403" i="2"/>
  <c r="P403" i="2"/>
  <c r="N403" i="2"/>
  <c r="M403" i="2"/>
  <c r="W402" i="2"/>
  <c r="T402" i="2"/>
  <c r="P402" i="2"/>
  <c r="N402" i="2"/>
  <c r="M402" i="2"/>
  <c r="Q402" i="2"/>
  <c r="T401" i="2"/>
  <c r="W401" i="2"/>
  <c r="N401" i="2"/>
  <c r="M401" i="2"/>
  <c r="Q401" i="2"/>
  <c r="P401" i="2"/>
  <c r="W400" i="2"/>
  <c r="T400" i="2"/>
  <c r="Q400" i="2"/>
  <c r="P400" i="2"/>
  <c r="N400" i="2"/>
  <c r="M400" i="2"/>
  <c r="T399" i="2"/>
  <c r="W399" i="2"/>
  <c r="Q399" i="2"/>
  <c r="P399" i="2"/>
  <c r="N399" i="2"/>
  <c r="M399" i="2"/>
  <c r="W398" i="2"/>
  <c r="T398" i="2"/>
  <c r="N398" i="2"/>
  <c r="M398" i="2"/>
  <c r="Q398" i="2"/>
  <c r="P398" i="2"/>
  <c r="W397" i="2"/>
  <c r="T397" i="2"/>
  <c r="Q397" i="2"/>
  <c r="P397" i="2"/>
  <c r="N397" i="2"/>
  <c r="M397" i="2"/>
  <c r="W396" i="2"/>
  <c r="T396" i="2"/>
  <c r="P396" i="2"/>
  <c r="N396" i="2"/>
  <c r="M396" i="2"/>
  <c r="Q396" i="2"/>
  <c r="T395" i="2"/>
  <c r="W395" i="2"/>
  <c r="P395" i="2"/>
  <c r="Q395" i="2"/>
  <c r="N395" i="2"/>
  <c r="M395" i="2"/>
  <c r="W394" i="2"/>
  <c r="T394" i="2"/>
  <c r="M394" i="2"/>
  <c r="P394" i="2"/>
  <c r="N394" i="2"/>
  <c r="Q394" i="2"/>
  <c r="W393" i="2"/>
  <c r="T393" i="2"/>
  <c r="N393" i="2"/>
  <c r="Q393" i="2"/>
  <c r="M393" i="2"/>
  <c r="P393" i="2"/>
  <c r="T392" i="2"/>
  <c r="W392" i="2"/>
  <c r="P392" i="2"/>
  <c r="N392" i="2"/>
  <c r="M392" i="2"/>
  <c r="Q392" i="2"/>
  <c r="T391" i="2"/>
  <c r="W391" i="2"/>
  <c r="Q391" i="2"/>
  <c r="P391" i="2"/>
  <c r="N391" i="2"/>
  <c r="M391" i="2"/>
  <c r="T390" i="2"/>
  <c r="W390" i="2"/>
  <c r="P390" i="2"/>
  <c r="N390" i="2"/>
  <c r="M390" i="2"/>
  <c r="Q390" i="2"/>
  <c r="T389" i="2"/>
  <c r="W389" i="2"/>
  <c r="Q389" i="2"/>
  <c r="P389" i="2"/>
  <c r="N389" i="2"/>
  <c r="M389" i="2"/>
  <c r="T388" i="2"/>
  <c r="W388" i="2"/>
  <c r="Q388" i="2"/>
  <c r="M388" i="2"/>
  <c r="N388" i="2"/>
  <c r="P388" i="2"/>
  <c r="T387" i="2"/>
  <c r="W387" i="2"/>
  <c r="N387" i="2"/>
  <c r="Q387" i="2"/>
  <c r="M387" i="2"/>
  <c r="P387" i="2"/>
  <c r="W386" i="2"/>
  <c r="T386" i="2"/>
  <c r="P386" i="2"/>
  <c r="N386" i="2"/>
  <c r="M386" i="2"/>
  <c r="Q386" i="2"/>
  <c r="T385" i="2"/>
  <c r="W385" i="2"/>
  <c r="Q385" i="2"/>
  <c r="P385" i="2"/>
  <c r="M385" i="2"/>
  <c r="N385" i="2"/>
  <c r="W384" i="2"/>
  <c r="T384" i="2"/>
  <c r="M384" i="2"/>
  <c r="N384" i="2"/>
  <c r="Q384" i="2"/>
  <c r="P384" i="2"/>
  <c r="W383" i="2"/>
  <c r="T383" i="2"/>
  <c r="P383" i="2"/>
  <c r="N383" i="2"/>
  <c r="M383" i="2"/>
  <c r="Q383" i="2"/>
  <c r="T382" i="2"/>
  <c r="W382" i="2"/>
  <c r="M382" i="2"/>
  <c r="P382" i="2"/>
  <c r="N382" i="2"/>
  <c r="Q382" i="2"/>
  <c r="W381" i="2"/>
  <c r="T381" i="2"/>
  <c r="N381" i="2"/>
  <c r="M381" i="2"/>
  <c r="Q381" i="2"/>
  <c r="P381" i="2"/>
  <c r="T380" i="2"/>
  <c r="W380" i="2"/>
  <c r="Q380" i="2"/>
  <c r="M380" i="2"/>
  <c r="N380" i="2"/>
  <c r="P380" i="2"/>
  <c r="T379" i="2"/>
  <c r="W379" i="2"/>
  <c r="Q379" i="2"/>
  <c r="P379" i="2"/>
  <c r="N379" i="2"/>
  <c r="M379" i="2"/>
  <c r="T378" i="2"/>
  <c r="W378" i="2"/>
  <c r="Q378" i="2"/>
  <c r="M378" i="2"/>
  <c r="P378" i="2"/>
  <c r="N378" i="2"/>
  <c r="W377" i="2"/>
  <c r="T377" i="2"/>
  <c r="M377" i="2"/>
  <c r="Q377" i="2"/>
  <c r="P377" i="2"/>
  <c r="N377" i="2"/>
  <c r="W376" i="2"/>
  <c r="T376" i="2"/>
  <c r="N376" i="2"/>
  <c r="P376" i="2"/>
  <c r="M376" i="2"/>
  <c r="Q376" i="2"/>
  <c r="W375" i="2"/>
  <c r="T375" i="2"/>
  <c r="Q375" i="2"/>
  <c r="P375" i="2"/>
  <c r="N375" i="2"/>
  <c r="M375" i="2"/>
  <c r="W374" i="2"/>
  <c r="T374" i="2"/>
  <c r="P374" i="2"/>
  <c r="N374" i="2"/>
  <c r="M374" i="2"/>
  <c r="Q374" i="2"/>
  <c r="W373" i="2"/>
  <c r="T373" i="2"/>
  <c r="Q373" i="2"/>
  <c r="P373" i="2"/>
  <c r="N373" i="2"/>
  <c r="M373" i="2"/>
  <c r="T372" i="2"/>
  <c r="W372" i="2"/>
  <c r="Q372" i="2"/>
  <c r="M372" i="2"/>
  <c r="N372" i="2"/>
  <c r="P372" i="2"/>
  <c r="T371" i="2"/>
  <c r="W371" i="2"/>
  <c r="M371" i="2"/>
  <c r="N371" i="2"/>
  <c r="P371" i="2"/>
  <c r="Q371" i="2"/>
  <c r="W370" i="2"/>
  <c r="T370" i="2"/>
  <c r="M370" i="2"/>
  <c r="N370" i="2"/>
  <c r="P370" i="2"/>
  <c r="Q370" i="2"/>
  <c r="T369" i="2"/>
  <c r="W369" i="2"/>
  <c r="Q369" i="2"/>
  <c r="P369" i="2"/>
  <c r="N369" i="2"/>
  <c r="M369" i="2"/>
  <c r="W368" i="2"/>
  <c r="T368" i="2"/>
  <c r="Q368" i="2"/>
  <c r="P368" i="2"/>
  <c r="N368" i="2"/>
  <c r="M368" i="2"/>
  <c r="W367" i="2"/>
  <c r="T367" i="2"/>
  <c r="P367" i="2"/>
  <c r="M367" i="2"/>
  <c r="Q367" i="2"/>
  <c r="N367" i="2"/>
  <c r="T366" i="2"/>
  <c r="W366" i="2"/>
  <c r="Q366" i="2"/>
  <c r="M366" i="2"/>
  <c r="N366" i="2"/>
  <c r="P366" i="2"/>
  <c r="T365" i="2"/>
  <c r="W365" i="2"/>
  <c r="Q365" i="2"/>
  <c r="M365" i="2"/>
  <c r="N365" i="2"/>
  <c r="P365" i="2"/>
  <c r="T364" i="2"/>
  <c r="W364" i="2"/>
  <c r="Q364" i="2"/>
  <c r="P364" i="2"/>
  <c r="N364" i="2"/>
  <c r="M364" i="2"/>
  <c r="T363" i="2"/>
  <c r="W363" i="2"/>
  <c r="M363" i="2"/>
  <c r="N363" i="2"/>
  <c r="P363" i="2"/>
  <c r="Q363" i="2"/>
  <c r="W362" i="2"/>
  <c r="T362" i="2"/>
  <c r="M362" i="2"/>
  <c r="N362" i="2"/>
  <c r="P362" i="2"/>
  <c r="Q362" i="2"/>
  <c r="W361" i="2"/>
  <c r="T361" i="2"/>
  <c r="M361" i="2"/>
  <c r="Q361" i="2"/>
  <c r="P361" i="2"/>
  <c r="N361" i="2"/>
  <c r="W360" i="2"/>
  <c r="T360" i="2"/>
  <c r="N360" i="2"/>
  <c r="Q360" i="2"/>
  <c r="M360" i="2"/>
  <c r="P360" i="2"/>
  <c r="T359" i="2"/>
  <c r="W359" i="2"/>
  <c r="Q359" i="2"/>
  <c r="P359" i="2"/>
  <c r="N359" i="2"/>
  <c r="M359" i="2"/>
  <c r="W358" i="2"/>
  <c r="T358" i="2"/>
  <c r="Q358" i="2"/>
  <c r="M358" i="2"/>
  <c r="N358" i="2"/>
  <c r="P358" i="2"/>
  <c r="W357" i="2"/>
  <c r="T357" i="2"/>
  <c r="Q357" i="2"/>
  <c r="P357" i="2"/>
  <c r="N357" i="2"/>
  <c r="M357" i="2"/>
  <c r="W356" i="2"/>
  <c r="T356" i="2"/>
  <c r="P356" i="2"/>
  <c r="Q356" i="2"/>
  <c r="N356" i="2"/>
  <c r="M356" i="2"/>
  <c r="W355" i="2"/>
  <c r="T355" i="2"/>
  <c r="M355" i="2"/>
  <c r="Q355" i="2"/>
  <c r="P355" i="2"/>
  <c r="N355" i="2"/>
  <c r="T354" i="2"/>
  <c r="W354" i="2"/>
  <c r="P354" i="2"/>
  <c r="Q354" i="2"/>
  <c r="M354" i="2"/>
  <c r="N354" i="2"/>
  <c r="T353" i="2"/>
  <c r="W353" i="2"/>
  <c r="M353" i="2"/>
  <c r="Q353" i="2"/>
  <c r="P353" i="2"/>
  <c r="N353" i="2"/>
  <c r="T352" i="2"/>
  <c r="W352" i="2"/>
  <c r="N352" i="2"/>
  <c r="M352" i="2"/>
  <c r="Q352" i="2"/>
  <c r="P352" i="2"/>
  <c r="W351" i="2"/>
  <c r="T351" i="2"/>
  <c r="Q351" i="2"/>
  <c r="P351" i="2"/>
  <c r="N351" i="2"/>
  <c r="M351" i="2"/>
  <c r="T350" i="2"/>
  <c r="W350" i="2"/>
  <c r="M350" i="2"/>
  <c r="N350" i="2"/>
  <c r="P350" i="2"/>
  <c r="Q350" i="2"/>
  <c r="W349" i="2"/>
  <c r="T349" i="2"/>
  <c r="P349" i="2"/>
  <c r="Q349" i="2"/>
  <c r="N349" i="2"/>
  <c r="M349" i="2"/>
  <c r="T348" i="2"/>
  <c r="W348" i="2"/>
  <c r="M348" i="2"/>
  <c r="N348" i="2"/>
  <c r="P348" i="2"/>
  <c r="Q348" i="2"/>
  <c r="T347" i="2"/>
  <c r="W347" i="2"/>
  <c r="M347" i="2"/>
  <c r="N347" i="2"/>
  <c r="Q347" i="2"/>
  <c r="P347" i="2"/>
  <c r="T346" i="2"/>
  <c r="W346" i="2"/>
  <c r="M346" i="2"/>
  <c r="N346" i="2"/>
  <c r="P346" i="2"/>
  <c r="Q346" i="2"/>
  <c r="W345" i="2"/>
  <c r="T345" i="2"/>
  <c r="M345" i="2"/>
  <c r="Q345" i="2"/>
  <c r="P345" i="2"/>
  <c r="N345" i="2"/>
  <c r="T344" i="2"/>
  <c r="W344" i="2"/>
  <c r="P344" i="2"/>
  <c r="N344" i="2"/>
  <c r="M344" i="2"/>
  <c r="Q344" i="2"/>
  <c r="W343" i="2"/>
  <c r="T343" i="2"/>
  <c r="N343" i="2"/>
  <c r="Q343" i="2"/>
  <c r="M343" i="2"/>
  <c r="P343" i="2"/>
  <c r="W342" i="2"/>
  <c r="T342" i="2"/>
  <c r="M342" i="2"/>
  <c r="P342" i="2"/>
  <c r="N342" i="2"/>
  <c r="Q342" i="2"/>
  <c r="W341" i="2"/>
  <c r="T341" i="2"/>
  <c r="P341" i="2"/>
  <c r="N341" i="2"/>
  <c r="M341" i="2"/>
  <c r="Q341" i="2"/>
  <c r="T340" i="2"/>
  <c r="W340" i="2"/>
  <c r="Q340" i="2"/>
  <c r="M340" i="2"/>
  <c r="N340" i="2"/>
  <c r="P340" i="2"/>
  <c r="W339" i="2"/>
  <c r="T339" i="2"/>
  <c r="Q339" i="2"/>
  <c r="P339" i="2"/>
  <c r="N339" i="2"/>
  <c r="M339" i="2"/>
  <c r="T338" i="2"/>
  <c r="W338" i="2"/>
  <c r="M338" i="2"/>
  <c r="P338" i="2"/>
  <c r="Q338" i="2"/>
  <c r="N338" i="2"/>
  <c r="W337" i="2"/>
  <c r="T337" i="2"/>
  <c r="Q337" i="2"/>
  <c r="M337" i="2"/>
  <c r="N337" i="2"/>
  <c r="P337" i="2"/>
  <c r="W336" i="2"/>
  <c r="T336" i="2"/>
  <c r="P336" i="2"/>
  <c r="M336" i="2"/>
  <c r="N336" i="2"/>
  <c r="Q336" i="2"/>
  <c r="W335" i="2"/>
  <c r="T335" i="2"/>
  <c r="Q335" i="2"/>
  <c r="P335" i="2"/>
  <c r="N335" i="2"/>
  <c r="M335" i="2"/>
  <c r="T334" i="2"/>
  <c r="W334" i="2"/>
  <c r="P334" i="2"/>
  <c r="N334" i="2"/>
  <c r="M334" i="2"/>
  <c r="Q334" i="2"/>
  <c r="W333" i="2"/>
  <c r="T333" i="2"/>
  <c r="Q333" i="2"/>
  <c r="P333" i="2"/>
  <c r="N333" i="2"/>
  <c r="M333" i="2"/>
  <c r="T332" i="2"/>
  <c r="W332" i="2"/>
  <c r="M332" i="2"/>
  <c r="N332" i="2"/>
  <c r="P332" i="2"/>
  <c r="Q332" i="2"/>
  <c r="T331" i="2"/>
  <c r="W331" i="2"/>
  <c r="P331" i="2"/>
  <c r="M331" i="2"/>
  <c r="N331" i="2"/>
  <c r="Q331" i="2"/>
  <c r="T330" i="2"/>
  <c r="W330" i="2"/>
  <c r="M330" i="2"/>
  <c r="N330" i="2"/>
  <c r="P330" i="2"/>
  <c r="Q330" i="2"/>
  <c r="W329" i="2"/>
  <c r="T329" i="2"/>
  <c r="M329" i="2"/>
  <c r="N329" i="2"/>
  <c r="P329" i="2"/>
  <c r="Q329" i="2"/>
  <c r="T328" i="2"/>
  <c r="W328" i="2"/>
  <c r="Q328" i="2"/>
  <c r="M328" i="2"/>
  <c r="N328" i="2"/>
  <c r="P328" i="2"/>
  <c r="T327" i="2"/>
  <c r="W327" i="2"/>
  <c r="Q327" i="2"/>
  <c r="N327" i="2"/>
  <c r="P327" i="2"/>
  <c r="M327" i="2"/>
  <c r="T326" i="2"/>
  <c r="W326" i="2"/>
  <c r="M326" i="2"/>
  <c r="P326" i="2"/>
  <c r="Q326" i="2"/>
  <c r="N326" i="2"/>
  <c r="W325" i="2"/>
  <c r="T325" i="2"/>
  <c r="P325" i="2"/>
  <c r="N325" i="2"/>
  <c r="M325" i="2"/>
  <c r="Q325" i="2"/>
  <c r="T324" i="2"/>
  <c r="W324" i="2"/>
  <c r="M324" i="2"/>
  <c r="N324" i="2"/>
  <c r="Q324" i="2"/>
  <c r="P324" i="2"/>
  <c r="T323" i="2"/>
  <c r="W323" i="2"/>
  <c r="N323" i="2"/>
  <c r="M323" i="2"/>
  <c r="Q323" i="2"/>
  <c r="P323" i="2"/>
  <c r="W322" i="2"/>
  <c r="T322" i="2"/>
  <c r="M322" i="2"/>
  <c r="P322" i="2"/>
  <c r="N322" i="2"/>
  <c r="Q322" i="2"/>
  <c r="T321" i="2"/>
  <c r="W321" i="2"/>
  <c r="M321" i="2"/>
  <c r="N321" i="2"/>
  <c r="P321" i="2"/>
  <c r="Q321" i="2"/>
  <c r="T320" i="2"/>
  <c r="W320" i="2"/>
  <c r="M320" i="2"/>
  <c r="P320" i="2"/>
  <c r="N320" i="2"/>
  <c r="Q320" i="2"/>
  <c r="W319" i="2"/>
  <c r="T319" i="2"/>
  <c r="Q319" i="2"/>
  <c r="M319" i="2"/>
  <c r="N319" i="2"/>
  <c r="P319" i="2"/>
  <c r="W318" i="2"/>
  <c r="T318" i="2"/>
  <c r="Q318" i="2"/>
  <c r="M318" i="2"/>
  <c r="N318" i="2"/>
  <c r="P318" i="2"/>
  <c r="W317" i="2"/>
  <c r="T317" i="2"/>
  <c r="P317" i="2"/>
  <c r="N317" i="2"/>
  <c r="M317" i="2"/>
  <c r="Q317" i="2"/>
  <c r="W316" i="2"/>
  <c r="T316" i="2"/>
  <c r="M316" i="2"/>
  <c r="Q316" i="2"/>
  <c r="P316" i="2"/>
  <c r="N316" i="2"/>
  <c r="W315" i="2"/>
  <c r="T315" i="2"/>
  <c r="Q315" i="2"/>
  <c r="M315" i="2"/>
  <c r="N315" i="2"/>
  <c r="P315" i="2"/>
  <c r="T314" i="2"/>
  <c r="W314" i="2"/>
  <c r="P314" i="2"/>
  <c r="Q314" i="2"/>
  <c r="N314" i="2"/>
  <c r="M314" i="2"/>
  <c r="W313" i="2"/>
  <c r="T313" i="2"/>
  <c r="P313" i="2"/>
  <c r="Q313" i="2"/>
  <c r="N313" i="2"/>
  <c r="M313" i="2"/>
  <c r="W312" i="2"/>
  <c r="T312" i="2"/>
  <c r="P312" i="2"/>
  <c r="N312" i="2"/>
  <c r="M312" i="2"/>
  <c r="Q312" i="2"/>
  <c r="W311" i="2"/>
  <c r="T311" i="2"/>
  <c r="Q311" i="2"/>
  <c r="M311" i="2"/>
  <c r="N311" i="2"/>
  <c r="P311" i="2"/>
  <c r="W310" i="2"/>
  <c r="T310" i="2"/>
  <c r="P310" i="2"/>
  <c r="N310" i="2"/>
  <c r="M310" i="2"/>
  <c r="Q310" i="2"/>
  <c r="T309" i="2"/>
  <c r="W309" i="2"/>
  <c r="M309" i="2"/>
  <c r="N309" i="2"/>
  <c r="P309" i="2"/>
  <c r="Q309" i="2"/>
  <c r="W308" i="2"/>
  <c r="T308" i="2"/>
  <c r="N308" i="2"/>
  <c r="Q308" i="2"/>
  <c r="P308" i="2"/>
  <c r="M308" i="2"/>
  <c r="W307" i="2"/>
  <c r="T307" i="2"/>
  <c r="P307" i="2"/>
  <c r="M307" i="2"/>
  <c r="N307" i="2"/>
  <c r="Q307" i="2"/>
  <c r="W306" i="2"/>
  <c r="T306" i="2"/>
  <c r="Q306" i="2"/>
  <c r="P306" i="2"/>
  <c r="M306" i="2"/>
  <c r="N306" i="2"/>
  <c r="T305" i="2"/>
  <c r="W305" i="2"/>
  <c r="M305" i="2"/>
  <c r="N305" i="2"/>
  <c r="P305" i="2"/>
  <c r="Q305" i="2"/>
  <c r="T304" i="2"/>
  <c r="W304" i="2"/>
  <c r="Q304" i="2"/>
  <c r="M304" i="2"/>
  <c r="N304" i="2"/>
  <c r="P304" i="2"/>
  <c r="W303" i="2"/>
  <c r="T303" i="2"/>
  <c r="Q303" i="2"/>
  <c r="M303" i="2"/>
  <c r="P303" i="2"/>
  <c r="N303" i="2"/>
  <c r="W302" i="2"/>
  <c r="T302" i="2"/>
  <c r="Q302" i="2"/>
  <c r="P302" i="2"/>
  <c r="N302" i="2"/>
  <c r="M302" i="2"/>
  <c r="W301" i="2"/>
  <c r="T301" i="2"/>
  <c r="N301" i="2"/>
  <c r="M301" i="2"/>
  <c r="P301" i="2"/>
  <c r="Q301" i="2"/>
  <c r="T300" i="2"/>
  <c r="W300" i="2"/>
  <c r="N300" i="2"/>
  <c r="P300" i="2"/>
  <c r="M300" i="2"/>
  <c r="Q300" i="2"/>
  <c r="W299" i="2"/>
  <c r="T299" i="2"/>
  <c r="Q299" i="2"/>
  <c r="M299" i="2"/>
  <c r="N299" i="2"/>
  <c r="P299" i="2"/>
  <c r="W298" i="2"/>
  <c r="T298" i="2"/>
  <c r="P298" i="2"/>
  <c r="N298" i="2"/>
  <c r="Q298" i="2"/>
  <c r="M298" i="2"/>
  <c r="T297" i="2"/>
  <c r="W297" i="2"/>
  <c r="Q297" i="2"/>
  <c r="P297" i="2"/>
  <c r="N297" i="2"/>
  <c r="M297" i="2"/>
  <c r="W296" i="2"/>
  <c r="T296" i="2"/>
  <c r="Q296" i="2"/>
  <c r="P296" i="2"/>
  <c r="N296" i="2"/>
  <c r="M296" i="2"/>
  <c r="W295" i="2"/>
  <c r="T295" i="2"/>
  <c r="P295" i="2"/>
  <c r="N295" i="2"/>
  <c r="M295" i="2"/>
  <c r="Q295" i="2"/>
  <c r="W294" i="2"/>
  <c r="T294" i="2"/>
  <c r="V294" i="2"/>
  <c r="S294" i="2"/>
  <c r="R294" i="2"/>
  <c r="U294" i="2"/>
  <c r="P294" i="2"/>
  <c r="Q294" i="2"/>
  <c r="T293" i="2"/>
  <c r="W293" i="2"/>
  <c r="N293" i="2"/>
  <c r="Q293" i="2"/>
  <c r="P293" i="2"/>
  <c r="M293" i="2"/>
  <c r="T292" i="2"/>
  <c r="W292" i="2"/>
  <c r="M292" i="2"/>
  <c r="N292" i="2"/>
  <c r="P292" i="2"/>
  <c r="Q292" i="2"/>
  <c r="T291" i="2"/>
  <c r="W291" i="2"/>
  <c r="M291" i="2"/>
  <c r="N291" i="2"/>
  <c r="P291" i="2"/>
  <c r="Q291" i="2"/>
  <c r="W290" i="2"/>
  <c r="T290" i="2"/>
  <c r="P290" i="2"/>
  <c r="Q290" i="2"/>
  <c r="N290" i="2"/>
  <c r="M290" i="2"/>
  <c r="T289" i="2"/>
  <c r="W289" i="2"/>
  <c r="M289" i="2"/>
  <c r="N289" i="2"/>
  <c r="P289" i="2"/>
  <c r="Q289" i="2"/>
  <c r="T288" i="2"/>
  <c r="W288" i="2"/>
  <c r="M288" i="2"/>
  <c r="N288" i="2"/>
  <c r="P288" i="2"/>
  <c r="Q288" i="2"/>
  <c r="T287" i="2"/>
  <c r="W287" i="2"/>
  <c r="P287" i="2"/>
  <c r="M287" i="2"/>
  <c r="N287" i="2"/>
  <c r="Q287" i="2"/>
  <c r="W286" i="2"/>
  <c r="T286" i="2"/>
  <c r="Q286" i="2"/>
  <c r="P286" i="2"/>
  <c r="N286" i="2"/>
  <c r="M286" i="2"/>
  <c r="W285" i="2"/>
  <c r="T285" i="2"/>
  <c r="Q285" i="2"/>
  <c r="P285" i="2"/>
  <c r="N285" i="2"/>
  <c r="M285" i="2"/>
  <c r="T284" i="2"/>
  <c r="W284" i="2"/>
  <c r="P284" i="2"/>
  <c r="Q284" i="2"/>
  <c r="N284" i="2"/>
  <c r="M284" i="2"/>
  <c r="W283" i="2"/>
  <c r="T283" i="2"/>
  <c r="Q283" i="2"/>
  <c r="P283" i="2"/>
  <c r="N283" i="2"/>
  <c r="M283" i="2"/>
  <c r="W282" i="2"/>
  <c r="T282" i="2"/>
  <c r="Q282" i="2"/>
  <c r="P282" i="2"/>
  <c r="N282" i="2"/>
  <c r="M282" i="2"/>
  <c r="T281" i="2"/>
  <c r="W281" i="2"/>
  <c r="Q281" i="2"/>
  <c r="P281" i="2"/>
  <c r="N281" i="2"/>
  <c r="M281" i="2"/>
  <c r="W280" i="2"/>
  <c r="T280" i="2"/>
  <c r="Q280" i="2"/>
  <c r="P280" i="2"/>
  <c r="N280" i="2"/>
  <c r="M280" i="2"/>
  <c r="W279" i="2"/>
  <c r="T279" i="2"/>
  <c r="Q279" i="2"/>
  <c r="P279" i="2"/>
  <c r="N279" i="2"/>
  <c r="M279" i="2"/>
  <c r="W278" i="2"/>
  <c r="T278" i="2"/>
  <c r="P278" i="2"/>
  <c r="M278" i="2"/>
  <c r="Q278" i="2"/>
  <c r="N278" i="2"/>
  <c r="W277" i="2"/>
  <c r="T277" i="2"/>
  <c r="Q277" i="2"/>
  <c r="P277" i="2"/>
  <c r="N277" i="2"/>
  <c r="M277" i="2"/>
  <c r="W276" i="2"/>
  <c r="T276" i="2"/>
  <c r="Q276" i="2"/>
  <c r="P276" i="2"/>
  <c r="N276" i="2"/>
  <c r="M276" i="2"/>
  <c r="T275" i="2"/>
  <c r="W275" i="2"/>
  <c r="P275" i="2"/>
  <c r="Q275" i="2"/>
  <c r="N275" i="2"/>
  <c r="M275" i="2"/>
  <c r="W274" i="2"/>
  <c r="T274" i="2"/>
  <c r="Q274" i="2"/>
  <c r="P274" i="2"/>
  <c r="N274" i="2"/>
  <c r="M274" i="2"/>
  <c r="W273" i="2"/>
  <c r="T273" i="2"/>
  <c r="Q273" i="2"/>
  <c r="P273" i="2"/>
  <c r="N273" i="2"/>
  <c r="M273" i="2"/>
  <c r="W272" i="2"/>
  <c r="T272" i="2"/>
  <c r="M272" i="2"/>
  <c r="Q272" i="2"/>
  <c r="P272" i="2"/>
  <c r="N272" i="2"/>
  <c r="W271" i="2"/>
  <c r="T271" i="2"/>
  <c r="Q271" i="2"/>
  <c r="P271" i="2"/>
  <c r="N271" i="2"/>
  <c r="M271" i="2"/>
  <c r="W270" i="2"/>
  <c r="T270" i="2"/>
  <c r="Q270" i="2"/>
  <c r="P270" i="2"/>
  <c r="N270" i="2"/>
  <c r="M270" i="2"/>
  <c r="W269" i="2"/>
  <c r="T269" i="2"/>
  <c r="M269" i="2"/>
  <c r="N269" i="2"/>
  <c r="P269" i="2"/>
  <c r="Q269" i="2"/>
  <c r="W268" i="2"/>
  <c r="T268" i="2"/>
  <c r="Q268" i="2"/>
  <c r="P268" i="2"/>
  <c r="N268" i="2"/>
  <c r="M268" i="2"/>
  <c r="W267" i="2"/>
  <c r="T267" i="2"/>
  <c r="Q267" i="2"/>
  <c r="P267" i="2"/>
  <c r="N267" i="2"/>
  <c r="M267" i="2"/>
  <c r="W266" i="2"/>
  <c r="T266" i="2"/>
  <c r="Q266" i="2"/>
  <c r="N266" i="2"/>
  <c r="P266" i="2"/>
  <c r="M266" i="2"/>
  <c r="W265" i="2"/>
  <c r="T265" i="2"/>
  <c r="Q265" i="2"/>
  <c r="P265" i="2"/>
  <c r="N265" i="2"/>
  <c r="M265" i="2"/>
  <c r="W264" i="2"/>
  <c r="T264" i="2"/>
  <c r="Q264" i="2"/>
  <c r="P264" i="2"/>
  <c r="N264" i="2"/>
  <c r="M264" i="2"/>
  <c r="W263" i="2"/>
  <c r="T263" i="2"/>
  <c r="Q263" i="2"/>
  <c r="P263" i="2"/>
  <c r="N263" i="2"/>
  <c r="M263" i="2"/>
  <c r="W262" i="2"/>
  <c r="T262" i="2"/>
  <c r="Q262" i="2"/>
  <c r="P262" i="2"/>
  <c r="N262" i="2"/>
  <c r="M262" i="2"/>
  <c r="W261" i="2"/>
  <c r="T261" i="2"/>
  <c r="Q261" i="2"/>
  <c r="P261" i="2"/>
  <c r="N261" i="2"/>
  <c r="M261" i="2"/>
  <c r="W260" i="2"/>
  <c r="T260" i="2"/>
  <c r="P260" i="2"/>
  <c r="M260" i="2"/>
  <c r="Q260" i="2"/>
  <c r="N260" i="2"/>
  <c r="T259" i="2"/>
  <c r="W259" i="2"/>
  <c r="Q259" i="2"/>
  <c r="P259" i="2"/>
  <c r="N259" i="2"/>
  <c r="M259" i="2"/>
  <c r="T258" i="2"/>
  <c r="W258" i="2"/>
  <c r="N258" i="2"/>
  <c r="M258" i="2"/>
  <c r="P258" i="2"/>
  <c r="Q258" i="2"/>
  <c r="W257" i="2"/>
  <c r="T257" i="2"/>
  <c r="P257" i="2"/>
  <c r="N257" i="2"/>
  <c r="M257" i="2"/>
  <c r="Q257" i="2"/>
  <c r="W256" i="2"/>
  <c r="T256" i="2"/>
  <c r="Q256" i="2"/>
  <c r="P256" i="2"/>
  <c r="N256" i="2"/>
  <c r="M256" i="2"/>
  <c r="W255" i="2"/>
  <c r="T255" i="2"/>
  <c r="P255" i="2"/>
  <c r="Q255" i="2"/>
  <c r="N255" i="2"/>
  <c r="M255" i="2"/>
  <c r="W254" i="2"/>
  <c r="T254" i="2"/>
  <c r="Q254" i="2"/>
  <c r="P254" i="2"/>
  <c r="N254" i="2"/>
  <c r="M254" i="2"/>
  <c r="W253" i="2"/>
  <c r="T253" i="2"/>
  <c r="Q253" i="2"/>
  <c r="P253" i="2"/>
  <c r="N253" i="2"/>
  <c r="M253" i="2"/>
  <c r="T252" i="2"/>
  <c r="W252" i="2"/>
  <c r="M252" i="2"/>
  <c r="Q252" i="2"/>
  <c r="P252" i="2"/>
  <c r="N252" i="2"/>
  <c r="W251" i="2"/>
  <c r="T251" i="2"/>
  <c r="M251" i="2"/>
  <c r="Q251" i="2"/>
  <c r="P251" i="2"/>
  <c r="N251" i="2"/>
  <c r="W250" i="2"/>
  <c r="T250" i="2"/>
  <c r="M250" i="2"/>
  <c r="Q250" i="2"/>
  <c r="P250" i="2"/>
  <c r="N250" i="2"/>
  <c r="W249" i="2"/>
  <c r="T249" i="2"/>
  <c r="M249" i="2"/>
  <c r="Q249" i="2"/>
  <c r="P249" i="2"/>
  <c r="N249" i="2"/>
  <c r="W248" i="2"/>
  <c r="T248" i="2"/>
  <c r="M248" i="2"/>
  <c r="Q248" i="2"/>
  <c r="P248" i="2"/>
  <c r="N248" i="2"/>
  <c r="W247" i="2"/>
  <c r="T247" i="2"/>
  <c r="M247" i="2"/>
  <c r="Q247" i="2"/>
  <c r="P247" i="2"/>
  <c r="N247" i="2"/>
  <c r="W246" i="2"/>
  <c r="T246" i="2"/>
  <c r="M246" i="2"/>
  <c r="Q246" i="2"/>
  <c r="P246" i="2"/>
  <c r="N246" i="2"/>
  <c r="W245" i="2"/>
  <c r="T245" i="2"/>
  <c r="M245" i="2"/>
  <c r="Q245" i="2"/>
  <c r="P245" i="2"/>
  <c r="N245" i="2"/>
  <c r="T244" i="2"/>
  <c r="W244" i="2"/>
  <c r="M244" i="2"/>
  <c r="Q244" i="2"/>
  <c r="P244" i="2"/>
  <c r="N244" i="2"/>
  <c r="T243" i="2"/>
  <c r="W243" i="2"/>
  <c r="M243" i="2"/>
  <c r="Q243" i="2"/>
  <c r="P243" i="2"/>
  <c r="N243" i="2"/>
  <c r="W242" i="2"/>
  <c r="T242" i="2"/>
  <c r="M242" i="2"/>
  <c r="Q242" i="2"/>
  <c r="P242" i="2"/>
  <c r="N242" i="2"/>
  <c r="W241" i="2"/>
  <c r="T241" i="2"/>
  <c r="M241" i="2"/>
  <c r="Q241" i="2"/>
  <c r="P241" i="2"/>
  <c r="N241" i="2"/>
  <c r="W240" i="2"/>
  <c r="T240" i="2"/>
  <c r="N240" i="2"/>
  <c r="M240" i="2"/>
  <c r="Q240" i="2"/>
  <c r="P240" i="2"/>
  <c r="W239" i="2"/>
  <c r="T239" i="2"/>
  <c r="Q239" i="2"/>
  <c r="P239" i="2"/>
  <c r="N239" i="2"/>
  <c r="M239" i="2"/>
  <c r="W238" i="2"/>
  <c r="T238" i="2"/>
  <c r="Q238" i="2"/>
  <c r="P238" i="2"/>
  <c r="N238" i="2"/>
  <c r="M238" i="2"/>
  <c r="W237" i="2"/>
  <c r="T237" i="2"/>
  <c r="Q237" i="2"/>
  <c r="P237" i="2"/>
  <c r="N237" i="2"/>
  <c r="M237" i="2"/>
  <c r="T236" i="2"/>
  <c r="W236" i="2"/>
  <c r="M236" i="2"/>
  <c r="Q236" i="2"/>
  <c r="P236" i="2"/>
  <c r="N236" i="2"/>
  <c r="W235" i="2"/>
  <c r="T235" i="2"/>
  <c r="M235" i="2"/>
  <c r="Q235" i="2"/>
  <c r="P235" i="2"/>
  <c r="N235" i="2"/>
  <c r="W234" i="2"/>
  <c r="T234" i="2"/>
  <c r="M234" i="2"/>
  <c r="Q234" i="2"/>
  <c r="P234" i="2"/>
  <c r="N234" i="2"/>
  <c r="W233" i="2"/>
  <c r="T233" i="2"/>
  <c r="N233" i="2"/>
  <c r="M233" i="2"/>
  <c r="P233" i="2"/>
  <c r="Q233" i="2"/>
  <c r="W232" i="2"/>
  <c r="T232" i="2"/>
  <c r="Q232" i="2"/>
  <c r="P232" i="2"/>
  <c r="N232" i="2"/>
  <c r="M232" i="2"/>
  <c r="W231" i="2"/>
  <c r="T231" i="2"/>
  <c r="Q231" i="2"/>
  <c r="P231" i="2"/>
  <c r="N231" i="2"/>
  <c r="M231" i="2"/>
  <c r="W230" i="2"/>
  <c r="T230" i="2"/>
  <c r="Q230" i="2"/>
  <c r="P230" i="2"/>
  <c r="N230" i="2"/>
  <c r="M230" i="2"/>
  <c r="T229" i="2"/>
  <c r="W229" i="2"/>
  <c r="M229" i="2"/>
  <c r="Q229" i="2"/>
  <c r="P229" i="2"/>
  <c r="N229" i="2"/>
  <c r="W228" i="2"/>
  <c r="T228" i="2"/>
  <c r="M228" i="2"/>
  <c r="Q228" i="2"/>
  <c r="P228" i="2"/>
  <c r="N228" i="2"/>
  <c r="W227" i="2"/>
  <c r="T227" i="2"/>
  <c r="M227" i="2"/>
  <c r="Q227" i="2"/>
  <c r="P227" i="2"/>
  <c r="N227" i="2"/>
  <c r="W226" i="2"/>
  <c r="T226" i="2"/>
  <c r="M226" i="2"/>
  <c r="Q226" i="2"/>
  <c r="P226" i="2"/>
  <c r="N226" i="2"/>
  <c r="W225" i="2"/>
  <c r="T225" i="2"/>
  <c r="M225" i="2"/>
  <c r="Q225" i="2"/>
  <c r="P225" i="2"/>
  <c r="N225" i="2"/>
  <c r="W224" i="2"/>
  <c r="T224" i="2"/>
  <c r="P224" i="2"/>
  <c r="N224" i="2"/>
  <c r="M224" i="2"/>
  <c r="Q224" i="2"/>
  <c r="W223" i="2"/>
  <c r="T223" i="2"/>
  <c r="N223" i="2"/>
  <c r="Q223" i="2"/>
  <c r="P223" i="2"/>
  <c r="M223" i="2"/>
  <c r="W222" i="2"/>
  <c r="T222" i="2"/>
  <c r="Q222" i="2"/>
  <c r="P222" i="2"/>
  <c r="N222" i="2"/>
  <c r="M222" i="2"/>
  <c r="W221" i="2"/>
  <c r="T221" i="2"/>
  <c r="Q221" i="2"/>
  <c r="P221" i="2"/>
  <c r="N221" i="2"/>
  <c r="M221" i="2"/>
  <c r="T220" i="2"/>
  <c r="W220" i="2"/>
  <c r="M220" i="2"/>
  <c r="Q220" i="2"/>
  <c r="P220" i="2"/>
  <c r="N220" i="2"/>
  <c r="W219" i="2"/>
  <c r="T219" i="2"/>
  <c r="M219" i="2"/>
  <c r="Q219" i="2"/>
  <c r="P219" i="2"/>
  <c r="N219" i="2"/>
  <c r="W218" i="2"/>
  <c r="T218" i="2"/>
  <c r="M218" i="2"/>
  <c r="Q218" i="2"/>
  <c r="P218" i="2"/>
  <c r="N218" i="2"/>
  <c r="W217" i="2"/>
  <c r="T217" i="2"/>
  <c r="M217" i="2"/>
  <c r="Q217" i="2"/>
  <c r="P217" i="2"/>
  <c r="N217" i="2"/>
  <c r="W216" i="2"/>
  <c r="T216" i="2"/>
  <c r="M216" i="2"/>
  <c r="Q216" i="2"/>
  <c r="P216" i="2"/>
  <c r="N216" i="2"/>
  <c r="W215" i="2"/>
  <c r="T215" i="2"/>
  <c r="M215" i="2"/>
  <c r="Q215" i="2"/>
  <c r="P215" i="2"/>
  <c r="N215" i="2"/>
  <c r="W214" i="2"/>
  <c r="T214" i="2"/>
  <c r="M214" i="2"/>
  <c r="Q214" i="2"/>
  <c r="P214" i="2"/>
  <c r="N214" i="2"/>
  <c r="W213" i="2"/>
  <c r="T213" i="2"/>
  <c r="M213" i="2"/>
  <c r="Q213" i="2"/>
  <c r="P213" i="2"/>
  <c r="N213" i="2"/>
  <c r="W212" i="2"/>
  <c r="T212" i="2"/>
  <c r="M212" i="2"/>
  <c r="Q212" i="2"/>
  <c r="P212" i="2"/>
  <c r="N212" i="2"/>
  <c r="W211" i="2"/>
  <c r="T211" i="2"/>
  <c r="M211" i="2"/>
  <c r="Q211" i="2"/>
  <c r="P211" i="2"/>
  <c r="N211" i="2"/>
  <c r="W210" i="2"/>
  <c r="T210" i="2"/>
  <c r="P210" i="2"/>
  <c r="M210" i="2"/>
  <c r="N210" i="2"/>
  <c r="Q210" i="2"/>
  <c r="W209" i="2"/>
  <c r="T209" i="2"/>
  <c r="Q209" i="2"/>
  <c r="P209" i="2"/>
  <c r="N209" i="2"/>
  <c r="M209" i="2"/>
  <c r="W208" i="2"/>
  <c r="T208" i="2"/>
  <c r="Q208" i="2"/>
  <c r="P208" i="2"/>
  <c r="N208" i="2"/>
  <c r="M208" i="2"/>
  <c r="W207" i="2"/>
  <c r="T207" i="2"/>
  <c r="Q207" i="2"/>
  <c r="P207" i="2"/>
  <c r="N207" i="2"/>
  <c r="M207" i="2"/>
  <c r="T206" i="2"/>
  <c r="W206" i="2"/>
  <c r="M206" i="2"/>
  <c r="Q206" i="2"/>
  <c r="P206" i="2"/>
  <c r="N206" i="2"/>
  <c r="W205" i="2"/>
  <c r="T205" i="2"/>
  <c r="M205" i="2"/>
  <c r="Q205" i="2"/>
  <c r="P205" i="2"/>
  <c r="N205" i="2"/>
  <c r="W204" i="2"/>
  <c r="T204" i="2"/>
  <c r="M204" i="2"/>
  <c r="Q204" i="2"/>
  <c r="P204" i="2"/>
  <c r="N204" i="2"/>
  <c r="W203" i="2"/>
  <c r="T203" i="2"/>
  <c r="M203" i="2"/>
  <c r="Q203" i="2"/>
  <c r="P203" i="2"/>
  <c r="N203" i="2"/>
  <c r="W202" i="2"/>
  <c r="T202" i="2"/>
  <c r="M202" i="2"/>
  <c r="Q202" i="2"/>
  <c r="P202" i="2"/>
  <c r="N202" i="2"/>
  <c r="W201" i="2"/>
  <c r="T201" i="2"/>
  <c r="M201" i="2"/>
  <c r="Q201" i="2"/>
  <c r="P201" i="2"/>
  <c r="N201" i="2"/>
  <c r="T200" i="2"/>
  <c r="W200" i="2"/>
  <c r="M200" i="2"/>
  <c r="Q200" i="2"/>
  <c r="P200" i="2"/>
  <c r="N200" i="2"/>
  <c r="T199" i="2"/>
  <c r="W199" i="2"/>
  <c r="M199" i="2"/>
  <c r="Q199" i="2"/>
  <c r="P199" i="2"/>
  <c r="N199" i="2"/>
  <c r="W198" i="2"/>
  <c r="T198" i="2"/>
  <c r="M198" i="2"/>
  <c r="Q198" i="2"/>
  <c r="P198" i="2"/>
  <c r="N198" i="2"/>
  <c r="W197" i="2"/>
  <c r="T197" i="2"/>
  <c r="M197" i="2"/>
  <c r="Q197" i="2"/>
  <c r="P197" i="2"/>
  <c r="N197" i="2"/>
  <c r="W196" i="2"/>
  <c r="T196" i="2"/>
  <c r="M196" i="2"/>
  <c r="Q196" i="2"/>
  <c r="P196" i="2"/>
  <c r="N196" i="2"/>
  <c r="W195" i="2"/>
  <c r="T195" i="2"/>
  <c r="M195" i="2"/>
  <c r="Q195" i="2"/>
  <c r="P195" i="2"/>
  <c r="N195" i="2"/>
  <c r="W194" i="2"/>
  <c r="T194" i="2"/>
  <c r="M194" i="2"/>
  <c r="Q194" i="2"/>
  <c r="P194" i="2"/>
  <c r="N194" i="2"/>
  <c r="W193" i="2"/>
  <c r="T193" i="2"/>
  <c r="M193" i="2"/>
  <c r="Q193" i="2"/>
  <c r="P193" i="2"/>
  <c r="N193" i="2"/>
  <c r="W192" i="2"/>
  <c r="T192" i="2"/>
  <c r="M192" i="2"/>
  <c r="Q192" i="2"/>
  <c r="P192" i="2"/>
  <c r="N192" i="2"/>
  <c r="W191" i="2"/>
  <c r="T191" i="2"/>
  <c r="P191" i="2"/>
  <c r="M191" i="2"/>
  <c r="Q191" i="2"/>
  <c r="N191" i="2"/>
  <c r="W190" i="2"/>
  <c r="T190" i="2"/>
  <c r="P190" i="2"/>
  <c r="N190" i="2"/>
  <c r="M190" i="2"/>
  <c r="Q190" i="2"/>
  <c r="W189" i="2"/>
  <c r="T189" i="2"/>
  <c r="Q189" i="2"/>
  <c r="P189" i="2"/>
  <c r="N189" i="2"/>
  <c r="M189" i="2"/>
  <c r="W188" i="2"/>
  <c r="T188" i="2"/>
  <c r="Q188" i="2"/>
  <c r="P188" i="2"/>
  <c r="N188" i="2"/>
  <c r="M188" i="2"/>
  <c r="W187" i="2"/>
  <c r="T187" i="2"/>
  <c r="Q187" i="2"/>
  <c r="P187" i="2"/>
  <c r="N187" i="2"/>
  <c r="M187" i="2"/>
  <c r="W186" i="2"/>
  <c r="T186" i="2"/>
  <c r="Q186" i="2"/>
  <c r="P186" i="2"/>
  <c r="N186" i="2"/>
  <c r="M186" i="2"/>
  <c r="W185" i="2"/>
  <c r="T185" i="2"/>
  <c r="Q185" i="2"/>
  <c r="P185" i="2"/>
  <c r="N185" i="2"/>
  <c r="M185" i="2"/>
  <c r="T184" i="2"/>
  <c r="W184" i="2"/>
  <c r="M184" i="2"/>
  <c r="P184" i="2"/>
  <c r="N184" i="2"/>
  <c r="Q184" i="2"/>
  <c r="W183" i="2"/>
  <c r="T183" i="2"/>
  <c r="Q183" i="2"/>
  <c r="P183" i="2"/>
  <c r="N183" i="2"/>
  <c r="M183" i="2"/>
  <c r="W182" i="2"/>
  <c r="T182" i="2"/>
  <c r="Q182" i="2"/>
  <c r="P182" i="2"/>
  <c r="N182" i="2"/>
  <c r="M182" i="2"/>
  <c r="T181" i="2"/>
  <c r="W181" i="2"/>
  <c r="M181" i="2"/>
  <c r="P181" i="2"/>
  <c r="N181" i="2"/>
  <c r="Q181" i="2"/>
  <c r="W180" i="2"/>
  <c r="T180" i="2"/>
  <c r="Q180" i="2"/>
  <c r="P180" i="2"/>
  <c r="N180" i="2"/>
  <c r="M180" i="2"/>
  <c r="T179" i="2"/>
  <c r="W179" i="2"/>
  <c r="Q179" i="2"/>
  <c r="P179" i="2"/>
  <c r="N179" i="2"/>
  <c r="M179" i="2"/>
  <c r="W178" i="2"/>
  <c r="T178" i="2"/>
  <c r="Q178" i="2"/>
  <c r="P178" i="2"/>
  <c r="N178" i="2"/>
  <c r="M178" i="2"/>
  <c r="T177" i="2"/>
  <c r="W177" i="2"/>
  <c r="M177" i="2"/>
  <c r="N177" i="2"/>
  <c r="P177" i="2"/>
  <c r="Q177" i="2"/>
  <c r="W176" i="2"/>
  <c r="T176" i="2"/>
  <c r="Q176" i="2"/>
  <c r="P176" i="2"/>
  <c r="N176" i="2"/>
  <c r="M176" i="2"/>
  <c r="W175" i="2"/>
  <c r="T175" i="2"/>
  <c r="Q175" i="2"/>
  <c r="P175" i="2"/>
  <c r="N175" i="2"/>
  <c r="M175" i="2"/>
  <c r="T174" i="2"/>
  <c r="W174" i="2"/>
  <c r="Q174" i="2"/>
  <c r="P174" i="2"/>
  <c r="N174" i="2"/>
  <c r="M174" i="2"/>
  <c r="W173" i="2"/>
  <c r="T173" i="2"/>
  <c r="Q173" i="2"/>
  <c r="P173" i="2"/>
  <c r="N173" i="2"/>
  <c r="M173" i="2"/>
  <c r="W172" i="2"/>
  <c r="T172" i="2"/>
  <c r="Q172" i="2"/>
  <c r="P172" i="2"/>
  <c r="N172" i="2"/>
  <c r="M172" i="2"/>
  <c r="T171" i="2"/>
  <c r="W171" i="2"/>
  <c r="M171" i="2"/>
  <c r="Q171" i="2"/>
  <c r="P171" i="2"/>
  <c r="N171" i="2"/>
  <c r="W170" i="2"/>
  <c r="T170" i="2"/>
  <c r="Q170" i="2"/>
  <c r="P170" i="2"/>
  <c r="N170" i="2"/>
  <c r="M170" i="2"/>
  <c r="W169" i="2"/>
  <c r="T169" i="2"/>
  <c r="Q169" i="2"/>
  <c r="P169" i="2"/>
  <c r="N169" i="2"/>
  <c r="M169" i="2"/>
  <c r="W168" i="2"/>
  <c r="T168" i="2"/>
  <c r="Q168" i="2"/>
  <c r="P168" i="2"/>
  <c r="N168" i="2"/>
  <c r="M168" i="2"/>
  <c r="W167" i="2"/>
  <c r="T167" i="2"/>
  <c r="Q167" i="2"/>
  <c r="P167" i="2"/>
  <c r="N167" i="2"/>
  <c r="M167" i="2"/>
  <c r="W166" i="2"/>
  <c r="T166" i="2"/>
  <c r="Q166" i="2"/>
  <c r="P166" i="2"/>
  <c r="N166" i="2"/>
  <c r="M166" i="2"/>
  <c r="W165" i="2"/>
  <c r="T165" i="2"/>
  <c r="Q165" i="2"/>
  <c r="P165" i="2"/>
  <c r="N165" i="2"/>
  <c r="M165" i="2"/>
  <c r="T164" i="2"/>
  <c r="W164" i="2"/>
  <c r="M164" i="2"/>
  <c r="Q164" i="2"/>
  <c r="P164" i="2"/>
  <c r="N164" i="2"/>
  <c r="T163" i="2"/>
  <c r="W163" i="2"/>
  <c r="Q163" i="2"/>
  <c r="P163" i="2"/>
  <c r="N163" i="2"/>
  <c r="M163" i="2"/>
  <c r="W162" i="2"/>
  <c r="T162" i="2"/>
  <c r="M162" i="2"/>
  <c r="Q162" i="2"/>
  <c r="P162" i="2"/>
  <c r="N162" i="2"/>
  <c r="W161" i="2"/>
  <c r="T161" i="2"/>
  <c r="Q161" i="2"/>
  <c r="P161" i="2"/>
  <c r="N161" i="2"/>
  <c r="M161" i="2"/>
  <c r="W160" i="2"/>
  <c r="T160" i="2"/>
  <c r="P160" i="2"/>
  <c r="Q160" i="2"/>
  <c r="M160" i="2"/>
  <c r="N160" i="2"/>
  <c r="T159" i="2"/>
  <c r="W159" i="2"/>
  <c r="M159" i="2"/>
  <c r="Q159" i="2"/>
  <c r="P159" i="2"/>
  <c r="N159" i="2"/>
  <c r="W158" i="2"/>
  <c r="T158" i="2"/>
  <c r="Q158" i="2"/>
  <c r="P158" i="2"/>
  <c r="N158" i="2"/>
  <c r="M158" i="2"/>
  <c r="T157" i="2"/>
  <c r="W157" i="2"/>
  <c r="Q157" i="2"/>
  <c r="P157" i="2"/>
  <c r="N157" i="2"/>
  <c r="M157" i="2"/>
  <c r="W156" i="2"/>
  <c r="T156" i="2"/>
  <c r="Q156" i="2"/>
  <c r="P156" i="2"/>
  <c r="M156" i="2"/>
  <c r="N156" i="2"/>
  <c r="T155" i="2"/>
  <c r="W155" i="2"/>
  <c r="P155" i="2"/>
  <c r="N155" i="2"/>
  <c r="M155" i="2"/>
  <c r="Q155" i="2"/>
  <c r="W154" i="2"/>
  <c r="T154" i="2"/>
  <c r="Q154" i="2"/>
  <c r="P154" i="2"/>
  <c r="N154" i="2"/>
  <c r="M154" i="2"/>
  <c r="W153" i="2"/>
  <c r="T153" i="2"/>
  <c r="Q153" i="2"/>
  <c r="P153" i="2"/>
  <c r="N153" i="2"/>
  <c r="M153" i="2"/>
  <c r="W152" i="2"/>
  <c r="T152" i="2"/>
  <c r="Q152" i="2"/>
  <c r="P152" i="2"/>
  <c r="N152" i="2"/>
  <c r="M152" i="2"/>
  <c r="T151" i="2"/>
  <c r="W151" i="2"/>
  <c r="N151" i="2"/>
  <c r="P151" i="2"/>
  <c r="Q151" i="2"/>
  <c r="M151" i="2"/>
  <c r="W150" i="2"/>
  <c r="T150" i="2"/>
  <c r="Q150" i="2"/>
  <c r="P150" i="2"/>
  <c r="N150" i="2"/>
  <c r="M150" i="2"/>
  <c r="T149" i="2"/>
  <c r="W149" i="2"/>
  <c r="N149" i="2"/>
  <c r="Q149" i="2"/>
  <c r="P149" i="2"/>
  <c r="M149" i="2"/>
  <c r="W148" i="2"/>
  <c r="T148" i="2"/>
  <c r="Q148" i="2"/>
  <c r="P148" i="2"/>
  <c r="N148" i="2"/>
  <c r="M148" i="2"/>
  <c r="W147" i="2"/>
  <c r="T147" i="2"/>
  <c r="Q147" i="2"/>
  <c r="P147" i="2"/>
  <c r="N147" i="2"/>
  <c r="M147" i="2"/>
  <c r="W146" i="2"/>
  <c r="T146" i="2"/>
  <c r="Q146" i="2"/>
  <c r="P146" i="2"/>
  <c r="N146" i="2"/>
  <c r="M146" i="2"/>
  <c r="W145" i="2"/>
  <c r="T145" i="2"/>
  <c r="Q145" i="2"/>
  <c r="P145" i="2"/>
  <c r="N145" i="2"/>
  <c r="M145" i="2"/>
  <c r="W144" i="2"/>
  <c r="T144" i="2"/>
  <c r="Q144" i="2"/>
  <c r="P144" i="2"/>
  <c r="N144" i="2"/>
  <c r="M144" i="2"/>
  <c r="T143" i="2"/>
  <c r="W143" i="2"/>
  <c r="M143" i="2"/>
  <c r="Q143" i="2"/>
  <c r="P143" i="2"/>
  <c r="N143" i="2"/>
  <c r="W142" i="2"/>
  <c r="T142" i="2"/>
  <c r="Q142" i="2"/>
  <c r="P142" i="2"/>
  <c r="N142" i="2"/>
  <c r="M142" i="2"/>
  <c r="W141" i="2"/>
  <c r="T141" i="2"/>
  <c r="Q141" i="2"/>
  <c r="P141" i="2"/>
  <c r="N141" i="2"/>
  <c r="M141" i="2"/>
  <c r="W140" i="2"/>
  <c r="T140" i="2"/>
  <c r="Q140" i="2"/>
  <c r="P140" i="2"/>
  <c r="N140" i="2"/>
  <c r="M140" i="2"/>
  <c r="T139" i="2"/>
  <c r="W139" i="2"/>
  <c r="M139" i="2"/>
  <c r="Q139" i="2"/>
  <c r="P139" i="2"/>
  <c r="N139" i="2"/>
  <c r="T138" i="2"/>
  <c r="W138" i="2"/>
  <c r="Q138" i="2"/>
  <c r="N138" i="2"/>
  <c r="M138" i="2"/>
  <c r="P138" i="2"/>
  <c r="W137" i="2"/>
  <c r="T137" i="2"/>
  <c r="Q137" i="2"/>
  <c r="P137" i="2"/>
  <c r="N137" i="2"/>
  <c r="M137" i="2"/>
  <c r="W136" i="2"/>
  <c r="T136" i="2"/>
  <c r="Q136" i="2"/>
  <c r="P136" i="2"/>
  <c r="N136" i="2"/>
  <c r="M136" i="2"/>
  <c r="T135" i="2"/>
  <c r="W135" i="2"/>
  <c r="M135" i="2"/>
  <c r="Q135" i="2"/>
  <c r="P135" i="2"/>
  <c r="N135" i="2"/>
  <c r="T134" i="2"/>
  <c r="W134" i="2"/>
  <c r="Q134" i="2"/>
  <c r="P134" i="2"/>
  <c r="N134" i="2"/>
  <c r="M134" i="2"/>
  <c r="W133" i="2"/>
  <c r="T133" i="2"/>
  <c r="Q133" i="2"/>
  <c r="P133" i="2"/>
  <c r="N133" i="2"/>
  <c r="M133" i="2"/>
  <c r="W132" i="2"/>
  <c r="T132" i="2"/>
  <c r="Q132" i="2"/>
  <c r="P132" i="2"/>
  <c r="N132" i="2"/>
  <c r="M132" i="2"/>
  <c r="W131" i="2"/>
  <c r="T131" i="2"/>
  <c r="Q131" i="2"/>
  <c r="P131" i="2"/>
  <c r="N131" i="2"/>
  <c r="M131" i="2"/>
  <c r="T130" i="2"/>
  <c r="W130" i="2"/>
  <c r="M130" i="2"/>
  <c r="Q130" i="2"/>
  <c r="P130" i="2"/>
  <c r="N130" i="2"/>
  <c r="W129" i="2"/>
  <c r="T129" i="2"/>
  <c r="Q129" i="2"/>
  <c r="P129" i="2"/>
  <c r="N129" i="2"/>
  <c r="M129" i="2"/>
  <c r="W128" i="2"/>
  <c r="T128" i="2"/>
  <c r="Q128" i="2"/>
  <c r="P128" i="2"/>
  <c r="N128" i="2"/>
  <c r="M128" i="2"/>
  <c r="W127" i="2"/>
  <c r="T127" i="2"/>
  <c r="Q127" i="2"/>
  <c r="P127" i="2"/>
  <c r="N127" i="2"/>
  <c r="M127" i="2"/>
  <c r="T126" i="2"/>
  <c r="W126" i="2"/>
  <c r="M126" i="2"/>
  <c r="Q126" i="2"/>
  <c r="P126" i="2"/>
  <c r="N126" i="2"/>
  <c r="W125" i="2"/>
  <c r="T125" i="2"/>
  <c r="M125" i="2"/>
  <c r="Q125" i="2"/>
  <c r="P125" i="2"/>
  <c r="N125" i="2"/>
  <c r="W124" i="2"/>
  <c r="T124" i="2"/>
  <c r="M124" i="2"/>
  <c r="Q124" i="2"/>
  <c r="P124" i="2"/>
  <c r="N124" i="2"/>
  <c r="W123" i="2"/>
  <c r="T123" i="2"/>
  <c r="M123" i="2"/>
  <c r="Q123" i="2"/>
  <c r="P123" i="2"/>
  <c r="N123" i="2"/>
  <c r="W122" i="2"/>
  <c r="T122" i="2"/>
  <c r="M122" i="2"/>
  <c r="Q122" i="2"/>
  <c r="P122" i="2"/>
  <c r="N122" i="2"/>
  <c r="W121" i="2"/>
  <c r="T121" i="2"/>
  <c r="M121" i="2"/>
  <c r="Q121" i="2"/>
  <c r="P121" i="2"/>
  <c r="N121" i="2"/>
  <c r="T120" i="2"/>
  <c r="W120" i="2"/>
  <c r="M120" i="2"/>
  <c r="Q120" i="2"/>
  <c r="P120" i="2"/>
  <c r="N120" i="2"/>
  <c r="T119" i="2"/>
  <c r="W119" i="2"/>
  <c r="M119" i="2"/>
  <c r="Q119" i="2"/>
  <c r="P119" i="2"/>
  <c r="N119" i="2"/>
  <c r="W118" i="2"/>
  <c r="T118" i="2"/>
  <c r="P118" i="2"/>
  <c r="M118" i="2"/>
  <c r="N118" i="2"/>
  <c r="Q118" i="2"/>
  <c r="W117" i="2"/>
  <c r="T117" i="2"/>
  <c r="Q117" i="2"/>
  <c r="P117" i="2"/>
  <c r="N117" i="2"/>
  <c r="M117" i="2"/>
  <c r="T116" i="2"/>
  <c r="W116" i="2"/>
  <c r="M116" i="2"/>
  <c r="Q116" i="2"/>
  <c r="P116" i="2"/>
  <c r="N116" i="2"/>
  <c r="T115" i="2"/>
  <c r="W115" i="2"/>
  <c r="M115" i="2"/>
  <c r="P115" i="2"/>
  <c r="N115" i="2"/>
  <c r="Q115" i="2"/>
  <c r="T114" i="2"/>
  <c r="W114" i="2"/>
  <c r="P114" i="2"/>
  <c r="M114" i="2"/>
  <c r="N114" i="2"/>
  <c r="Q114" i="2"/>
  <c r="W113" i="2"/>
  <c r="T113" i="2"/>
  <c r="N113" i="2"/>
  <c r="M113" i="2"/>
  <c r="P113" i="2"/>
  <c r="Q113" i="2"/>
  <c r="T112" i="2"/>
  <c r="W112" i="2"/>
  <c r="Q112" i="2"/>
  <c r="N112" i="2"/>
  <c r="M112" i="2"/>
  <c r="P112" i="2"/>
  <c r="T111" i="2"/>
  <c r="W111" i="2"/>
  <c r="M111" i="2"/>
  <c r="P111" i="2"/>
  <c r="N111" i="2"/>
  <c r="Q111" i="2"/>
  <c r="W110" i="2"/>
  <c r="T110" i="2"/>
  <c r="M110" i="2"/>
  <c r="Q110" i="2"/>
  <c r="P110" i="2"/>
  <c r="N110" i="2"/>
  <c r="W109" i="2"/>
  <c r="T109" i="2"/>
  <c r="P109" i="2"/>
  <c r="N109" i="2"/>
  <c r="M109" i="2"/>
  <c r="Q109" i="2"/>
  <c r="T108" i="2"/>
  <c r="W108" i="2"/>
  <c r="M108" i="2"/>
  <c r="Q108" i="2"/>
  <c r="P108" i="2"/>
  <c r="N108" i="2"/>
  <c r="T107" i="2"/>
  <c r="W107" i="2"/>
  <c r="P107" i="2"/>
  <c r="M107" i="2"/>
  <c r="N107" i="2"/>
  <c r="Q107" i="2"/>
  <c r="W106" i="2"/>
  <c r="T106" i="2"/>
  <c r="M106" i="2"/>
  <c r="P106" i="2"/>
  <c r="N106" i="2"/>
  <c r="Q106" i="2"/>
  <c r="T105" i="2"/>
  <c r="W105" i="2"/>
  <c r="P105" i="2"/>
  <c r="M105" i="2"/>
  <c r="Q105" i="2"/>
  <c r="N105" i="2"/>
  <c r="T104" i="2"/>
  <c r="W104" i="2"/>
  <c r="P104" i="2"/>
  <c r="N104" i="2"/>
  <c r="Q104" i="2"/>
  <c r="M104" i="2"/>
  <c r="W103" i="2"/>
  <c r="T103" i="2"/>
  <c r="P103" i="2"/>
  <c r="M103" i="2"/>
  <c r="N103" i="2"/>
  <c r="Q103" i="2"/>
  <c r="W102" i="2"/>
  <c r="T102" i="2"/>
  <c r="P102" i="2"/>
  <c r="M102" i="2"/>
  <c r="Q102" i="2"/>
  <c r="N102" i="2"/>
  <c r="W101" i="2"/>
  <c r="T101" i="2"/>
  <c r="M101" i="2"/>
  <c r="N101" i="2"/>
  <c r="P101" i="2"/>
  <c r="Q101" i="2"/>
  <c r="T100" i="2"/>
  <c r="W100" i="2"/>
  <c r="P100" i="2"/>
  <c r="M100" i="2"/>
  <c r="Q100" i="2"/>
  <c r="N100" i="2"/>
  <c r="W99" i="2"/>
  <c r="T99" i="2"/>
  <c r="Q99" i="2"/>
  <c r="M99" i="2"/>
  <c r="N99" i="2"/>
  <c r="P99" i="2"/>
  <c r="W98" i="2"/>
  <c r="T98" i="2"/>
  <c r="P98" i="2"/>
  <c r="N98" i="2"/>
  <c r="Q98" i="2"/>
  <c r="M98" i="2"/>
  <c r="W97" i="2"/>
  <c r="T97" i="2"/>
  <c r="N97" i="2"/>
  <c r="M97" i="2"/>
  <c r="P97" i="2"/>
  <c r="Q97" i="2"/>
  <c r="W96" i="2"/>
  <c r="T96" i="2"/>
  <c r="N96" i="2"/>
  <c r="M96" i="2"/>
  <c r="P96" i="2"/>
  <c r="Q96" i="2"/>
  <c r="W95" i="2"/>
  <c r="T95" i="2"/>
  <c r="M95" i="2"/>
  <c r="P95" i="2"/>
  <c r="Q95" i="2"/>
  <c r="N95" i="2"/>
  <c r="T94" i="2"/>
  <c r="W94" i="2"/>
  <c r="N94" i="2"/>
  <c r="Q94" i="2"/>
  <c r="P94" i="2"/>
  <c r="M94" i="2"/>
  <c r="W93" i="2"/>
  <c r="T93" i="2"/>
  <c r="M93" i="2"/>
  <c r="P93" i="2"/>
  <c r="N93" i="2"/>
  <c r="Q93" i="2"/>
  <c r="W92" i="2"/>
  <c r="T92" i="2"/>
  <c r="Q92" i="2"/>
  <c r="N92" i="2"/>
  <c r="P92" i="2"/>
  <c r="M92" i="2"/>
  <c r="W91" i="2"/>
  <c r="T91" i="2"/>
  <c r="M91" i="2"/>
  <c r="N91" i="2"/>
  <c r="P91" i="2"/>
  <c r="Q91" i="2"/>
  <c r="T90" i="2"/>
  <c r="W90" i="2"/>
  <c r="N90" i="2"/>
  <c r="P90" i="2"/>
  <c r="M90" i="2"/>
  <c r="Q90" i="2"/>
  <c r="W89" i="2"/>
  <c r="T89" i="2"/>
  <c r="P89" i="2"/>
  <c r="M89" i="2"/>
  <c r="N89" i="2"/>
  <c r="Q89" i="2"/>
  <c r="T88" i="2"/>
  <c r="W88" i="2"/>
  <c r="M88" i="2"/>
  <c r="Q88" i="2"/>
  <c r="P88" i="2"/>
  <c r="N88" i="2"/>
  <c r="W87" i="2"/>
  <c r="T87" i="2"/>
  <c r="P87" i="2"/>
  <c r="Q87" i="2"/>
  <c r="N87" i="2"/>
  <c r="M87" i="2"/>
  <c r="T86" i="2"/>
  <c r="W86" i="2"/>
  <c r="M86" i="2"/>
  <c r="N86" i="2"/>
  <c r="Q86" i="2"/>
  <c r="P86" i="2"/>
  <c r="W85" i="2"/>
  <c r="T85" i="2"/>
  <c r="N85" i="2"/>
  <c r="P85" i="2"/>
  <c r="M85" i="2"/>
  <c r="Q85" i="2"/>
  <c r="W84" i="2"/>
  <c r="T84" i="2"/>
  <c r="P84" i="2"/>
  <c r="N84" i="2"/>
  <c r="Q84" i="2"/>
  <c r="M84" i="2"/>
  <c r="W83" i="2"/>
  <c r="T83" i="2"/>
  <c r="Q83" i="2"/>
  <c r="M83" i="2"/>
  <c r="P83" i="2"/>
  <c r="N83" i="2"/>
  <c r="W82" i="2"/>
  <c r="T82" i="2"/>
  <c r="N82" i="2"/>
  <c r="M82" i="2"/>
  <c r="Q82" i="2"/>
  <c r="P82" i="2"/>
  <c r="W81" i="2"/>
  <c r="T81" i="2"/>
  <c r="P81" i="2"/>
  <c r="Q81" i="2"/>
  <c r="M81" i="2"/>
  <c r="N81" i="2"/>
  <c r="W80" i="2"/>
  <c r="T80" i="2"/>
  <c r="N80" i="2"/>
  <c r="M80" i="2"/>
  <c r="Q80" i="2"/>
  <c r="P80" i="2"/>
  <c r="W79" i="2"/>
  <c r="T79" i="2"/>
  <c r="N79" i="2"/>
  <c r="Q79" i="2"/>
  <c r="M79" i="2"/>
  <c r="P79" i="2"/>
  <c r="W78" i="2"/>
  <c r="T78" i="2"/>
  <c r="M78" i="2"/>
  <c r="P78" i="2"/>
  <c r="N78" i="2"/>
  <c r="Q78" i="2"/>
  <c r="T77" i="2"/>
  <c r="W77" i="2"/>
  <c r="M77" i="2"/>
  <c r="Q77" i="2"/>
  <c r="P77" i="2"/>
  <c r="N77" i="2"/>
  <c r="W76" i="2"/>
  <c r="T76" i="2"/>
  <c r="P76" i="2"/>
  <c r="N76" i="2"/>
  <c r="M76" i="2"/>
  <c r="Q76" i="2"/>
  <c r="T75" i="2"/>
  <c r="W75" i="2"/>
  <c r="Q75" i="2"/>
  <c r="M75" i="2"/>
  <c r="N75" i="2"/>
  <c r="P75" i="2"/>
  <c r="T74" i="2"/>
  <c r="W74" i="2"/>
  <c r="P74" i="2"/>
  <c r="N74" i="2"/>
  <c r="Q74" i="2"/>
  <c r="M74" i="2"/>
  <c r="T73" i="2"/>
  <c r="W73" i="2"/>
  <c r="N73" i="2"/>
  <c r="Q73" i="2"/>
  <c r="M73" i="2"/>
  <c r="P73" i="2"/>
  <c r="T72" i="2"/>
  <c r="W72" i="2"/>
  <c r="Q72" i="2"/>
  <c r="N72" i="2"/>
  <c r="M72" i="2"/>
  <c r="P72" i="2"/>
  <c r="T71" i="2"/>
  <c r="W71" i="2"/>
  <c r="P71" i="2"/>
  <c r="M71" i="2"/>
  <c r="Q71" i="2"/>
  <c r="N71" i="2"/>
  <c r="T70" i="2"/>
  <c r="W70" i="2"/>
  <c r="P70" i="2"/>
  <c r="M70" i="2"/>
  <c r="N70" i="2"/>
  <c r="Q70" i="2"/>
  <c r="T69" i="2"/>
  <c r="W69" i="2"/>
  <c r="P69" i="2"/>
  <c r="M69" i="2"/>
  <c r="Q69" i="2"/>
  <c r="N69" i="2"/>
  <c r="T68" i="2"/>
  <c r="W68" i="2"/>
  <c r="M68" i="2"/>
  <c r="P68" i="2"/>
  <c r="N68" i="2"/>
  <c r="Q68" i="2"/>
  <c r="W67" i="2"/>
  <c r="T67" i="2"/>
  <c r="M67" i="2"/>
  <c r="Q67" i="2"/>
  <c r="N67" i="2"/>
  <c r="P67" i="2"/>
  <c r="W66" i="2"/>
  <c r="T66" i="2"/>
  <c r="M66" i="2"/>
  <c r="N66" i="2"/>
  <c r="Q66" i="2"/>
  <c r="P66" i="2"/>
  <c r="T65" i="2"/>
  <c r="W65" i="2"/>
  <c r="P65" i="2"/>
  <c r="M65" i="2"/>
  <c r="N65" i="2"/>
  <c r="Q65" i="2"/>
  <c r="W64" i="2"/>
  <c r="T64" i="2"/>
  <c r="N64" i="2"/>
  <c r="Q64" i="2"/>
  <c r="M64" i="2"/>
  <c r="P64" i="2"/>
  <c r="T63" i="2"/>
  <c r="W63" i="2"/>
  <c r="M63" i="2"/>
  <c r="Q63" i="2"/>
  <c r="N63" i="2"/>
  <c r="P63" i="2"/>
  <c r="W62" i="2"/>
  <c r="T62" i="2"/>
  <c r="Q62" i="2"/>
  <c r="M62" i="2"/>
  <c r="P62" i="2"/>
  <c r="N62" i="2"/>
  <c r="T61" i="2"/>
  <c r="W61" i="2"/>
  <c r="N61" i="2"/>
  <c r="M61" i="2"/>
  <c r="Q61" i="2"/>
  <c r="P61" i="2"/>
  <c r="W60" i="2"/>
  <c r="T60" i="2"/>
  <c r="N60" i="2"/>
  <c r="M60" i="2"/>
  <c r="Q60" i="2"/>
  <c r="P60" i="2"/>
  <c r="T59" i="2"/>
  <c r="W59" i="2"/>
  <c r="N59" i="2"/>
  <c r="Q59" i="2"/>
  <c r="M59" i="2"/>
  <c r="P59" i="2"/>
  <c r="T58" i="2"/>
  <c r="W58" i="2"/>
  <c r="M58" i="2"/>
  <c r="Q58" i="2"/>
  <c r="P58" i="2"/>
  <c r="N58" i="2"/>
  <c r="W57" i="2"/>
  <c r="T57" i="2"/>
  <c r="N57" i="2"/>
  <c r="Q57" i="2"/>
  <c r="P57" i="2"/>
  <c r="M57" i="2"/>
  <c r="W56" i="2"/>
  <c r="T56" i="2"/>
  <c r="P56" i="2"/>
  <c r="M56" i="2"/>
  <c r="Q56" i="2"/>
  <c r="N56" i="2"/>
  <c r="W55" i="2"/>
  <c r="T55" i="2"/>
  <c r="Q55" i="2"/>
  <c r="M55" i="2"/>
  <c r="P55" i="2"/>
  <c r="N55" i="2"/>
  <c r="T54" i="2"/>
  <c r="W54" i="2"/>
  <c r="M54" i="2"/>
  <c r="P54" i="2"/>
  <c r="Q54" i="2"/>
  <c r="N54" i="2"/>
  <c r="W53" i="2"/>
  <c r="T53" i="2"/>
  <c r="Q53" i="2"/>
  <c r="N53" i="2"/>
  <c r="P53" i="2"/>
  <c r="M53" i="2"/>
  <c r="T52" i="2"/>
  <c r="W52" i="2"/>
  <c r="P52" i="2"/>
  <c r="N52" i="2"/>
  <c r="M52" i="2"/>
  <c r="Q52" i="2"/>
  <c r="T51" i="2"/>
  <c r="W51" i="2"/>
  <c r="P51" i="2"/>
  <c r="M51" i="2"/>
  <c r="Q51" i="2"/>
  <c r="N51" i="2"/>
  <c r="T50" i="2"/>
  <c r="W50" i="2"/>
  <c r="M50" i="2"/>
  <c r="P50" i="2"/>
  <c r="Q50" i="2"/>
  <c r="N50" i="2"/>
  <c r="T49" i="2"/>
  <c r="W49" i="2"/>
  <c r="Q49" i="2"/>
  <c r="N49" i="2"/>
  <c r="P49" i="2"/>
  <c r="M49" i="2"/>
  <c r="T48" i="2"/>
  <c r="W48" i="2"/>
  <c r="Q48" i="2"/>
  <c r="M48" i="2"/>
  <c r="P48" i="2"/>
  <c r="N48" i="2"/>
  <c r="T47" i="2"/>
  <c r="W47" i="2"/>
  <c r="N47" i="2"/>
  <c r="Q47" i="2"/>
  <c r="P47" i="2"/>
  <c r="M47" i="2"/>
  <c r="W46" i="2"/>
  <c r="T46" i="2"/>
  <c r="P46" i="2"/>
  <c r="M46" i="2"/>
  <c r="N46" i="2"/>
  <c r="Q46" i="2"/>
  <c r="W45" i="2"/>
  <c r="T45" i="2"/>
  <c r="P45" i="2"/>
  <c r="N45" i="2"/>
  <c r="Q45" i="2"/>
  <c r="M45" i="2"/>
  <c r="T44" i="2"/>
  <c r="W44" i="2"/>
  <c r="M44" i="2"/>
  <c r="Q44" i="2"/>
  <c r="P44" i="2"/>
  <c r="N44" i="2"/>
  <c r="W43" i="2"/>
  <c r="T43" i="2"/>
  <c r="Q43" i="2"/>
  <c r="N43" i="2"/>
  <c r="P43" i="2"/>
  <c r="M43" i="2"/>
  <c r="W42" i="2"/>
  <c r="T42" i="2"/>
  <c r="P42" i="2"/>
  <c r="N42" i="2"/>
  <c r="Q42" i="2"/>
  <c r="M42" i="2"/>
  <c r="T41" i="2"/>
  <c r="W41" i="2"/>
  <c r="M41" i="2"/>
  <c r="P41" i="2"/>
  <c r="N41" i="2"/>
  <c r="Q41" i="2"/>
  <c r="W40" i="2"/>
  <c r="T40" i="2"/>
  <c r="P40" i="2"/>
  <c r="Q40" i="2"/>
  <c r="N40" i="2"/>
  <c r="M40" i="2"/>
  <c r="W39" i="2"/>
  <c r="T39" i="2"/>
  <c r="P39" i="2"/>
  <c r="Q39" i="2"/>
  <c r="N39" i="2"/>
  <c r="M39" i="2"/>
  <c r="T38" i="2"/>
  <c r="W38" i="2"/>
  <c r="M38" i="2"/>
  <c r="N38" i="2"/>
  <c r="P38" i="2"/>
  <c r="Q38" i="2"/>
  <c r="W37" i="2"/>
  <c r="T37" i="2"/>
  <c r="Q37" i="2"/>
  <c r="P37" i="2"/>
  <c r="N37" i="2"/>
  <c r="M37" i="2"/>
  <c r="W36" i="2"/>
  <c r="T36" i="2"/>
  <c r="M36" i="2"/>
  <c r="N36" i="2"/>
  <c r="P36" i="2"/>
  <c r="Q36" i="2"/>
  <c r="T35" i="2"/>
  <c r="W35" i="2"/>
  <c r="M35" i="2"/>
  <c r="P35" i="2"/>
  <c r="Q35" i="2"/>
  <c r="N35" i="2"/>
  <c r="T34" i="2"/>
  <c r="W34" i="2"/>
  <c r="M34" i="2"/>
  <c r="Q34" i="2"/>
  <c r="N34" i="2"/>
  <c r="P34" i="2"/>
  <c r="T33" i="2"/>
  <c r="W33" i="2"/>
  <c r="M33" i="2"/>
  <c r="P33" i="2"/>
  <c r="Q33" i="2"/>
  <c r="N33" i="2"/>
  <c r="W32" i="2"/>
  <c r="T32" i="2"/>
  <c r="V32" i="2"/>
  <c r="S32" i="2"/>
  <c r="R32" i="2"/>
  <c r="U32" i="2"/>
  <c r="Q32" i="2"/>
  <c r="P32" i="2"/>
  <c r="W31" i="2"/>
  <c r="T31" i="2"/>
  <c r="Q31" i="2"/>
  <c r="P31" i="2"/>
  <c r="N31" i="2"/>
  <c r="M31" i="2"/>
  <c r="W30" i="2"/>
  <c r="T30" i="2"/>
  <c r="Q30" i="2"/>
  <c r="P30" i="2"/>
  <c r="N30" i="2"/>
  <c r="M30" i="2"/>
  <c r="W29" i="2"/>
  <c r="T29" i="2"/>
  <c r="Q29" i="2"/>
  <c r="P29" i="2"/>
  <c r="N29" i="2"/>
  <c r="M29" i="2"/>
  <c r="W28" i="2"/>
  <c r="T28" i="2"/>
  <c r="Q28" i="2"/>
  <c r="P28" i="2"/>
  <c r="N28" i="2"/>
  <c r="M28" i="2"/>
  <c r="W27" i="2"/>
  <c r="T27" i="2"/>
  <c r="Q27" i="2"/>
  <c r="P27" i="2"/>
  <c r="N27" i="2"/>
  <c r="M27" i="2"/>
  <c r="W26" i="2"/>
  <c r="T26" i="2"/>
  <c r="P26" i="2"/>
  <c r="Q26" i="2"/>
  <c r="N26" i="2"/>
  <c r="M26" i="2"/>
  <c r="W25" i="2"/>
  <c r="T25" i="2"/>
  <c r="Q25" i="2"/>
  <c r="P25" i="2"/>
  <c r="N25" i="2"/>
  <c r="M25" i="2"/>
  <c r="W24" i="2"/>
  <c r="T24" i="2"/>
  <c r="Q24" i="2"/>
  <c r="P24" i="2"/>
  <c r="N24" i="2"/>
  <c r="M24" i="2"/>
  <c r="W23" i="2"/>
  <c r="T23" i="2"/>
  <c r="Q23" i="2"/>
  <c r="P23" i="2"/>
  <c r="N23" i="2"/>
  <c r="M23" i="2"/>
  <c r="T22" i="2"/>
  <c r="W22" i="2"/>
  <c r="P22" i="2"/>
  <c r="N22" i="2"/>
  <c r="M22" i="2"/>
  <c r="Q22" i="2"/>
  <c r="W21" i="2"/>
  <c r="T21" i="2"/>
  <c r="Q21" i="2"/>
  <c r="P21" i="2"/>
  <c r="N21" i="2"/>
  <c r="M21" i="2"/>
  <c r="W20" i="2"/>
  <c r="T20" i="2"/>
  <c r="Q20" i="2"/>
  <c r="M20" i="2"/>
  <c r="N20" i="2"/>
  <c r="P20" i="2"/>
  <c r="W19" i="2"/>
  <c r="T19" i="2"/>
  <c r="Q19" i="2"/>
  <c r="P19" i="2"/>
  <c r="N19" i="2"/>
  <c r="M19" i="2"/>
  <c r="W18" i="2"/>
  <c r="T18" i="2"/>
  <c r="Q18" i="2"/>
  <c r="P18" i="2"/>
  <c r="N18" i="2"/>
  <c r="M18" i="2"/>
  <c r="W17" i="2"/>
  <c r="T17" i="2"/>
  <c r="N17" i="2"/>
  <c r="Q17" i="2"/>
  <c r="P17" i="2"/>
  <c r="M17" i="2"/>
  <c r="W16" i="2"/>
  <c r="T16" i="2"/>
  <c r="Q16" i="2"/>
  <c r="P16" i="2"/>
  <c r="N16" i="2"/>
  <c r="M16" i="2"/>
  <c r="W15" i="2"/>
  <c r="T15" i="2"/>
  <c r="Q15" i="2"/>
  <c r="P15" i="2"/>
  <c r="N15" i="2"/>
  <c r="M15" i="2"/>
  <c r="W14" i="2"/>
  <c r="T14" i="2"/>
  <c r="N14" i="2"/>
  <c r="M14" i="2"/>
  <c r="Q14" i="2"/>
  <c r="P14" i="2"/>
  <c r="W13" i="2"/>
  <c r="T13" i="2"/>
  <c r="Q13" i="2"/>
  <c r="P13" i="2"/>
  <c r="N13" i="2"/>
  <c r="M13" i="2"/>
  <c r="W12" i="2"/>
  <c r="T12" i="2"/>
  <c r="Q12" i="2"/>
  <c r="P12" i="2"/>
  <c r="N12" i="2"/>
  <c r="M12" i="2"/>
  <c r="T11" i="2"/>
  <c r="W11" i="2"/>
  <c r="N11" i="2"/>
  <c r="M11" i="2"/>
  <c r="P11" i="2"/>
  <c r="Q11" i="2"/>
  <c r="W10" i="2"/>
  <c r="T10" i="2"/>
  <c r="P10" i="2"/>
  <c r="Q10" i="2"/>
  <c r="M10" i="2"/>
  <c r="N10" i="2"/>
  <c r="W9" i="2"/>
  <c r="T9" i="2"/>
  <c r="Q9" i="2"/>
  <c r="P9" i="2"/>
  <c r="N9" i="2"/>
  <c r="M9" i="2"/>
  <c r="W8" i="2"/>
  <c r="T8" i="2"/>
  <c r="Q8" i="2"/>
  <c r="P8" i="2"/>
  <c r="N8" i="2"/>
  <c r="M8" i="2"/>
  <c r="W7" i="2"/>
  <c r="T7" i="2"/>
  <c r="P7" i="2"/>
  <c r="Q7" i="2"/>
  <c r="M7" i="2"/>
  <c r="N7" i="2"/>
  <c r="T6" i="2"/>
  <c r="W6" i="2"/>
  <c r="N6" i="2"/>
  <c r="M6" i="2"/>
  <c r="P6" i="2"/>
  <c r="Q6" i="2"/>
  <c r="W5" i="2"/>
  <c r="T5" i="2"/>
  <c r="Q5" i="2"/>
  <c r="P5" i="2"/>
  <c r="M5" i="2"/>
  <c r="N5" i="2"/>
  <c r="W4" i="2"/>
  <c r="T4" i="2"/>
  <c r="Q4" i="2"/>
  <c r="P4" i="2"/>
  <c r="N4" i="2"/>
  <c r="M4" i="2"/>
  <c r="S411" i="5" l="1"/>
  <c r="V411" i="5"/>
  <c r="R411" i="5"/>
  <c r="U411" i="5"/>
  <c r="S410" i="5"/>
  <c r="V410" i="5"/>
  <c r="R410" i="5"/>
  <c r="U410" i="5"/>
  <c r="S409" i="5"/>
  <c r="V409" i="5"/>
  <c r="R409" i="5"/>
  <c r="U409" i="5"/>
  <c r="S408" i="5"/>
  <c r="V408" i="5"/>
  <c r="R408" i="5"/>
  <c r="U408" i="5"/>
  <c r="S407" i="5"/>
  <c r="V407" i="5"/>
  <c r="R407" i="5"/>
  <c r="U407" i="5"/>
  <c r="S406" i="5"/>
  <c r="V406" i="5"/>
  <c r="R406" i="5"/>
  <c r="U406" i="5"/>
  <c r="S405" i="5"/>
  <c r="V405" i="5"/>
  <c r="R405" i="5"/>
  <c r="U405" i="5"/>
  <c r="S404" i="5"/>
  <c r="V404" i="5"/>
  <c r="R404" i="5"/>
  <c r="U404" i="5"/>
  <c r="S403" i="5"/>
  <c r="V403" i="5"/>
  <c r="R403" i="5"/>
  <c r="U403" i="5"/>
  <c r="S402" i="5"/>
  <c r="V402" i="5"/>
  <c r="R402" i="5"/>
  <c r="U402" i="5"/>
  <c r="S401" i="5"/>
  <c r="V401" i="5"/>
  <c r="R401" i="5"/>
  <c r="U401" i="5"/>
  <c r="S400" i="5"/>
  <c r="V400" i="5"/>
  <c r="R400" i="5"/>
  <c r="U400" i="5"/>
  <c r="S399" i="5"/>
  <c r="V399" i="5"/>
  <c r="R399" i="5"/>
  <c r="U399" i="5"/>
  <c r="S398" i="5"/>
  <c r="V398" i="5"/>
  <c r="R398" i="5"/>
  <c r="U398" i="5"/>
  <c r="S397" i="5"/>
  <c r="V397" i="5"/>
  <c r="R397" i="5"/>
  <c r="U397" i="5"/>
  <c r="S396" i="5"/>
  <c r="V396" i="5"/>
  <c r="R396" i="5"/>
  <c r="U396" i="5"/>
  <c r="S395" i="5"/>
  <c r="V395" i="5"/>
  <c r="R395" i="5"/>
  <c r="U395" i="5"/>
  <c r="S394" i="5"/>
  <c r="V394" i="5"/>
  <c r="R394" i="5"/>
  <c r="U394" i="5"/>
  <c r="S393" i="5"/>
  <c r="V393" i="5"/>
  <c r="R393" i="5"/>
  <c r="U393" i="5"/>
  <c r="S392" i="5"/>
  <c r="V392" i="5"/>
  <c r="R392" i="5"/>
  <c r="U392" i="5"/>
  <c r="S391" i="5"/>
  <c r="V391" i="5"/>
  <c r="R391" i="5"/>
  <c r="U391" i="5"/>
  <c r="S390" i="5"/>
  <c r="V390" i="5"/>
  <c r="R390" i="5"/>
  <c r="U390" i="5"/>
  <c r="S389" i="5"/>
  <c r="V389" i="5"/>
  <c r="R389" i="5"/>
  <c r="U389" i="5"/>
  <c r="S388" i="5"/>
  <c r="V388" i="5"/>
  <c r="R388" i="5"/>
  <c r="U388" i="5"/>
  <c r="S387" i="5"/>
  <c r="V387" i="5"/>
  <c r="R387" i="5"/>
  <c r="U387" i="5"/>
  <c r="S386" i="5"/>
  <c r="V386" i="5"/>
  <c r="R386" i="5"/>
  <c r="U386" i="5"/>
  <c r="S385" i="5"/>
  <c r="V385" i="5"/>
  <c r="R385" i="5"/>
  <c r="U385" i="5"/>
  <c r="S384" i="5"/>
  <c r="V384" i="5"/>
  <c r="R384" i="5"/>
  <c r="U384" i="5"/>
  <c r="S383" i="5"/>
  <c r="V383" i="5"/>
  <c r="R383" i="5"/>
  <c r="U383" i="5"/>
  <c r="S382" i="5"/>
  <c r="V382" i="5"/>
  <c r="R382" i="5"/>
  <c r="U382" i="5"/>
  <c r="S381" i="5"/>
  <c r="V381" i="5"/>
  <c r="R381" i="5"/>
  <c r="U381" i="5"/>
  <c r="S380" i="5"/>
  <c r="V380" i="5"/>
  <c r="R380" i="5"/>
  <c r="U380" i="5"/>
  <c r="S379" i="5"/>
  <c r="V379" i="5"/>
  <c r="R379" i="5"/>
  <c r="U379" i="5"/>
  <c r="S378" i="5"/>
  <c r="V378" i="5"/>
  <c r="R378" i="5"/>
  <c r="U378" i="5"/>
  <c r="S377" i="5"/>
  <c r="V377" i="5"/>
  <c r="R377" i="5"/>
  <c r="U377" i="5"/>
  <c r="S376" i="5"/>
  <c r="V376" i="5"/>
  <c r="R376" i="5"/>
  <c r="U376" i="5"/>
  <c r="S375" i="5"/>
  <c r="V375" i="5"/>
  <c r="R375" i="5"/>
  <c r="U375" i="5"/>
  <c r="S374" i="5"/>
  <c r="V374" i="5"/>
  <c r="R374" i="5"/>
  <c r="U374" i="5"/>
  <c r="S373" i="5"/>
  <c r="V373" i="5"/>
  <c r="R373" i="5"/>
  <c r="U373" i="5"/>
  <c r="S372" i="5"/>
  <c r="V372" i="5"/>
  <c r="R372" i="5"/>
  <c r="U372" i="5"/>
  <c r="S371" i="5"/>
  <c r="V371" i="5"/>
  <c r="R371" i="5"/>
  <c r="U371" i="5"/>
  <c r="S370" i="5"/>
  <c r="V370" i="5"/>
  <c r="R370" i="5"/>
  <c r="U370" i="5"/>
  <c r="S369" i="5"/>
  <c r="V369" i="5"/>
  <c r="R369" i="5"/>
  <c r="U369" i="5"/>
  <c r="S368" i="5"/>
  <c r="V368" i="5"/>
  <c r="R368" i="5"/>
  <c r="U368" i="5"/>
  <c r="S367" i="5"/>
  <c r="V367" i="5"/>
  <c r="R367" i="5"/>
  <c r="U367" i="5"/>
  <c r="S366" i="5"/>
  <c r="V366" i="5"/>
  <c r="R366" i="5"/>
  <c r="U366" i="5"/>
  <c r="S365" i="5"/>
  <c r="V365" i="5"/>
  <c r="R365" i="5"/>
  <c r="U365" i="5"/>
  <c r="S364" i="5"/>
  <c r="V364" i="5"/>
  <c r="R364" i="5"/>
  <c r="U364" i="5"/>
  <c r="S363" i="5"/>
  <c r="V363" i="5"/>
  <c r="R363" i="5"/>
  <c r="U363" i="5"/>
  <c r="S362" i="5"/>
  <c r="V362" i="5"/>
  <c r="R362" i="5"/>
  <c r="U362" i="5"/>
  <c r="S361" i="5"/>
  <c r="V361" i="5"/>
  <c r="R361" i="5"/>
  <c r="U361" i="5"/>
  <c r="S360" i="5"/>
  <c r="V360" i="5"/>
  <c r="R360" i="5"/>
  <c r="U360" i="5"/>
  <c r="S359" i="5"/>
  <c r="V359" i="5"/>
  <c r="R359" i="5"/>
  <c r="U359" i="5"/>
  <c r="S358" i="5"/>
  <c r="V358" i="5"/>
  <c r="R358" i="5"/>
  <c r="U358" i="5"/>
  <c r="S357" i="5"/>
  <c r="V357" i="5"/>
  <c r="R357" i="5"/>
  <c r="U357" i="5"/>
  <c r="S356" i="5"/>
  <c r="V356" i="5"/>
  <c r="R356" i="5"/>
  <c r="U356" i="5"/>
  <c r="S355" i="5"/>
  <c r="V355" i="5"/>
  <c r="R355" i="5"/>
  <c r="U355" i="5"/>
  <c r="S354" i="5"/>
  <c r="V354" i="5"/>
  <c r="R354" i="5"/>
  <c r="U354" i="5"/>
  <c r="S353" i="5"/>
  <c r="V353" i="5"/>
  <c r="R353" i="5"/>
  <c r="U353" i="5"/>
  <c r="S352" i="5"/>
  <c r="V352" i="5"/>
  <c r="R352" i="5"/>
  <c r="U352" i="5"/>
  <c r="S351" i="5"/>
  <c r="V351" i="5"/>
  <c r="R351" i="5"/>
  <c r="U351" i="5"/>
  <c r="S350" i="5"/>
  <c r="V350" i="5"/>
  <c r="R350" i="5"/>
  <c r="U350" i="5"/>
  <c r="S349" i="5"/>
  <c r="V349" i="5"/>
  <c r="R349" i="5"/>
  <c r="U349" i="5"/>
  <c r="S348" i="5"/>
  <c r="V348" i="5"/>
  <c r="R348" i="5"/>
  <c r="U348" i="5"/>
  <c r="R347" i="5"/>
  <c r="U347" i="5"/>
  <c r="S347" i="5"/>
  <c r="V347" i="5"/>
  <c r="S346" i="5"/>
  <c r="V346" i="5"/>
  <c r="R346" i="5"/>
  <c r="U346" i="5"/>
  <c r="S345" i="5"/>
  <c r="V345" i="5"/>
  <c r="R345" i="5"/>
  <c r="U345" i="5"/>
  <c r="S344" i="5"/>
  <c r="V344" i="5"/>
  <c r="R344" i="5"/>
  <c r="U344" i="5"/>
  <c r="R343" i="5"/>
  <c r="U343" i="5"/>
  <c r="S343" i="5"/>
  <c r="V343" i="5"/>
  <c r="S342" i="5"/>
  <c r="V342" i="5"/>
  <c r="R342" i="5"/>
  <c r="U342" i="5"/>
  <c r="S341" i="5"/>
  <c r="V341" i="5"/>
  <c r="R341" i="5"/>
  <c r="U341" i="5"/>
  <c r="S340" i="5"/>
  <c r="V340" i="5"/>
  <c r="R340" i="5"/>
  <c r="U340" i="5"/>
  <c r="S339" i="5"/>
  <c r="V339" i="5"/>
  <c r="R339" i="5"/>
  <c r="U339" i="5"/>
  <c r="S338" i="5"/>
  <c r="V338" i="5"/>
  <c r="R338" i="5"/>
  <c r="U338" i="5"/>
  <c r="S337" i="5"/>
  <c r="V337" i="5"/>
  <c r="R337" i="5"/>
  <c r="U337" i="5"/>
  <c r="S336" i="5"/>
  <c r="V336" i="5"/>
  <c r="R336" i="5"/>
  <c r="U336" i="5"/>
  <c r="S335" i="5"/>
  <c r="V335" i="5"/>
  <c r="R335" i="5"/>
  <c r="U335" i="5"/>
  <c r="S334" i="5"/>
  <c r="V334" i="5"/>
  <c r="R334" i="5"/>
  <c r="U334" i="5"/>
  <c r="S333" i="5"/>
  <c r="V333" i="5"/>
  <c r="R333" i="5"/>
  <c r="U333" i="5"/>
  <c r="S332" i="5"/>
  <c r="V332" i="5"/>
  <c r="R332" i="5"/>
  <c r="U332" i="5"/>
  <c r="S331" i="5"/>
  <c r="V331" i="5"/>
  <c r="R331" i="5"/>
  <c r="U331" i="5"/>
  <c r="S330" i="5"/>
  <c r="V330" i="5"/>
  <c r="R330" i="5"/>
  <c r="U330" i="5"/>
  <c r="S329" i="5"/>
  <c r="V329" i="5"/>
  <c r="R329" i="5"/>
  <c r="U329" i="5"/>
  <c r="S328" i="5"/>
  <c r="V328" i="5"/>
  <c r="R328" i="5"/>
  <c r="U328" i="5"/>
  <c r="S327" i="5"/>
  <c r="V327" i="5"/>
  <c r="R327" i="5"/>
  <c r="U327" i="5"/>
  <c r="S326" i="5"/>
  <c r="V326" i="5"/>
  <c r="R326" i="5"/>
  <c r="U326" i="5"/>
  <c r="S325" i="5"/>
  <c r="V325" i="5"/>
  <c r="R325" i="5"/>
  <c r="U325" i="5"/>
  <c r="S324" i="5"/>
  <c r="V324" i="5"/>
  <c r="R324" i="5"/>
  <c r="U324" i="5"/>
  <c r="S323" i="5"/>
  <c r="V323" i="5"/>
  <c r="R323" i="5"/>
  <c r="U323" i="5"/>
  <c r="S322" i="5"/>
  <c r="V322" i="5"/>
  <c r="R322" i="5"/>
  <c r="U322" i="5"/>
  <c r="S321" i="5"/>
  <c r="V321" i="5"/>
  <c r="R321" i="5"/>
  <c r="U321" i="5"/>
  <c r="S320" i="5"/>
  <c r="V320" i="5"/>
  <c r="R320" i="5"/>
  <c r="U320" i="5"/>
  <c r="S319" i="5"/>
  <c r="V319" i="5"/>
  <c r="R319" i="5"/>
  <c r="U319" i="5"/>
  <c r="S318" i="5"/>
  <c r="V318" i="5"/>
  <c r="R318" i="5"/>
  <c r="U318" i="5"/>
  <c r="S317" i="5"/>
  <c r="V317" i="5"/>
  <c r="R317" i="5"/>
  <c r="U317" i="5"/>
  <c r="R316" i="5"/>
  <c r="U316" i="5"/>
  <c r="S316" i="5"/>
  <c r="V316" i="5"/>
  <c r="S315" i="5"/>
  <c r="V315" i="5"/>
  <c r="R315" i="5"/>
  <c r="U315" i="5"/>
  <c r="S314" i="5"/>
  <c r="V314" i="5"/>
  <c r="R314" i="5"/>
  <c r="U314" i="5"/>
  <c r="S313" i="5"/>
  <c r="V313" i="5"/>
  <c r="R313" i="5"/>
  <c r="U313" i="5"/>
  <c r="R312" i="5"/>
  <c r="U312" i="5"/>
  <c r="S312" i="5"/>
  <c r="V312" i="5"/>
  <c r="S311" i="5"/>
  <c r="V311" i="5"/>
  <c r="R311" i="5"/>
  <c r="U311" i="5"/>
  <c r="S310" i="5"/>
  <c r="V310" i="5"/>
  <c r="R310" i="5"/>
  <c r="U310" i="5"/>
  <c r="S309" i="5"/>
  <c r="V309" i="5"/>
  <c r="R309" i="5"/>
  <c r="U309" i="5"/>
  <c r="S308" i="5"/>
  <c r="V308" i="5"/>
  <c r="R308" i="5"/>
  <c r="U308" i="5"/>
  <c r="S307" i="5"/>
  <c r="V307" i="5"/>
  <c r="R307" i="5"/>
  <c r="U307" i="5"/>
  <c r="S306" i="5"/>
  <c r="V306" i="5"/>
  <c r="R306" i="5"/>
  <c r="U306" i="5"/>
  <c r="S305" i="5"/>
  <c r="V305" i="5"/>
  <c r="R305" i="5"/>
  <c r="U305" i="5"/>
  <c r="R304" i="5"/>
  <c r="U304" i="5"/>
  <c r="S304" i="5"/>
  <c r="V304" i="5"/>
  <c r="S303" i="5"/>
  <c r="V303" i="5"/>
  <c r="R303" i="5"/>
  <c r="U303" i="5"/>
  <c r="S302" i="5"/>
  <c r="V302" i="5"/>
  <c r="R302" i="5"/>
  <c r="U302" i="5"/>
  <c r="S301" i="5"/>
  <c r="V301" i="5"/>
  <c r="R301" i="5"/>
  <c r="U301" i="5"/>
  <c r="S300" i="5"/>
  <c r="V300" i="5"/>
  <c r="R300" i="5"/>
  <c r="U300" i="5"/>
  <c r="S299" i="5"/>
  <c r="V299" i="5"/>
  <c r="R299" i="5"/>
  <c r="U299" i="5"/>
  <c r="S298" i="5"/>
  <c r="V298" i="5"/>
  <c r="R298" i="5"/>
  <c r="U298" i="5"/>
  <c r="S297" i="5"/>
  <c r="V297" i="5"/>
  <c r="R297" i="5"/>
  <c r="U297" i="5"/>
  <c r="S296" i="5"/>
  <c r="V296" i="5"/>
  <c r="R296" i="5"/>
  <c r="U296" i="5"/>
  <c r="S295" i="5"/>
  <c r="V295" i="5"/>
  <c r="R295" i="5"/>
  <c r="U295" i="5"/>
  <c r="S294" i="5"/>
  <c r="V294" i="5"/>
  <c r="R294" i="5"/>
  <c r="U294" i="5"/>
  <c r="S293" i="5"/>
  <c r="V293" i="5"/>
  <c r="R293" i="5"/>
  <c r="U293" i="5"/>
  <c r="S292" i="5"/>
  <c r="V292" i="5"/>
  <c r="R292" i="5"/>
  <c r="U292" i="5"/>
  <c r="S291" i="5"/>
  <c r="V291" i="5"/>
  <c r="R291" i="5"/>
  <c r="U291" i="5"/>
  <c r="S290" i="5"/>
  <c r="V290" i="5"/>
  <c r="R290" i="5"/>
  <c r="U290" i="5"/>
  <c r="S289" i="5"/>
  <c r="V289" i="5"/>
  <c r="R289" i="5"/>
  <c r="U289" i="5"/>
  <c r="R288" i="5"/>
  <c r="U288" i="5"/>
  <c r="S288" i="5"/>
  <c r="V288" i="5"/>
  <c r="V287" i="5"/>
  <c r="S287" i="5"/>
  <c r="R287" i="5"/>
  <c r="U287" i="5"/>
  <c r="R286" i="5"/>
  <c r="U286" i="5"/>
  <c r="S286" i="5"/>
  <c r="V286" i="5"/>
  <c r="S285" i="5"/>
  <c r="V285" i="5"/>
  <c r="U285" i="5"/>
  <c r="R285" i="5"/>
  <c r="V284" i="5"/>
  <c r="S284" i="5"/>
  <c r="R284" i="5"/>
  <c r="U284" i="5"/>
  <c r="S283" i="5"/>
  <c r="V283" i="5"/>
  <c r="R283" i="5"/>
  <c r="U283" i="5"/>
  <c r="U282" i="5"/>
  <c r="R282" i="5"/>
  <c r="S282" i="5"/>
  <c r="V282" i="5"/>
  <c r="S281" i="5"/>
  <c r="V281" i="5"/>
  <c r="U281" i="5"/>
  <c r="R281" i="5"/>
  <c r="S280" i="5"/>
  <c r="V280" i="5"/>
  <c r="U280" i="5"/>
  <c r="R280" i="5"/>
  <c r="S279" i="5"/>
  <c r="V279" i="5"/>
  <c r="R279" i="5"/>
  <c r="U279" i="5"/>
  <c r="S278" i="5"/>
  <c r="V278" i="5"/>
  <c r="R278" i="5"/>
  <c r="U278" i="5"/>
  <c r="R277" i="5"/>
  <c r="U277" i="5"/>
  <c r="S277" i="5"/>
  <c r="V277" i="5"/>
  <c r="S276" i="5"/>
  <c r="V276" i="5"/>
  <c r="R276" i="5"/>
  <c r="U276" i="5"/>
  <c r="S275" i="5"/>
  <c r="V275" i="5"/>
  <c r="R275" i="5"/>
  <c r="U275" i="5"/>
  <c r="R274" i="5"/>
  <c r="U274" i="5"/>
  <c r="S274" i="5"/>
  <c r="V274" i="5"/>
  <c r="S273" i="5"/>
  <c r="V273" i="5"/>
  <c r="R273" i="5"/>
  <c r="U273" i="5"/>
  <c r="R272" i="5"/>
  <c r="U272" i="5"/>
  <c r="S272" i="5"/>
  <c r="V272" i="5"/>
  <c r="R271" i="5"/>
  <c r="U271" i="5"/>
  <c r="S271" i="5"/>
  <c r="V271" i="5"/>
  <c r="S270" i="5"/>
  <c r="V270" i="5"/>
  <c r="R270" i="5"/>
  <c r="U270" i="5"/>
  <c r="S269" i="5"/>
  <c r="V269" i="5"/>
  <c r="R269" i="5"/>
  <c r="U269" i="5"/>
  <c r="S268" i="5"/>
  <c r="V268" i="5"/>
  <c r="R268" i="5"/>
  <c r="U268" i="5"/>
  <c r="S267" i="5"/>
  <c r="V267" i="5"/>
  <c r="R267" i="5"/>
  <c r="U267" i="5"/>
  <c r="R266" i="5"/>
  <c r="U266" i="5"/>
  <c r="S266" i="5"/>
  <c r="V266" i="5"/>
  <c r="S265" i="5"/>
  <c r="V265" i="5"/>
  <c r="R265" i="5"/>
  <c r="U265" i="5"/>
  <c r="S264" i="5"/>
  <c r="V264" i="5"/>
  <c r="R264" i="5"/>
  <c r="U264" i="5"/>
  <c r="S263" i="5"/>
  <c r="V263" i="5"/>
  <c r="R263" i="5"/>
  <c r="U263" i="5"/>
  <c r="S262" i="5"/>
  <c r="V262" i="5"/>
  <c r="R262" i="5"/>
  <c r="U262" i="5"/>
  <c r="R261" i="5"/>
  <c r="U261" i="5"/>
  <c r="S261" i="5"/>
  <c r="V261" i="5"/>
  <c r="S260" i="5"/>
  <c r="V260" i="5"/>
  <c r="R260" i="5"/>
  <c r="U260" i="5"/>
  <c r="S259" i="5"/>
  <c r="V259" i="5"/>
  <c r="R259" i="5"/>
  <c r="U259" i="5"/>
  <c r="S258" i="5"/>
  <c r="V258" i="5"/>
  <c r="R258" i="5"/>
  <c r="U258" i="5"/>
  <c r="S257" i="5"/>
  <c r="V257" i="5"/>
  <c r="R257" i="5"/>
  <c r="U257" i="5"/>
  <c r="V256" i="5"/>
  <c r="S256" i="5"/>
  <c r="R256" i="5"/>
  <c r="U256" i="5"/>
  <c r="V255" i="5"/>
  <c r="S255" i="5"/>
  <c r="R255" i="5"/>
  <c r="U255" i="5"/>
  <c r="S254" i="5"/>
  <c r="V254" i="5"/>
  <c r="R254" i="5"/>
  <c r="U254" i="5"/>
  <c r="S253" i="5"/>
  <c r="V253" i="5"/>
  <c r="R253" i="5"/>
  <c r="U253" i="5"/>
  <c r="R252" i="5"/>
  <c r="U252" i="5"/>
  <c r="S252" i="5"/>
  <c r="V252" i="5"/>
  <c r="R251" i="5"/>
  <c r="U251" i="5"/>
  <c r="S251" i="5"/>
  <c r="V251" i="5"/>
  <c r="R250" i="5"/>
  <c r="U250" i="5"/>
  <c r="V250" i="5"/>
  <c r="S250" i="5"/>
  <c r="U249" i="5"/>
  <c r="R249" i="5"/>
  <c r="S249" i="5"/>
  <c r="V249" i="5"/>
  <c r="R248" i="5"/>
  <c r="U248" i="5"/>
  <c r="V248" i="5"/>
  <c r="S248" i="5"/>
  <c r="S247" i="5"/>
  <c r="V247" i="5"/>
  <c r="U247" i="5"/>
  <c r="R247" i="5"/>
  <c r="R246" i="5"/>
  <c r="U246" i="5"/>
  <c r="S246" i="5"/>
  <c r="V246" i="5"/>
  <c r="U245" i="5"/>
  <c r="R245" i="5"/>
  <c r="S245" i="5"/>
  <c r="V245" i="5"/>
  <c r="V244" i="5"/>
  <c r="S244" i="5"/>
  <c r="U244" i="5"/>
  <c r="R244" i="5"/>
  <c r="R243" i="5"/>
  <c r="U243" i="5"/>
  <c r="S243" i="5"/>
  <c r="V243" i="5"/>
  <c r="R242" i="5"/>
  <c r="U242" i="5"/>
  <c r="V242" i="5"/>
  <c r="S242" i="5"/>
  <c r="S241" i="5"/>
  <c r="V241" i="5"/>
  <c r="R241" i="5"/>
  <c r="U241" i="5"/>
  <c r="R240" i="5"/>
  <c r="U240" i="5"/>
  <c r="V240" i="5"/>
  <c r="S240" i="5"/>
  <c r="S239" i="5"/>
  <c r="V239" i="5"/>
  <c r="R239" i="5"/>
  <c r="U239" i="5"/>
  <c r="S238" i="5"/>
  <c r="V238" i="5"/>
  <c r="R238" i="5"/>
  <c r="U238" i="5"/>
  <c r="S237" i="5"/>
  <c r="V237" i="5"/>
  <c r="R237" i="5"/>
  <c r="U237" i="5"/>
  <c r="R236" i="5"/>
  <c r="U236" i="5"/>
  <c r="S236" i="5"/>
  <c r="V236" i="5"/>
  <c r="S235" i="5"/>
  <c r="V235" i="5"/>
  <c r="R235" i="5"/>
  <c r="U235" i="5"/>
  <c r="R234" i="5"/>
  <c r="U234" i="5"/>
  <c r="S234" i="5"/>
  <c r="V234" i="5"/>
  <c r="S233" i="5"/>
  <c r="V233" i="5"/>
  <c r="R233" i="5"/>
  <c r="U233" i="5"/>
  <c r="S232" i="5"/>
  <c r="V232" i="5"/>
  <c r="R232" i="5"/>
  <c r="U232" i="5"/>
  <c r="S231" i="5"/>
  <c r="V231" i="5"/>
  <c r="R231" i="5"/>
  <c r="U231" i="5"/>
  <c r="S230" i="5"/>
  <c r="V230" i="5"/>
  <c r="R230" i="5"/>
  <c r="U230" i="5"/>
  <c r="S229" i="5"/>
  <c r="V229" i="5"/>
  <c r="R229" i="5"/>
  <c r="U229" i="5"/>
  <c r="R228" i="5"/>
  <c r="U228" i="5"/>
  <c r="S228" i="5"/>
  <c r="V228" i="5"/>
  <c r="R227" i="5"/>
  <c r="U227" i="5"/>
  <c r="S227" i="5"/>
  <c r="V227" i="5"/>
  <c r="S226" i="5"/>
  <c r="V226" i="5"/>
  <c r="R226" i="5"/>
  <c r="U226" i="5"/>
  <c r="S225" i="5"/>
  <c r="V225" i="5"/>
  <c r="R225" i="5"/>
  <c r="U225" i="5"/>
  <c r="R224" i="5"/>
  <c r="U224" i="5"/>
  <c r="S224" i="5"/>
  <c r="V224" i="5"/>
  <c r="R223" i="5"/>
  <c r="U223" i="5"/>
  <c r="S223" i="5"/>
  <c r="V223" i="5"/>
  <c r="S222" i="5"/>
  <c r="V222" i="5"/>
  <c r="R222" i="5"/>
  <c r="U222" i="5"/>
  <c r="R221" i="5"/>
  <c r="U221" i="5"/>
  <c r="S221" i="5"/>
  <c r="V221" i="5"/>
  <c r="S220" i="5"/>
  <c r="V220" i="5"/>
  <c r="R220" i="5"/>
  <c r="U220" i="5"/>
  <c r="S219" i="5"/>
  <c r="V219" i="5"/>
  <c r="R219" i="5"/>
  <c r="U219" i="5"/>
  <c r="R218" i="5"/>
  <c r="U218" i="5"/>
  <c r="S218" i="5"/>
  <c r="V218" i="5"/>
  <c r="S217" i="5"/>
  <c r="V217" i="5"/>
  <c r="R217" i="5"/>
  <c r="U217" i="5"/>
  <c r="S216" i="5"/>
  <c r="V216" i="5"/>
  <c r="R216" i="5"/>
  <c r="U216" i="5"/>
  <c r="S215" i="5"/>
  <c r="V215" i="5"/>
  <c r="R215" i="5"/>
  <c r="U215" i="5"/>
  <c r="S214" i="5"/>
  <c r="V214" i="5"/>
  <c r="R214" i="5"/>
  <c r="U214" i="5"/>
  <c r="S213" i="5"/>
  <c r="V213" i="5"/>
  <c r="R213" i="5"/>
  <c r="U213" i="5"/>
  <c r="S212" i="5"/>
  <c r="V212" i="5"/>
  <c r="R212" i="5"/>
  <c r="U212" i="5"/>
  <c r="S211" i="5"/>
  <c r="V211" i="5"/>
  <c r="R211" i="5"/>
  <c r="U211" i="5"/>
  <c r="S210" i="5"/>
  <c r="V210" i="5"/>
  <c r="R210" i="5"/>
  <c r="U210" i="5"/>
  <c r="S209" i="5"/>
  <c r="V209" i="5"/>
  <c r="R209" i="5"/>
  <c r="U209" i="5"/>
  <c r="S208" i="5"/>
  <c r="V208" i="5"/>
  <c r="R208" i="5"/>
  <c r="U208" i="5"/>
  <c r="S207" i="5"/>
  <c r="V207" i="5"/>
  <c r="R207" i="5"/>
  <c r="U207" i="5"/>
  <c r="S206" i="5"/>
  <c r="V206" i="5"/>
  <c r="R206" i="5"/>
  <c r="U206" i="5"/>
  <c r="R205" i="5"/>
  <c r="U205" i="5"/>
  <c r="S205" i="5"/>
  <c r="V205" i="5"/>
  <c r="S204" i="5"/>
  <c r="V204" i="5"/>
  <c r="R204" i="5"/>
  <c r="U204" i="5"/>
  <c r="S203" i="5"/>
  <c r="V203" i="5"/>
  <c r="R203" i="5"/>
  <c r="U203" i="5"/>
  <c r="S202" i="5"/>
  <c r="V202" i="5"/>
  <c r="R202" i="5"/>
  <c r="U202" i="5"/>
  <c r="S201" i="5"/>
  <c r="V201" i="5"/>
  <c r="R201" i="5"/>
  <c r="U201" i="5"/>
  <c r="S200" i="5"/>
  <c r="V200" i="5"/>
  <c r="R200" i="5"/>
  <c r="U200" i="5"/>
  <c r="S199" i="5"/>
  <c r="V199" i="5"/>
  <c r="R199" i="5"/>
  <c r="U199" i="5"/>
  <c r="S198" i="5"/>
  <c r="V198" i="5"/>
  <c r="R198" i="5"/>
  <c r="U198" i="5"/>
  <c r="R197" i="5"/>
  <c r="U197" i="5"/>
  <c r="S197" i="5"/>
  <c r="V197" i="5"/>
  <c r="S196" i="5"/>
  <c r="V196" i="5"/>
  <c r="R196" i="5"/>
  <c r="U196" i="5"/>
  <c r="S195" i="5"/>
  <c r="V195" i="5"/>
  <c r="R195" i="5"/>
  <c r="U195" i="5"/>
  <c r="S194" i="5"/>
  <c r="V194" i="5"/>
  <c r="R194" i="5"/>
  <c r="U194" i="5"/>
  <c r="S193" i="5"/>
  <c r="V193" i="5"/>
  <c r="R193" i="5"/>
  <c r="U193" i="5"/>
  <c r="S192" i="5"/>
  <c r="V192" i="5"/>
  <c r="R192" i="5"/>
  <c r="U192" i="5"/>
  <c r="S191" i="5"/>
  <c r="V191" i="5"/>
  <c r="R191" i="5"/>
  <c r="U191" i="5"/>
  <c r="R190" i="5"/>
  <c r="U190" i="5"/>
  <c r="S190" i="5"/>
  <c r="V190" i="5"/>
  <c r="S189" i="5"/>
  <c r="V189" i="5"/>
  <c r="R189" i="5"/>
  <c r="U189" i="5"/>
  <c r="S188" i="5"/>
  <c r="V188" i="5"/>
  <c r="R188" i="5"/>
  <c r="U188" i="5"/>
  <c r="R187" i="5"/>
  <c r="U187" i="5"/>
  <c r="S187" i="5"/>
  <c r="V187" i="5"/>
  <c r="S186" i="5"/>
  <c r="V186" i="5"/>
  <c r="R186" i="5"/>
  <c r="U186" i="5"/>
  <c r="S185" i="5"/>
  <c r="V185" i="5"/>
  <c r="R185" i="5"/>
  <c r="U185" i="5"/>
  <c r="S184" i="5"/>
  <c r="V184" i="5"/>
  <c r="R184" i="5"/>
  <c r="U184" i="5"/>
  <c r="S183" i="5"/>
  <c r="V183" i="5"/>
  <c r="R183" i="5"/>
  <c r="U183" i="5"/>
  <c r="S182" i="5"/>
  <c r="V182" i="5"/>
  <c r="R182" i="5"/>
  <c r="U182" i="5"/>
  <c r="S181" i="5"/>
  <c r="V181" i="5"/>
  <c r="R181" i="5"/>
  <c r="U181" i="5"/>
  <c r="S180" i="5"/>
  <c r="V180" i="5"/>
  <c r="R180" i="5"/>
  <c r="U180" i="5"/>
  <c r="S179" i="5"/>
  <c r="V179" i="5"/>
  <c r="R179" i="5"/>
  <c r="U179" i="5"/>
  <c r="S178" i="5"/>
  <c r="V178" i="5"/>
  <c r="R178" i="5"/>
  <c r="U178" i="5"/>
  <c r="S177" i="5"/>
  <c r="V177" i="5"/>
  <c r="R177" i="5"/>
  <c r="U177" i="5"/>
  <c r="S176" i="5"/>
  <c r="V176" i="5"/>
  <c r="R176" i="5"/>
  <c r="U176" i="5"/>
  <c r="S175" i="5"/>
  <c r="V175" i="5"/>
  <c r="R175" i="5"/>
  <c r="U175" i="5"/>
  <c r="S174" i="5"/>
  <c r="V174" i="5"/>
  <c r="R174" i="5"/>
  <c r="U174" i="5"/>
  <c r="S173" i="5"/>
  <c r="V173" i="5"/>
  <c r="R173" i="5"/>
  <c r="U173" i="5"/>
  <c r="R172" i="5"/>
  <c r="U172" i="5"/>
  <c r="S172" i="5"/>
  <c r="V172" i="5"/>
  <c r="R171" i="5"/>
  <c r="U171" i="5"/>
  <c r="S171" i="5"/>
  <c r="V171" i="5"/>
  <c r="S170" i="5"/>
  <c r="V170" i="5"/>
  <c r="R170" i="5"/>
  <c r="U170" i="5"/>
  <c r="S169" i="5"/>
  <c r="V169" i="5"/>
  <c r="R169" i="5"/>
  <c r="U169" i="5"/>
  <c r="S168" i="5"/>
  <c r="V168" i="5"/>
  <c r="R168" i="5"/>
  <c r="U168" i="5"/>
  <c r="R167" i="5"/>
  <c r="U167" i="5"/>
  <c r="S167" i="5"/>
  <c r="V167" i="5"/>
  <c r="S166" i="5"/>
  <c r="V166" i="5"/>
  <c r="R166" i="5"/>
  <c r="U166" i="5"/>
  <c r="S165" i="5"/>
  <c r="V165" i="5"/>
  <c r="R165" i="5"/>
  <c r="U165" i="5"/>
  <c r="S164" i="5"/>
  <c r="V164" i="5"/>
  <c r="R164" i="5"/>
  <c r="U164" i="5"/>
  <c r="S163" i="5"/>
  <c r="V163" i="5"/>
  <c r="R163" i="5"/>
  <c r="U163" i="5"/>
  <c r="S162" i="5"/>
  <c r="V162" i="5"/>
  <c r="R162" i="5"/>
  <c r="U162" i="5"/>
  <c r="S161" i="5"/>
  <c r="V161" i="5"/>
  <c r="R161" i="5"/>
  <c r="U161" i="5"/>
  <c r="S160" i="5"/>
  <c r="V160" i="5"/>
  <c r="R160" i="5"/>
  <c r="U160" i="5"/>
  <c r="S159" i="5"/>
  <c r="V159" i="5"/>
  <c r="R159" i="5"/>
  <c r="U159" i="5"/>
  <c r="S158" i="5"/>
  <c r="V158" i="5"/>
  <c r="R158" i="5"/>
  <c r="U158" i="5"/>
  <c r="S157" i="5"/>
  <c r="V157" i="5"/>
  <c r="R157" i="5"/>
  <c r="U157" i="5"/>
  <c r="S156" i="5"/>
  <c r="V156" i="5"/>
  <c r="R156" i="5"/>
  <c r="U156" i="5"/>
  <c r="S155" i="5"/>
  <c r="V155" i="5"/>
  <c r="R155" i="5"/>
  <c r="U155" i="5"/>
  <c r="S154" i="5"/>
  <c r="V154" i="5"/>
  <c r="R154" i="5"/>
  <c r="U154" i="5"/>
  <c r="S153" i="5"/>
  <c r="V153" i="5"/>
  <c r="R153" i="5"/>
  <c r="U153" i="5"/>
  <c r="R152" i="5"/>
  <c r="U152" i="5"/>
  <c r="S152" i="5"/>
  <c r="V152" i="5"/>
  <c r="R150" i="5"/>
  <c r="U150" i="5"/>
  <c r="S150" i="5"/>
  <c r="V150" i="5"/>
  <c r="S149" i="5"/>
  <c r="V149" i="5"/>
  <c r="R149" i="5"/>
  <c r="U149" i="5"/>
  <c r="S148" i="5"/>
  <c r="V148" i="5"/>
  <c r="R148" i="5"/>
  <c r="U148" i="5"/>
  <c r="S147" i="5"/>
  <c r="V147" i="5"/>
  <c r="R147" i="5"/>
  <c r="U147" i="5"/>
  <c r="S146" i="5"/>
  <c r="V146" i="5"/>
  <c r="R146" i="5"/>
  <c r="U146" i="5"/>
  <c r="S145" i="5"/>
  <c r="V145" i="5"/>
  <c r="R145" i="5"/>
  <c r="U145" i="5"/>
  <c r="S144" i="5"/>
  <c r="V144" i="5"/>
  <c r="R144" i="5"/>
  <c r="U144" i="5"/>
  <c r="S143" i="5"/>
  <c r="V143" i="5"/>
  <c r="R143" i="5"/>
  <c r="U143" i="5"/>
  <c r="S142" i="5"/>
  <c r="V142" i="5"/>
  <c r="R142" i="5"/>
  <c r="U142" i="5"/>
  <c r="R141" i="5"/>
  <c r="U141" i="5"/>
  <c r="S141" i="5"/>
  <c r="V141" i="5"/>
  <c r="S140" i="5"/>
  <c r="V140" i="5"/>
  <c r="R140" i="5"/>
  <c r="U140" i="5"/>
  <c r="S139" i="5"/>
  <c r="V139" i="5"/>
  <c r="R139" i="5"/>
  <c r="U139" i="5"/>
  <c r="S138" i="5"/>
  <c r="V138" i="5"/>
  <c r="R138" i="5"/>
  <c r="U138" i="5"/>
  <c r="R137" i="5"/>
  <c r="U137" i="5"/>
  <c r="S137" i="5"/>
  <c r="V137" i="5"/>
  <c r="S136" i="5"/>
  <c r="V136" i="5"/>
  <c r="R136" i="5"/>
  <c r="U136" i="5"/>
  <c r="S135" i="5"/>
  <c r="V135" i="5"/>
  <c r="R135" i="5"/>
  <c r="U135" i="5"/>
  <c r="S134" i="5"/>
  <c r="V134" i="5"/>
  <c r="R134" i="5"/>
  <c r="U134" i="5"/>
  <c r="S133" i="5"/>
  <c r="V133" i="5"/>
  <c r="R133" i="5"/>
  <c r="U133" i="5"/>
  <c r="S132" i="5"/>
  <c r="V132" i="5"/>
  <c r="R132" i="5"/>
  <c r="U132" i="5"/>
  <c r="S131" i="5"/>
  <c r="V131" i="5"/>
  <c r="R131" i="5"/>
  <c r="U131" i="5"/>
  <c r="S130" i="5"/>
  <c r="V130" i="5"/>
  <c r="R130" i="5"/>
  <c r="U130" i="5"/>
  <c r="S129" i="5"/>
  <c r="V129" i="5"/>
  <c r="R129" i="5"/>
  <c r="U129" i="5"/>
  <c r="S128" i="5"/>
  <c r="V128" i="5"/>
  <c r="R128" i="5"/>
  <c r="U128" i="5"/>
  <c r="S127" i="5"/>
  <c r="V127" i="5"/>
  <c r="R127" i="5"/>
  <c r="U127" i="5"/>
  <c r="R126" i="5"/>
  <c r="U126" i="5"/>
  <c r="S126" i="5"/>
  <c r="V126" i="5"/>
  <c r="S125" i="5"/>
  <c r="V125" i="5"/>
  <c r="R125" i="5"/>
  <c r="U125" i="5"/>
  <c r="S124" i="5"/>
  <c r="V124" i="5"/>
  <c r="R124" i="5"/>
  <c r="U124" i="5"/>
  <c r="S123" i="5"/>
  <c r="V123" i="5"/>
  <c r="R123" i="5"/>
  <c r="U123" i="5"/>
  <c r="R122" i="5"/>
  <c r="U122" i="5"/>
  <c r="S122" i="5"/>
  <c r="V122" i="5"/>
  <c r="S121" i="5"/>
  <c r="V121" i="5"/>
  <c r="R121" i="5"/>
  <c r="U121" i="5"/>
  <c r="S120" i="5"/>
  <c r="V120" i="5"/>
  <c r="R120" i="5"/>
  <c r="U120" i="5"/>
  <c r="S119" i="5"/>
  <c r="V119" i="5"/>
  <c r="R119" i="5"/>
  <c r="U119" i="5"/>
  <c r="S118" i="5"/>
  <c r="V118" i="5"/>
  <c r="R118" i="5"/>
  <c r="U118" i="5"/>
  <c r="R117" i="5"/>
  <c r="U117" i="5"/>
  <c r="S117" i="5"/>
  <c r="V117" i="5"/>
  <c r="S116" i="5"/>
  <c r="V116" i="5"/>
  <c r="R116" i="5"/>
  <c r="U116" i="5"/>
  <c r="S115" i="5"/>
  <c r="V115" i="5"/>
  <c r="R115" i="5"/>
  <c r="U115" i="5"/>
  <c r="S114" i="5"/>
  <c r="V114" i="5"/>
  <c r="R114" i="5"/>
  <c r="U114" i="5"/>
  <c r="S113" i="5"/>
  <c r="V113" i="5"/>
  <c r="R113" i="5"/>
  <c r="U113" i="5"/>
  <c r="R112" i="5"/>
  <c r="U112" i="5"/>
  <c r="S112" i="5"/>
  <c r="V112" i="5"/>
  <c r="R111" i="5"/>
  <c r="U111" i="5"/>
  <c r="S111" i="5"/>
  <c r="V111" i="5"/>
  <c r="S110" i="5"/>
  <c r="V110" i="5"/>
  <c r="R110" i="5"/>
  <c r="U110" i="5"/>
  <c r="S109" i="5"/>
  <c r="V109" i="5"/>
  <c r="R109" i="5"/>
  <c r="U109" i="5"/>
  <c r="S108" i="5"/>
  <c r="V108" i="5"/>
  <c r="R108" i="5"/>
  <c r="U108" i="5"/>
  <c r="S107" i="5"/>
  <c r="V107" i="5"/>
  <c r="R107" i="5"/>
  <c r="U107" i="5"/>
  <c r="S106" i="5"/>
  <c r="V106" i="5"/>
  <c r="R106" i="5"/>
  <c r="U106" i="5"/>
  <c r="S105" i="5"/>
  <c r="V105" i="5"/>
  <c r="R105" i="5"/>
  <c r="U105" i="5"/>
  <c r="S104" i="5"/>
  <c r="V104" i="5"/>
  <c r="R104" i="5"/>
  <c r="U104" i="5"/>
  <c r="S103" i="5"/>
  <c r="V103" i="5"/>
  <c r="R103" i="5"/>
  <c r="U103" i="5"/>
  <c r="S102" i="5"/>
  <c r="V102" i="5"/>
  <c r="R102" i="5"/>
  <c r="U102" i="5"/>
  <c r="S101" i="5"/>
  <c r="V101" i="5"/>
  <c r="R101" i="5"/>
  <c r="U101" i="5"/>
  <c r="S100" i="5"/>
  <c r="V100" i="5"/>
  <c r="R100" i="5"/>
  <c r="U100" i="5"/>
  <c r="S99" i="5"/>
  <c r="V99" i="5"/>
  <c r="R99" i="5"/>
  <c r="U99" i="5"/>
  <c r="S98" i="5"/>
  <c r="V98" i="5"/>
  <c r="R98" i="5"/>
  <c r="U98" i="5"/>
  <c r="S97" i="5"/>
  <c r="V97" i="5"/>
  <c r="R97" i="5"/>
  <c r="U97" i="5"/>
  <c r="S96" i="5"/>
  <c r="V96" i="5"/>
  <c r="R96" i="5"/>
  <c r="U96" i="5"/>
  <c r="S95" i="5"/>
  <c r="V95" i="5"/>
  <c r="R95" i="5"/>
  <c r="U95" i="5"/>
  <c r="S94" i="5"/>
  <c r="V94" i="5"/>
  <c r="R94" i="5"/>
  <c r="U94" i="5"/>
  <c r="S93" i="5"/>
  <c r="V93" i="5"/>
  <c r="R93" i="5"/>
  <c r="U93" i="5"/>
  <c r="S92" i="5"/>
  <c r="V92" i="5"/>
  <c r="R92" i="5"/>
  <c r="U92" i="5"/>
  <c r="S91" i="5"/>
  <c r="V91" i="5"/>
  <c r="R91" i="5"/>
  <c r="U91" i="5"/>
  <c r="R90" i="5"/>
  <c r="U90" i="5"/>
  <c r="S90" i="5"/>
  <c r="V90" i="5"/>
  <c r="R89" i="5"/>
  <c r="U89" i="5"/>
  <c r="S89" i="5"/>
  <c r="V89" i="5"/>
  <c r="R88" i="5"/>
  <c r="U88" i="5"/>
  <c r="S88" i="5"/>
  <c r="V88" i="5"/>
  <c r="R87" i="5"/>
  <c r="U87" i="5"/>
  <c r="S87" i="5"/>
  <c r="V87" i="5"/>
  <c r="R86" i="5"/>
  <c r="U86" i="5"/>
  <c r="S86" i="5"/>
  <c r="V86" i="5"/>
  <c r="R85" i="5"/>
  <c r="U85" i="5"/>
  <c r="S85" i="5"/>
  <c r="V85" i="5"/>
  <c r="R84" i="5"/>
  <c r="U84" i="5"/>
  <c r="S84" i="5"/>
  <c r="V84" i="5"/>
  <c r="R83" i="5"/>
  <c r="U83" i="5"/>
  <c r="S83" i="5"/>
  <c r="V83" i="5"/>
  <c r="S82" i="5"/>
  <c r="V82" i="5"/>
  <c r="R82" i="5"/>
  <c r="U82" i="5"/>
  <c r="S81" i="5"/>
  <c r="V81" i="5"/>
  <c r="R81" i="5"/>
  <c r="U81" i="5"/>
  <c r="S80" i="5"/>
  <c r="V80" i="5"/>
  <c r="R80" i="5"/>
  <c r="U80" i="5"/>
  <c r="S79" i="5"/>
  <c r="V79" i="5"/>
  <c r="R79" i="5"/>
  <c r="U79" i="5"/>
  <c r="S78" i="5"/>
  <c r="V78" i="5"/>
  <c r="R78" i="5"/>
  <c r="U78" i="5"/>
  <c r="S77" i="5"/>
  <c r="V77" i="5"/>
  <c r="R77" i="5"/>
  <c r="U77" i="5"/>
  <c r="S76" i="5"/>
  <c r="V76" i="5"/>
  <c r="R76" i="5"/>
  <c r="U76" i="5"/>
  <c r="S75" i="5"/>
  <c r="V75" i="5"/>
  <c r="R75" i="5"/>
  <c r="U75" i="5"/>
  <c r="S74" i="5"/>
  <c r="V74" i="5"/>
  <c r="R74" i="5"/>
  <c r="U74" i="5"/>
  <c r="S73" i="5"/>
  <c r="V73" i="5"/>
  <c r="R73" i="5"/>
  <c r="U73" i="5"/>
  <c r="R72" i="5"/>
  <c r="U72" i="5"/>
  <c r="S72" i="5"/>
  <c r="V72" i="5"/>
  <c r="S71" i="5"/>
  <c r="V71" i="5"/>
  <c r="R71" i="5"/>
  <c r="U71" i="5"/>
  <c r="S70" i="5"/>
  <c r="V70" i="5"/>
  <c r="R70" i="5"/>
  <c r="U70" i="5"/>
  <c r="S69" i="5"/>
  <c r="V69" i="5"/>
  <c r="R69" i="5"/>
  <c r="U69" i="5"/>
  <c r="R68" i="5"/>
  <c r="U68" i="5"/>
  <c r="S68" i="5"/>
  <c r="V68" i="5"/>
  <c r="S67" i="5"/>
  <c r="V67" i="5"/>
  <c r="R67" i="5"/>
  <c r="U67" i="5"/>
  <c r="S66" i="5"/>
  <c r="V66" i="5"/>
  <c r="R66" i="5"/>
  <c r="U66" i="5"/>
  <c r="S65" i="5"/>
  <c r="V65" i="5"/>
  <c r="R65" i="5"/>
  <c r="U65" i="5"/>
  <c r="S64" i="5"/>
  <c r="V64" i="5"/>
  <c r="R64" i="5"/>
  <c r="U64" i="5"/>
  <c r="S63" i="5"/>
  <c r="V63" i="5"/>
  <c r="R63" i="5"/>
  <c r="U63" i="5"/>
  <c r="S62" i="5"/>
  <c r="V62" i="5"/>
  <c r="R62" i="5"/>
  <c r="U62" i="5"/>
  <c r="S61" i="5"/>
  <c r="V61" i="5"/>
  <c r="R61" i="5"/>
  <c r="U61" i="5"/>
  <c r="S60" i="5"/>
  <c r="V60" i="5"/>
  <c r="R60" i="5"/>
  <c r="U60" i="5"/>
  <c r="S59" i="5"/>
  <c r="V59" i="5"/>
  <c r="R59" i="5"/>
  <c r="U59" i="5"/>
  <c r="S58" i="5"/>
  <c r="V58" i="5"/>
  <c r="R58" i="5"/>
  <c r="U58" i="5"/>
  <c r="S57" i="5"/>
  <c r="V57" i="5"/>
  <c r="R57" i="5"/>
  <c r="U57" i="5"/>
  <c r="S56" i="5"/>
  <c r="V56" i="5"/>
  <c r="R56" i="5"/>
  <c r="U56" i="5"/>
  <c r="S55" i="5"/>
  <c r="V55" i="5"/>
  <c r="R55" i="5"/>
  <c r="U55" i="5"/>
  <c r="S54" i="5"/>
  <c r="V54" i="5"/>
  <c r="R54" i="5"/>
  <c r="U54" i="5"/>
  <c r="S53" i="5"/>
  <c r="V53" i="5"/>
  <c r="R53" i="5"/>
  <c r="U53" i="5"/>
  <c r="R52" i="5"/>
  <c r="U52" i="5"/>
  <c r="S52" i="5"/>
  <c r="V52" i="5"/>
  <c r="S51" i="5"/>
  <c r="V51" i="5"/>
  <c r="R51" i="5"/>
  <c r="U51" i="5"/>
  <c r="S50" i="5"/>
  <c r="V50" i="5"/>
  <c r="R50" i="5"/>
  <c r="U50" i="5"/>
  <c r="S49" i="5"/>
  <c r="V49" i="5"/>
  <c r="R49" i="5"/>
  <c r="U49" i="5"/>
  <c r="S48" i="5"/>
  <c r="V48" i="5"/>
  <c r="R48" i="5"/>
  <c r="U48" i="5"/>
  <c r="S47" i="5"/>
  <c r="V47" i="5"/>
  <c r="R47" i="5"/>
  <c r="U47" i="5"/>
  <c r="S46" i="5"/>
  <c r="V46" i="5"/>
  <c r="R46" i="5"/>
  <c r="U46" i="5"/>
  <c r="S45" i="5"/>
  <c r="V45" i="5"/>
  <c r="R45" i="5"/>
  <c r="U45" i="5"/>
  <c r="S44" i="5"/>
  <c r="V44" i="5"/>
  <c r="R44" i="5"/>
  <c r="U44" i="5"/>
  <c r="S43" i="5"/>
  <c r="V43" i="5"/>
  <c r="R43" i="5"/>
  <c r="U43" i="5"/>
  <c r="S42" i="5"/>
  <c r="V42" i="5"/>
  <c r="R42" i="5"/>
  <c r="U42" i="5"/>
  <c r="R41" i="5"/>
  <c r="U41" i="5"/>
  <c r="S41" i="5"/>
  <c r="V41" i="5"/>
  <c r="S40" i="5"/>
  <c r="V40" i="5"/>
  <c r="R40" i="5"/>
  <c r="U40" i="5"/>
  <c r="S39" i="5"/>
  <c r="V39" i="5"/>
  <c r="R39" i="5"/>
  <c r="U39" i="5"/>
  <c r="S38" i="5"/>
  <c r="V38" i="5"/>
  <c r="R38" i="5"/>
  <c r="U38" i="5"/>
  <c r="S37" i="5"/>
  <c r="V37" i="5"/>
  <c r="R37" i="5"/>
  <c r="U37" i="5"/>
  <c r="S36" i="5"/>
  <c r="V36" i="5"/>
  <c r="R36" i="5"/>
  <c r="U36" i="5"/>
  <c r="R35" i="5"/>
  <c r="U35" i="5"/>
  <c r="S35" i="5"/>
  <c r="V35" i="5"/>
  <c r="S34" i="5"/>
  <c r="V34" i="5"/>
  <c r="R34" i="5"/>
  <c r="U34" i="5"/>
  <c r="S33" i="5"/>
  <c r="V33" i="5"/>
  <c r="R33" i="5"/>
  <c r="U33" i="5"/>
  <c r="S32" i="5"/>
  <c r="V32" i="5"/>
  <c r="R32" i="5"/>
  <c r="U32" i="5"/>
  <c r="S31" i="5"/>
  <c r="V31" i="5"/>
  <c r="R31" i="5"/>
  <c r="U31" i="5"/>
  <c r="S30" i="5"/>
  <c r="V30" i="5"/>
  <c r="R30" i="5"/>
  <c r="U30" i="5"/>
  <c r="S29" i="5"/>
  <c r="V29" i="5"/>
  <c r="R29" i="5"/>
  <c r="U29" i="5"/>
  <c r="S28" i="5"/>
  <c r="V28" i="5"/>
  <c r="R28" i="5"/>
  <c r="U28" i="5"/>
  <c r="S27" i="5"/>
  <c r="V27" i="5"/>
  <c r="R27" i="5"/>
  <c r="U27" i="5"/>
  <c r="S26" i="5"/>
  <c r="V26" i="5"/>
  <c r="R26" i="5"/>
  <c r="U26" i="5"/>
  <c r="S25" i="5"/>
  <c r="V25" i="5"/>
  <c r="R25" i="5"/>
  <c r="U25" i="5"/>
  <c r="S24" i="5"/>
  <c r="V24" i="5"/>
  <c r="R24" i="5"/>
  <c r="U24" i="5"/>
  <c r="R23" i="5"/>
  <c r="U23" i="5"/>
  <c r="S23" i="5"/>
  <c r="V23" i="5"/>
  <c r="S22" i="5"/>
  <c r="V22" i="5"/>
  <c r="R22" i="5"/>
  <c r="U22" i="5"/>
  <c r="S21" i="5"/>
  <c r="V21" i="5"/>
  <c r="R21" i="5"/>
  <c r="U21" i="5"/>
  <c r="S20" i="5"/>
  <c r="V20" i="5"/>
  <c r="R20" i="5"/>
  <c r="U20" i="5"/>
  <c r="S19" i="5"/>
  <c r="V19" i="5"/>
  <c r="R19" i="5"/>
  <c r="U19" i="5"/>
  <c r="S18" i="5"/>
  <c r="V18" i="5"/>
  <c r="R18" i="5"/>
  <c r="U18" i="5"/>
  <c r="S17" i="5"/>
  <c r="V17" i="5"/>
  <c r="R17" i="5"/>
  <c r="U17" i="5"/>
  <c r="S16" i="5"/>
  <c r="V16" i="5"/>
  <c r="R16" i="5"/>
  <c r="U16" i="5"/>
  <c r="S15" i="5"/>
  <c r="V15" i="5"/>
  <c r="R15" i="5"/>
  <c r="U15" i="5"/>
  <c r="S14" i="5"/>
  <c r="V14" i="5"/>
  <c r="R14" i="5"/>
  <c r="U14" i="5"/>
  <c r="S13" i="5"/>
  <c r="V13" i="5"/>
  <c r="R13" i="5"/>
  <c r="U13" i="5"/>
  <c r="S12" i="5"/>
  <c r="V12" i="5"/>
  <c r="R12" i="5"/>
  <c r="U12" i="5"/>
  <c r="R11" i="5"/>
  <c r="U11" i="5"/>
  <c r="S11" i="5"/>
  <c r="V11" i="5"/>
  <c r="S10" i="5"/>
  <c r="V10" i="5"/>
  <c r="R10" i="5"/>
  <c r="U10" i="5"/>
  <c r="R9" i="5"/>
  <c r="U9" i="5"/>
  <c r="S9" i="5"/>
  <c r="V9" i="5"/>
  <c r="R8" i="5"/>
  <c r="U8" i="5"/>
  <c r="S8" i="5"/>
  <c r="V8" i="5"/>
  <c r="R7" i="5"/>
  <c r="U7" i="5"/>
  <c r="S7" i="5"/>
  <c r="V7" i="5"/>
  <c r="R410" i="2"/>
  <c r="U410" i="2"/>
  <c r="S410" i="2"/>
  <c r="V410" i="2"/>
  <c r="S409" i="2"/>
  <c r="V409" i="2"/>
  <c r="R409" i="2"/>
  <c r="U409" i="2"/>
  <c r="R408" i="2"/>
  <c r="U408" i="2"/>
  <c r="V408" i="2"/>
  <c r="S408" i="2"/>
  <c r="S407" i="2"/>
  <c r="V407" i="2"/>
  <c r="R407" i="2"/>
  <c r="U407" i="2"/>
  <c r="R406" i="2"/>
  <c r="U406" i="2"/>
  <c r="S406" i="2"/>
  <c r="V406" i="2"/>
  <c r="U405" i="2"/>
  <c r="R405" i="2"/>
  <c r="S405" i="2"/>
  <c r="V405" i="2"/>
  <c r="R404" i="2"/>
  <c r="U404" i="2"/>
  <c r="S404" i="2"/>
  <c r="V404" i="2"/>
  <c r="S403" i="2"/>
  <c r="V403" i="2"/>
  <c r="R403" i="2"/>
  <c r="U403" i="2"/>
  <c r="S402" i="2"/>
  <c r="V402" i="2"/>
  <c r="R402" i="2"/>
  <c r="U402" i="2"/>
  <c r="V401" i="2"/>
  <c r="S401" i="2"/>
  <c r="R401" i="2"/>
  <c r="U401" i="2"/>
  <c r="V400" i="2"/>
  <c r="S400" i="2"/>
  <c r="R400" i="2"/>
  <c r="U400" i="2"/>
  <c r="S399" i="2"/>
  <c r="V399" i="2"/>
  <c r="R399" i="2"/>
  <c r="U399" i="2"/>
  <c r="V398" i="2"/>
  <c r="S398" i="2"/>
  <c r="R398" i="2"/>
  <c r="U398" i="2"/>
  <c r="V397" i="2"/>
  <c r="S397" i="2"/>
  <c r="R397" i="2"/>
  <c r="U397" i="2"/>
  <c r="V396" i="2"/>
  <c r="S396" i="2"/>
  <c r="R396" i="2"/>
  <c r="U396" i="2"/>
  <c r="V395" i="2"/>
  <c r="S395" i="2"/>
  <c r="R395" i="2"/>
  <c r="U395" i="2"/>
  <c r="U394" i="2"/>
  <c r="R394" i="2"/>
  <c r="V394" i="2"/>
  <c r="S394" i="2"/>
  <c r="V393" i="2"/>
  <c r="S393" i="2"/>
  <c r="R393" i="2"/>
  <c r="U393" i="2"/>
  <c r="S392" i="2"/>
  <c r="V392" i="2"/>
  <c r="R392" i="2"/>
  <c r="U392" i="2"/>
  <c r="S391" i="2"/>
  <c r="V391" i="2"/>
  <c r="R391" i="2"/>
  <c r="U391" i="2"/>
  <c r="V390" i="2"/>
  <c r="S390" i="2"/>
  <c r="R390" i="2"/>
  <c r="U390" i="2"/>
  <c r="V389" i="2"/>
  <c r="S389" i="2"/>
  <c r="R389" i="2"/>
  <c r="U389" i="2"/>
  <c r="U388" i="2"/>
  <c r="R388" i="2"/>
  <c r="V388" i="2"/>
  <c r="S388" i="2"/>
  <c r="V387" i="2"/>
  <c r="S387" i="2"/>
  <c r="R387" i="2"/>
  <c r="U387" i="2"/>
  <c r="V386" i="2"/>
  <c r="S386" i="2"/>
  <c r="R386" i="2"/>
  <c r="U386" i="2"/>
  <c r="U385" i="2"/>
  <c r="R385" i="2"/>
  <c r="V385" i="2"/>
  <c r="S385" i="2"/>
  <c r="R384" i="2"/>
  <c r="U384" i="2"/>
  <c r="V384" i="2"/>
  <c r="S384" i="2"/>
  <c r="V383" i="2"/>
  <c r="S383" i="2"/>
  <c r="R383" i="2"/>
  <c r="U383" i="2"/>
  <c r="R382" i="2"/>
  <c r="U382" i="2"/>
  <c r="V382" i="2"/>
  <c r="S382" i="2"/>
  <c r="V381" i="2"/>
  <c r="S381" i="2"/>
  <c r="U381" i="2"/>
  <c r="R381" i="2"/>
  <c r="R380" i="2"/>
  <c r="U380" i="2"/>
  <c r="V380" i="2"/>
  <c r="S380" i="2"/>
  <c r="V379" i="2"/>
  <c r="S379" i="2"/>
  <c r="R379" i="2"/>
  <c r="U379" i="2"/>
  <c r="R378" i="2"/>
  <c r="U378" i="2"/>
  <c r="S378" i="2"/>
  <c r="V378" i="2"/>
  <c r="U377" i="2"/>
  <c r="R377" i="2"/>
  <c r="V377" i="2"/>
  <c r="S377" i="2"/>
  <c r="V376" i="2"/>
  <c r="S376" i="2"/>
  <c r="R376" i="2"/>
  <c r="U376" i="2"/>
  <c r="S375" i="2"/>
  <c r="V375" i="2"/>
  <c r="R375" i="2"/>
  <c r="U375" i="2"/>
  <c r="V374" i="2"/>
  <c r="S374" i="2"/>
  <c r="R374" i="2"/>
  <c r="U374" i="2"/>
  <c r="S373" i="2"/>
  <c r="V373" i="2"/>
  <c r="U373" i="2"/>
  <c r="R373" i="2"/>
  <c r="R372" i="2"/>
  <c r="U372" i="2"/>
  <c r="V372" i="2"/>
  <c r="S372" i="2"/>
  <c r="R371" i="2"/>
  <c r="U371" i="2"/>
  <c r="V371" i="2"/>
  <c r="S371" i="2"/>
  <c r="R370" i="2"/>
  <c r="U370" i="2"/>
  <c r="S370" i="2"/>
  <c r="V370" i="2"/>
  <c r="S369" i="2"/>
  <c r="V369" i="2"/>
  <c r="R369" i="2"/>
  <c r="U369" i="2"/>
  <c r="V368" i="2"/>
  <c r="S368" i="2"/>
  <c r="R368" i="2"/>
  <c r="U368" i="2"/>
  <c r="R367" i="2"/>
  <c r="U367" i="2"/>
  <c r="V367" i="2"/>
  <c r="S367" i="2"/>
  <c r="R366" i="2"/>
  <c r="U366" i="2"/>
  <c r="V366" i="2"/>
  <c r="S366" i="2"/>
  <c r="R365" i="2"/>
  <c r="U365" i="2"/>
  <c r="V365" i="2"/>
  <c r="S365" i="2"/>
  <c r="S364" i="2"/>
  <c r="V364" i="2"/>
  <c r="U364" i="2"/>
  <c r="R364" i="2"/>
  <c r="R363" i="2"/>
  <c r="U363" i="2"/>
  <c r="V363" i="2"/>
  <c r="S363" i="2"/>
  <c r="R362" i="2"/>
  <c r="U362" i="2"/>
  <c r="V362" i="2"/>
  <c r="S362" i="2"/>
  <c r="U361" i="2"/>
  <c r="R361" i="2"/>
  <c r="V361" i="2"/>
  <c r="S361" i="2"/>
  <c r="V360" i="2"/>
  <c r="S360" i="2"/>
  <c r="R360" i="2"/>
  <c r="U360" i="2"/>
  <c r="V359" i="2"/>
  <c r="S359" i="2"/>
  <c r="U359" i="2"/>
  <c r="R359" i="2"/>
  <c r="R358" i="2"/>
  <c r="U358" i="2"/>
  <c r="V358" i="2"/>
  <c r="S358" i="2"/>
  <c r="V357" i="2"/>
  <c r="S357" i="2"/>
  <c r="R357" i="2"/>
  <c r="U357" i="2"/>
  <c r="V356" i="2"/>
  <c r="S356" i="2"/>
  <c r="R356" i="2"/>
  <c r="U356" i="2"/>
  <c r="U355" i="2"/>
  <c r="R355" i="2"/>
  <c r="S355" i="2"/>
  <c r="V355" i="2"/>
  <c r="R354" i="2"/>
  <c r="U354" i="2"/>
  <c r="V354" i="2"/>
  <c r="S354" i="2"/>
  <c r="R353" i="2"/>
  <c r="U353" i="2"/>
  <c r="V353" i="2"/>
  <c r="S353" i="2"/>
  <c r="V352" i="2"/>
  <c r="S352" i="2"/>
  <c r="R352" i="2"/>
  <c r="U352" i="2"/>
  <c r="V351" i="2"/>
  <c r="S351" i="2"/>
  <c r="R351" i="2"/>
  <c r="U351" i="2"/>
  <c r="U350" i="2"/>
  <c r="R350" i="2"/>
  <c r="V350" i="2"/>
  <c r="S350" i="2"/>
  <c r="V349" i="2"/>
  <c r="S349" i="2"/>
  <c r="R349" i="2"/>
  <c r="U349" i="2"/>
  <c r="R348" i="2"/>
  <c r="U348" i="2"/>
  <c r="S348" i="2"/>
  <c r="V348" i="2"/>
  <c r="R347" i="2"/>
  <c r="U347" i="2"/>
  <c r="V347" i="2"/>
  <c r="S347" i="2"/>
  <c r="R346" i="2"/>
  <c r="U346" i="2"/>
  <c r="V346" i="2"/>
  <c r="S346" i="2"/>
  <c r="R345" i="2"/>
  <c r="U345" i="2"/>
  <c r="S345" i="2"/>
  <c r="V345" i="2"/>
  <c r="V344" i="2"/>
  <c r="S344" i="2"/>
  <c r="R344" i="2"/>
  <c r="U344" i="2"/>
  <c r="V343" i="2"/>
  <c r="S343" i="2"/>
  <c r="U343" i="2"/>
  <c r="R343" i="2"/>
  <c r="R342" i="2"/>
  <c r="U342" i="2"/>
  <c r="V342" i="2"/>
  <c r="S342" i="2"/>
  <c r="V341" i="2"/>
  <c r="S341" i="2"/>
  <c r="R341" i="2"/>
  <c r="U341" i="2"/>
  <c r="R340" i="2"/>
  <c r="U340" i="2"/>
  <c r="V340" i="2"/>
  <c r="S340" i="2"/>
  <c r="V339" i="2"/>
  <c r="S339" i="2"/>
  <c r="R339" i="2"/>
  <c r="U339" i="2"/>
  <c r="R338" i="2"/>
  <c r="U338" i="2"/>
  <c r="S338" i="2"/>
  <c r="V338" i="2"/>
  <c r="R337" i="2"/>
  <c r="U337" i="2"/>
  <c r="V337" i="2"/>
  <c r="S337" i="2"/>
  <c r="U336" i="2"/>
  <c r="R336" i="2"/>
  <c r="S336" i="2"/>
  <c r="V336" i="2"/>
  <c r="V335" i="2"/>
  <c r="S335" i="2"/>
  <c r="R335" i="2"/>
  <c r="U335" i="2"/>
  <c r="V334" i="2"/>
  <c r="S334" i="2"/>
  <c r="U334" i="2"/>
  <c r="R334" i="2"/>
  <c r="V333" i="2"/>
  <c r="S333" i="2"/>
  <c r="R333" i="2"/>
  <c r="U333" i="2"/>
  <c r="U332" i="2"/>
  <c r="R332" i="2"/>
  <c r="V332" i="2"/>
  <c r="S332" i="2"/>
  <c r="R331" i="2"/>
  <c r="U331" i="2"/>
  <c r="V331" i="2"/>
  <c r="S331" i="2"/>
  <c r="R330" i="2"/>
  <c r="U330" i="2"/>
  <c r="V330" i="2"/>
  <c r="S330" i="2"/>
  <c r="R329" i="2"/>
  <c r="U329" i="2"/>
  <c r="S329" i="2"/>
  <c r="V329" i="2"/>
  <c r="U328" i="2"/>
  <c r="R328" i="2"/>
  <c r="V328" i="2"/>
  <c r="S328" i="2"/>
  <c r="V327" i="2"/>
  <c r="S327" i="2"/>
  <c r="U327" i="2"/>
  <c r="R327" i="2"/>
  <c r="R326" i="2"/>
  <c r="U326" i="2"/>
  <c r="V326" i="2"/>
  <c r="S326" i="2"/>
  <c r="V325" i="2"/>
  <c r="S325" i="2"/>
  <c r="R325" i="2"/>
  <c r="U325" i="2"/>
  <c r="R324" i="2"/>
  <c r="U324" i="2"/>
  <c r="V324" i="2"/>
  <c r="S324" i="2"/>
  <c r="S323" i="2"/>
  <c r="V323" i="2"/>
  <c r="R323" i="2"/>
  <c r="U323" i="2"/>
  <c r="R322" i="2"/>
  <c r="U322" i="2"/>
  <c r="V322" i="2"/>
  <c r="S322" i="2"/>
  <c r="R321" i="2"/>
  <c r="U321" i="2"/>
  <c r="V321" i="2"/>
  <c r="S321" i="2"/>
  <c r="R320" i="2"/>
  <c r="U320" i="2"/>
  <c r="S320" i="2"/>
  <c r="V320" i="2"/>
  <c r="R319" i="2"/>
  <c r="U319" i="2"/>
  <c r="V319" i="2"/>
  <c r="S319" i="2"/>
  <c r="U318" i="2"/>
  <c r="R318" i="2"/>
  <c r="S318" i="2"/>
  <c r="V318" i="2"/>
  <c r="S317" i="2"/>
  <c r="V317" i="2"/>
  <c r="U317" i="2"/>
  <c r="R317" i="2"/>
  <c r="R316" i="2"/>
  <c r="U316" i="2"/>
  <c r="S316" i="2"/>
  <c r="V316" i="2"/>
  <c r="R315" i="2"/>
  <c r="U315" i="2"/>
  <c r="V315" i="2"/>
  <c r="S315" i="2"/>
  <c r="S314" i="2"/>
  <c r="V314" i="2"/>
  <c r="U314" i="2"/>
  <c r="R314" i="2"/>
  <c r="S313" i="2"/>
  <c r="V313" i="2"/>
  <c r="R313" i="2"/>
  <c r="U313" i="2"/>
  <c r="V312" i="2"/>
  <c r="S312" i="2"/>
  <c r="R312" i="2"/>
  <c r="U312" i="2"/>
  <c r="R311" i="2"/>
  <c r="U311" i="2"/>
  <c r="S311" i="2"/>
  <c r="V311" i="2"/>
  <c r="V310" i="2"/>
  <c r="S310" i="2"/>
  <c r="R310" i="2"/>
  <c r="U310" i="2"/>
  <c r="R309" i="2"/>
  <c r="U309" i="2"/>
  <c r="V309" i="2"/>
  <c r="S309" i="2"/>
  <c r="S308" i="2"/>
  <c r="V308" i="2"/>
  <c r="R308" i="2"/>
  <c r="U308" i="2"/>
  <c r="R307" i="2"/>
  <c r="U307" i="2"/>
  <c r="V307" i="2"/>
  <c r="S307" i="2"/>
  <c r="R306" i="2"/>
  <c r="U306" i="2"/>
  <c r="S306" i="2"/>
  <c r="V306" i="2"/>
  <c r="R305" i="2"/>
  <c r="U305" i="2"/>
  <c r="V305" i="2"/>
  <c r="S305" i="2"/>
  <c r="R304" i="2"/>
  <c r="U304" i="2"/>
  <c r="V304" i="2"/>
  <c r="S304" i="2"/>
  <c r="R303" i="2"/>
  <c r="U303" i="2"/>
  <c r="S303" i="2"/>
  <c r="V303" i="2"/>
  <c r="V302" i="2"/>
  <c r="S302" i="2"/>
  <c r="R302" i="2"/>
  <c r="U302" i="2"/>
  <c r="S301" i="2"/>
  <c r="V301" i="2"/>
  <c r="R301" i="2"/>
  <c r="U301" i="2"/>
  <c r="V300" i="2"/>
  <c r="S300" i="2"/>
  <c r="U300" i="2"/>
  <c r="R300" i="2"/>
  <c r="R299" i="2"/>
  <c r="U299" i="2"/>
  <c r="V299" i="2"/>
  <c r="S299" i="2"/>
  <c r="S298" i="2"/>
  <c r="V298" i="2"/>
  <c r="R298" i="2"/>
  <c r="U298" i="2"/>
  <c r="V297" i="2"/>
  <c r="S297" i="2"/>
  <c r="R297" i="2"/>
  <c r="U297" i="2"/>
  <c r="S296" i="2"/>
  <c r="V296" i="2"/>
  <c r="R296" i="2"/>
  <c r="U296" i="2"/>
  <c r="V295" i="2"/>
  <c r="S295" i="2"/>
  <c r="U295" i="2"/>
  <c r="R295" i="2"/>
  <c r="S293" i="2"/>
  <c r="V293" i="2"/>
  <c r="R293" i="2"/>
  <c r="U293" i="2"/>
  <c r="R292" i="2"/>
  <c r="U292" i="2"/>
  <c r="S292" i="2"/>
  <c r="V292" i="2"/>
  <c r="R291" i="2"/>
  <c r="U291" i="2"/>
  <c r="S291" i="2"/>
  <c r="V291" i="2"/>
  <c r="S290" i="2"/>
  <c r="V290" i="2"/>
  <c r="R290" i="2"/>
  <c r="U290" i="2"/>
  <c r="R289" i="2"/>
  <c r="U289" i="2"/>
  <c r="S289" i="2"/>
  <c r="V289" i="2"/>
  <c r="R288" i="2"/>
  <c r="U288" i="2"/>
  <c r="S288" i="2"/>
  <c r="V288" i="2"/>
  <c r="R287" i="2"/>
  <c r="U287" i="2"/>
  <c r="S287" i="2"/>
  <c r="V287" i="2"/>
  <c r="S286" i="2"/>
  <c r="V286" i="2"/>
  <c r="R286" i="2"/>
  <c r="U286" i="2"/>
  <c r="S285" i="2"/>
  <c r="V285" i="2"/>
  <c r="R285" i="2"/>
  <c r="U285" i="2"/>
  <c r="S284" i="2"/>
  <c r="V284" i="2"/>
  <c r="R284" i="2"/>
  <c r="U284" i="2"/>
  <c r="S283" i="2"/>
  <c r="V283" i="2"/>
  <c r="R283" i="2"/>
  <c r="U283" i="2"/>
  <c r="S282" i="2"/>
  <c r="V282" i="2"/>
  <c r="R282" i="2"/>
  <c r="U282" i="2"/>
  <c r="S281" i="2"/>
  <c r="V281" i="2"/>
  <c r="R281" i="2"/>
  <c r="U281" i="2"/>
  <c r="S280" i="2"/>
  <c r="V280" i="2"/>
  <c r="R280" i="2"/>
  <c r="U280" i="2"/>
  <c r="S279" i="2"/>
  <c r="V279" i="2"/>
  <c r="R279" i="2"/>
  <c r="U279" i="2"/>
  <c r="R278" i="2"/>
  <c r="U278" i="2"/>
  <c r="S278" i="2"/>
  <c r="V278" i="2"/>
  <c r="S277" i="2"/>
  <c r="V277" i="2"/>
  <c r="R277" i="2"/>
  <c r="U277" i="2"/>
  <c r="S276" i="2"/>
  <c r="V276" i="2"/>
  <c r="R276" i="2"/>
  <c r="U276" i="2"/>
  <c r="S275" i="2"/>
  <c r="V275" i="2"/>
  <c r="R275" i="2"/>
  <c r="U275" i="2"/>
  <c r="S274" i="2"/>
  <c r="V274" i="2"/>
  <c r="R274" i="2"/>
  <c r="U274" i="2"/>
  <c r="S273" i="2"/>
  <c r="V273" i="2"/>
  <c r="R273" i="2"/>
  <c r="U273" i="2"/>
  <c r="R272" i="2"/>
  <c r="U272" i="2"/>
  <c r="S272" i="2"/>
  <c r="V272" i="2"/>
  <c r="S271" i="2"/>
  <c r="V271" i="2"/>
  <c r="R271" i="2"/>
  <c r="U271" i="2"/>
  <c r="S270" i="2"/>
  <c r="V270" i="2"/>
  <c r="R270" i="2"/>
  <c r="U270" i="2"/>
  <c r="R269" i="2"/>
  <c r="U269" i="2"/>
  <c r="S269" i="2"/>
  <c r="V269" i="2"/>
  <c r="S268" i="2"/>
  <c r="V268" i="2"/>
  <c r="R268" i="2"/>
  <c r="U268" i="2"/>
  <c r="S267" i="2"/>
  <c r="V267" i="2"/>
  <c r="R267" i="2"/>
  <c r="U267" i="2"/>
  <c r="S266" i="2"/>
  <c r="V266" i="2"/>
  <c r="R266" i="2"/>
  <c r="U266" i="2"/>
  <c r="S265" i="2"/>
  <c r="V265" i="2"/>
  <c r="R265" i="2"/>
  <c r="U265" i="2"/>
  <c r="S264" i="2"/>
  <c r="V264" i="2"/>
  <c r="R264" i="2"/>
  <c r="U264" i="2"/>
  <c r="S263" i="2"/>
  <c r="V263" i="2"/>
  <c r="R263" i="2"/>
  <c r="U263" i="2"/>
  <c r="S262" i="2"/>
  <c r="V262" i="2"/>
  <c r="R262" i="2"/>
  <c r="U262" i="2"/>
  <c r="S261" i="2"/>
  <c r="V261" i="2"/>
  <c r="R261" i="2"/>
  <c r="U261" i="2"/>
  <c r="R260" i="2"/>
  <c r="U260" i="2"/>
  <c r="S260" i="2"/>
  <c r="V260" i="2"/>
  <c r="S259" i="2"/>
  <c r="V259" i="2"/>
  <c r="R259" i="2"/>
  <c r="U259" i="2"/>
  <c r="S258" i="2"/>
  <c r="V258" i="2"/>
  <c r="R258" i="2"/>
  <c r="U258" i="2"/>
  <c r="S257" i="2"/>
  <c r="V257" i="2"/>
  <c r="R257" i="2"/>
  <c r="U257" i="2"/>
  <c r="S256" i="2"/>
  <c r="V256" i="2"/>
  <c r="R256" i="2"/>
  <c r="U256" i="2"/>
  <c r="S255" i="2"/>
  <c r="V255" i="2"/>
  <c r="R255" i="2"/>
  <c r="U255" i="2"/>
  <c r="S254" i="2"/>
  <c r="V254" i="2"/>
  <c r="R254" i="2"/>
  <c r="U254" i="2"/>
  <c r="S253" i="2"/>
  <c r="V253" i="2"/>
  <c r="R253" i="2"/>
  <c r="U253" i="2"/>
  <c r="R252" i="2"/>
  <c r="U252" i="2"/>
  <c r="S252" i="2"/>
  <c r="V252" i="2"/>
  <c r="R251" i="2"/>
  <c r="U251" i="2"/>
  <c r="S251" i="2"/>
  <c r="V251" i="2"/>
  <c r="R250" i="2"/>
  <c r="U250" i="2"/>
  <c r="S250" i="2"/>
  <c r="V250" i="2"/>
  <c r="R249" i="2"/>
  <c r="U249" i="2"/>
  <c r="S249" i="2"/>
  <c r="V249" i="2"/>
  <c r="R248" i="2"/>
  <c r="U248" i="2"/>
  <c r="S248" i="2"/>
  <c r="V248" i="2"/>
  <c r="R247" i="2"/>
  <c r="U247" i="2"/>
  <c r="S247" i="2"/>
  <c r="V247" i="2"/>
  <c r="R246" i="2"/>
  <c r="U246" i="2"/>
  <c r="S246" i="2"/>
  <c r="V246" i="2"/>
  <c r="R245" i="2"/>
  <c r="U245" i="2"/>
  <c r="S245" i="2"/>
  <c r="V245" i="2"/>
  <c r="R244" i="2"/>
  <c r="U244" i="2"/>
  <c r="S244" i="2"/>
  <c r="V244" i="2"/>
  <c r="R243" i="2"/>
  <c r="U243" i="2"/>
  <c r="S243" i="2"/>
  <c r="V243" i="2"/>
  <c r="R242" i="2"/>
  <c r="U242" i="2"/>
  <c r="S242" i="2"/>
  <c r="V242" i="2"/>
  <c r="R241" i="2"/>
  <c r="U241" i="2"/>
  <c r="S241" i="2"/>
  <c r="V241" i="2"/>
  <c r="S240" i="2"/>
  <c r="V240" i="2"/>
  <c r="R240" i="2"/>
  <c r="U240" i="2"/>
  <c r="S239" i="2"/>
  <c r="V239" i="2"/>
  <c r="R239" i="2"/>
  <c r="U239" i="2"/>
  <c r="S238" i="2"/>
  <c r="V238" i="2"/>
  <c r="R238" i="2"/>
  <c r="U238" i="2"/>
  <c r="S237" i="2"/>
  <c r="V237" i="2"/>
  <c r="R237" i="2"/>
  <c r="U237" i="2"/>
  <c r="R236" i="2"/>
  <c r="U236" i="2"/>
  <c r="S236" i="2"/>
  <c r="V236" i="2"/>
  <c r="R235" i="2"/>
  <c r="U235" i="2"/>
  <c r="S235" i="2"/>
  <c r="V235" i="2"/>
  <c r="R234" i="2"/>
  <c r="U234" i="2"/>
  <c r="S234" i="2"/>
  <c r="V234" i="2"/>
  <c r="S233" i="2"/>
  <c r="V233" i="2"/>
  <c r="R233" i="2"/>
  <c r="U233" i="2"/>
  <c r="S232" i="2"/>
  <c r="V232" i="2"/>
  <c r="R232" i="2"/>
  <c r="U232" i="2"/>
  <c r="S231" i="2"/>
  <c r="V231" i="2"/>
  <c r="R231" i="2"/>
  <c r="U231" i="2"/>
  <c r="S230" i="2"/>
  <c r="V230" i="2"/>
  <c r="R230" i="2"/>
  <c r="U230" i="2"/>
  <c r="R229" i="2"/>
  <c r="U229" i="2"/>
  <c r="S229" i="2"/>
  <c r="V229" i="2"/>
  <c r="R228" i="2"/>
  <c r="U228" i="2"/>
  <c r="S228" i="2"/>
  <c r="V228" i="2"/>
  <c r="R227" i="2"/>
  <c r="U227" i="2"/>
  <c r="S227" i="2"/>
  <c r="V227" i="2"/>
  <c r="R226" i="2"/>
  <c r="U226" i="2"/>
  <c r="S226" i="2"/>
  <c r="V226" i="2"/>
  <c r="R225" i="2"/>
  <c r="U225" i="2"/>
  <c r="S225" i="2"/>
  <c r="V225" i="2"/>
  <c r="S224" i="2"/>
  <c r="V224" i="2"/>
  <c r="R224" i="2"/>
  <c r="U224" i="2"/>
  <c r="S223" i="2"/>
  <c r="V223" i="2"/>
  <c r="R223" i="2"/>
  <c r="U223" i="2"/>
  <c r="S222" i="2"/>
  <c r="V222" i="2"/>
  <c r="R222" i="2"/>
  <c r="U222" i="2"/>
  <c r="S221" i="2"/>
  <c r="V221" i="2"/>
  <c r="R221" i="2"/>
  <c r="U221" i="2"/>
  <c r="R220" i="2"/>
  <c r="U220" i="2"/>
  <c r="S220" i="2"/>
  <c r="V220" i="2"/>
  <c r="R219" i="2"/>
  <c r="U219" i="2"/>
  <c r="S219" i="2"/>
  <c r="V219" i="2"/>
  <c r="R218" i="2"/>
  <c r="U218" i="2"/>
  <c r="S218" i="2"/>
  <c r="V218" i="2"/>
  <c r="R217" i="2"/>
  <c r="U217" i="2"/>
  <c r="S217" i="2"/>
  <c r="V217" i="2"/>
  <c r="R216" i="2"/>
  <c r="U216" i="2"/>
  <c r="S216" i="2"/>
  <c r="V216" i="2"/>
  <c r="R215" i="2"/>
  <c r="U215" i="2"/>
  <c r="S215" i="2"/>
  <c r="V215" i="2"/>
  <c r="R214" i="2"/>
  <c r="U214" i="2"/>
  <c r="S214" i="2"/>
  <c r="V214" i="2"/>
  <c r="R213" i="2"/>
  <c r="U213" i="2"/>
  <c r="S213" i="2"/>
  <c r="V213" i="2"/>
  <c r="R212" i="2"/>
  <c r="U212" i="2"/>
  <c r="S212" i="2"/>
  <c r="V212" i="2"/>
  <c r="R211" i="2"/>
  <c r="U211" i="2"/>
  <c r="S211" i="2"/>
  <c r="V211" i="2"/>
  <c r="R210" i="2"/>
  <c r="U210" i="2"/>
  <c r="S210" i="2"/>
  <c r="V210" i="2"/>
  <c r="S209" i="2"/>
  <c r="V209" i="2"/>
  <c r="R209" i="2"/>
  <c r="U209" i="2"/>
  <c r="S208" i="2"/>
  <c r="V208" i="2"/>
  <c r="R208" i="2"/>
  <c r="U208" i="2"/>
  <c r="S207" i="2"/>
  <c r="V207" i="2"/>
  <c r="R207" i="2"/>
  <c r="U207" i="2"/>
  <c r="R206" i="2"/>
  <c r="U206" i="2"/>
  <c r="S206" i="2"/>
  <c r="V206" i="2"/>
  <c r="R205" i="2"/>
  <c r="U205" i="2"/>
  <c r="S205" i="2"/>
  <c r="V205" i="2"/>
  <c r="R204" i="2"/>
  <c r="U204" i="2"/>
  <c r="S204" i="2"/>
  <c r="V204" i="2"/>
  <c r="R203" i="2"/>
  <c r="U203" i="2"/>
  <c r="S203" i="2"/>
  <c r="V203" i="2"/>
  <c r="R202" i="2"/>
  <c r="U202" i="2"/>
  <c r="S202" i="2"/>
  <c r="V202" i="2"/>
  <c r="R201" i="2"/>
  <c r="U201" i="2"/>
  <c r="S201" i="2"/>
  <c r="V201" i="2"/>
  <c r="R200" i="2"/>
  <c r="U200" i="2"/>
  <c r="S200" i="2"/>
  <c r="V200" i="2"/>
  <c r="R199" i="2"/>
  <c r="U199" i="2"/>
  <c r="S199" i="2"/>
  <c r="V199" i="2"/>
  <c r="R198" i="2"/>
  <c r="U198" i="2"/>
  <c r="S198" i="2"/>
  <c r="V198" i="2"/>
  <c r="R197" i="2"/>
  <c r="U197" i="2"/>
  <c r="S197" i="2"/>
  <c r="V197" i="2"/>
  <c r="R196" i="2"/>
  <c r="U196" i="2"/>
  <c r="S196" i="2"/>
  <c r="V196" i="2"/>
  <c r="R195" i="2"/>
  <c r="U195" i="2"/>
  <c r="S195" i="2"/>
  <c r="V195" i="2"/>
  <c r="R194" i="2"/>
  <c r="U194" i="2"/>
  <c r="S194" i="2"/>
  <c r="V194" i="2"/>
  <c r="R193" i="2"/>
  <c r="U193" i="2"/>
  <c r="S193" i="2"/>
  <c r="V193" i="2"/>
  <c r="R192" i="2"/>
  <c r="U192" i="2"/>
  <c r="S192" i="2"/>
  <c r="V192" i="2"/>
  <c r="R191" i="2"/>
  <c r="U191" i="2"/>
  <c r="S191" i="2"/>
  <c r="V191" i="2"/>
  <c r="S190" i="2"/>
  <c r="V190" i="2"/>
  <c r="R190" i="2"/>
  <c r="U190" i="2"/>
  <c r="S189" i="2"/>
  <c r="V189" i="2"/>
  <c r="R189" i="2"/>
  <c r="U189" i="2"/>
  <c r="S188" i="2"/>
  <c r="V188" i="2"/>
  <c r="R188" i="2"/>
  <c r="U188" i="2"/>
  <c r="S187" i="2"/>
  <c r="V187" i="2"/>
  <c r="R187" i="2"/>
  <c r="U187" i="2"/>
  <c r="S186" i="2"/>
  <c r="V186" i="2"/>
  <c r="R186" i="2"/>
  <c r="U186" i="2"/>
  <c r="S185" i="2"/>
  <c r="V185" i="2"/>
  <c r="R185" i="2"/>
  <c r="U185" i="2"/>
  <c r="R184" i="2"/>
  <c r="U184" i="2"/>
  <c r="S184" i="2"/>
  <c r="V184" i="2"/>
  <c r="S183" i="2"/>
  <c r="V183" i="2"/>
  <c r="R183" i="2"/>
  <c r="U183" i="2"/>
  <c r="S182" i="2"/>
  <c r="V182" i="2"/>
  <c r="R182" i="2"/>
  <c r="U182" i="2"/>
  <c r="R181" i="2"/>
  <c r="U181" i="2"/>
  <c r="S181" i="2"/>
  <c r="V181" i="2"/>
  <c r="S180" i="2"/>
  <c r="V180" i="2"/>
  <c r="R180" i="2"/>
  <c r="U180" i="2"/>
  <c r="S179" i="2"/>
  <c r="V179" i="2"/>
  <c r="R179" i="2"/>
  <c r="U179" i="2"/>
  <c r="S178" i="2"/>
  <c r="V178" i="2"/>
  <c r="R178" i="2"/>
  <c r="U178" i="2"/>
  <c r="R177" i="2"/>
  <c r="U177" i="2"/>
  <c r="S177" i="2"/>
  <c r="V177" i="2"/>
  <c r="S176" i="2"/>
  <c r="V176" i="2"/>
  <c r="R176" i="2"/>
  <c r="U176" i="2"/>
  <c r="S175" i="2"/>
  <c r="V175" i="2"/>
  <c r="R175" i="2"/>
  <c r="U175" i="2"/>
  <c r="S174" i="2"/>
  <c r="V174" i="2"/>
  <c r="R174" i="2"/>
  <c r="U174" i="2"/>
  <c r="S173" i="2"/>
  <c r="V173" i="2"/>
  <c r="R173" i="2"/>
  <c r="U173" i="2"/>
  <c r="S172" i="2"/>
  <c r="V172" i="2"/>
  <c r="R172" i="2"/>
  <c r="U172" i="2"/>
  <c r="R171" i="2"/>
  <c r="U171" i="2"/>
  <c r="S171" i="2"/>
  <c r="V171" i="2"/>
  <c r="S170" i="2"/>
  <c r="V170" i="2"/>
  <c r="R170" i="2"/>
  <c r="U170" i="2"/>
  <c r="S169" i="2"/>
  <c r="V169" i="2"/>
  <c r="R169" i="2"/>
  <c r="U169" i="2"/>
  <c r="S168" i="2"/>
  <c r="V168" i="2"/>
  <c r="R168" i="2"/>
  <c r="U168" i="2"/>
  <c r="S167" i="2"/>
  <c r="V167" i="2"/>
  <c r="R167" i="2"/>
  <c r="U167" i="2"/>
  <c r="S166" i="2"/>
  <c r="V166" i="2"/>
  <c r="R166" i="2"/>
  <c r="U166" i="2"/>
  <c r="S165" i="2"/>
  <c r="V165" i="2"/>
  <c r="R165" i="2"/>
  <c r="U165" i="2"/>
  <c r="R164" i="2"/>
  <c r="U164" i="2"/>
  <c r="S164" i="2"/>
  <c r="V164" i="2"/>
  <c r="S163" i="2"/>
  <c r="V163" i="2"/>
  <c r="R163" i="2"/>
  <c r="U163" i="2"/>
  <c r="R162" i="2"/>
  <c r="U162" i="2"/>
  <c r="S162" i="2"/>
  <c r="V162" i="2"/>
  <c r="S161" i="2"/>
  <c r="V161" i="2"/>
  <c r="R161" i="2"/>
  <c r="U161" i="2"/>
  <c r="R160" i="2"/>
  <c r="U160" i="2"/>
  <c r="S160" i="2"/>
  <c r="V160" i="2"/>
  <c r="R159" i="2"/>
  <c r="U159" i="2"/>
  <c r="S159" i="2"/>
  <c r="V159" i="2"/>
  <c r="S158" i="2"/>
  <c r="V158" i="2"/>
  <c r="R158" i="2"/>
  <c r="U158" i="2"/>
  <c r="S157" i="2"/>
  <c r="V157" i="2"/>
  <c r="R157" i="2"/>
  <c r="U157" i="2"/>
  <c r="R156" i="2"/>
  <c r="U156" i="2"/>
  <c r="S156" i="2"/>
  <c r="V156" i="2"/>
  <c r="S155" i="2"/>
  <c r="V155" i="2"/>
  <c r="R155" i="2"/>
  <c r="U155" i="2"/>
  <c r="S154" i="2"/>
  <c r="V154" i="2"/>
  <c r="R154" i="2"/>
  <c r="U154" i="2"/>
  <c r="S153" i="2"/>
  <c r="V153" i="2"/>
  <c r="R153" i="2"/>
  <c r="U153" i="2"/>
  <c r="S152" i="2"/>
  <c r="V152" i="2"/>
  <c r="R152" i="2"/>
  <c r="U152" i="2"/>
  <c r="S151" i="2"/>
  <c r="V151" i="2"/>
  <c r="R151" i="2"/>
  <c r="U151" i="2"/>
  <c r="S150" i="2"/>
  <c r="V150" i="2"/>
  <c r="R150" i="2"/>
  <c r="U150" i="2"/>
  <c r="S149" i="2"/>
  <c r="V149" i="2"/>
  <c r="R149" i="2"/>
  <c r="U149" i="2"/>
  <c r="S148" i="2"/>
  <c r="V148" i="2"/>
  <c r="R148" i="2"/>
  <c r="U148" i="2"/>
  <c r="S147" i="2"/>
  <c r="V147" i="2"/>
  <c r="R147" i="2"/>
  <c r="U147" i="2"/>
  <c r="S146" i="2"/>
  <c r="V146" i="2"/>
  <c r="R146" i="2"/>
  <c r="U146" i="2"/>
  <c r="S145" i="2"/>
  <c r="V145" i="2"/>
  <c r="R145" i="2"/>
  <c r="U145" i="2"/>
  <c r="S144" i="2"/>
  <c r="V144" i="2"/>
  <c r="R144" i="2"/>
  <c r="U144" i="2"/>
  <c r="R143" i="2"/>
  <c r="U143" i="2"/>
  <c r="S143" i="2"/>
  <c r="V143" i="2"/>
  <c r="S142" i="2"/>
  <c r="V142" i="2"/>
  <c r="R142" i="2"/>
  <c r="U142" i="2"/>
  <c r="S141" i="2"/>
  <c r="V141" i="2"/>
  <c r="R141" i="2"/>
  <c r="U141" i="2"/>
  <c r="S140" i="2"/>
  <c r="V140" i="2"/>
  <c r="R140" i="2"/>
  <c r="U140" i="2"/>
  <c r="R139" i="2"/>
  <c r="U139" i="2"/>
  <c r="S139" i="2"/>
  <c r="V139" i="2"/>
  <c r="S138" i="2"/>
  <c r="V138" i="2"/>
  <c r="R138" i="2"/>
  <c r="U138" i="2"/>
  <c r="S137" i="2"/>
  <c r="V137" i="2"/>
  <c r="R137" i="2"/>
  <c r="U137" i="2"/>
  <c r="S136" i="2"/>
  <c r="V136" i="2"/>
  <c r="R136" i="2"/>
  <c r="U136" i="2"/>
  <c r="R135" i="2"/>
  <c r="U135" i="2"/>
  <c r="S135" i="2"/>
  <c r="V135" i="2"/>
  <c r="S134" i="2"/>
  <c r="V134" i="2"/>
  <c r="R134" i="2"/>
  <c r="U134" i="2"/>
  <c r="S133" i="2"/>
  <c r="V133" i="2"/>
  <c r="R133" i="2"/>
  <c r="U133" i="2"/>
  <c r="S132" i="2"/>
  <c r="V132" i="2"/>
  <c r="R132" i="2"/>
  <c r="U132" i="2"/>
  <c r="S131" i="2"/>
  <c r="V131" i="2"/>
  <c r="R131" i="2"/>
  <c r="U131" i="2"/>
  <c r="R130" i="2"/>
  <c r="U130" i="2"/>
  <c r="S130" i="2"/>
  <c r="V130" i="2"/>
  <c r="S129" i="2"/>
  <c r="V129" i="2"/>
  <c r="R129" i="2"/>
  <c r="U129" i="2"/>
  <c r="S128" i="2"/>
  <c r="V128" i="2"/>
  <c r="R128" i="2"/>
  <c r="U128" i="2"/>
  <c r="S127" i="2"/>
  <c r="V127" i="2"/>
  <c r="R127" i="2"/>
  <c r="U127" i="2"/>
  <c r="R126" i="2"/>
  <c r="U126" i="2"/>
  <c r="S126" i="2"/>
  <c r="V126" i="2"/>
  <c r="R125" i="2"/>
  <c r="U125" i="2"/>
  <c r="S125" i="2"/>
  <c r="V125" i="2"/>
  <c r="R124" i="2"/>
  <c r="U124" i="2"/>
  <c r="S124" i="2"/>
  <c r="V124" i="2"/>
  <c r="R123" i="2"/>
  <c r="U123" i="2"/>
  <c r="S123" i="2"/>
  <c r="V123" i="2"/>
  <c r="R122" i="2"/>
  <c r="U122" i="2"/>
  <c r="S122" i="2"/>
  <c r="V122" i="2"/>
  <c r="R121" i="2"/>
  <c r="U121" i="2"/>
  <c r="S121" i="2"/>
  <c r="V121" i="2"/>
  <c r="R120" i="2"/>
  <c r="U120" i="2"/>
  <c r="S120" i="2"/>
  <c r="V120" i="2"/>
  <c r="R119" i="2"/>
  <c r="U119" i="2"/>
  <c r="S119" i="2"/>
  <c r="V119" i="2"/>
  <c r="R118" i="2"/>
  <c r="U118" i="2"/>
  <c r="S118" i="2"/>
  <c r="V118" i="2"/>
  <c r="S117" i="2"/>
  <c r="V117" i="2"/>
  <c r="R117" i="2"/>
  <c r="U117" i="2"/>
  <c r="R116" i="2"/>
  <c r="U116" i="2"/>
  <c r="S116" i="2"/>
  <c r="V116" i="2"/>
  <c r="R115" i="2"/>
  <c r="U115" i="2"/>
  <c r="S115" i="2"/>
  <c r="V115" i="2"/>
  <c r="R114" i="2"/>
  <c r="U114" i="2"/>
  <c r="V114" i="2"/>
  <c r="S114" i="2"/>
  <c r="S113" i="2"/>
  <c r="V113" i="2"/>
  <c r="R113" i="2"/>
  <c r="U113" i="2"/>
  <c r="S112" i="2"/>
  <c r="V112" i="2"/>
  <c r="R112" i="2"/>
  <c r="U112" i="2"/>
  <c r="R111" i="2"/>
  <c r="U111" i="2"/>
  <c r="V111" i="2"/>
  <c r="S111" i="2"/>
  <c r="R110" i="2"/>
  <c r="U110" i="2"/>
  <c r="S110" i="2"/>
  <c r="V110" i="2"/>
  <c r="V109" i="2"/>
  <c r="S109" i="2"/>
  <c r="U109" i="2"/>
  <c r="R109" i="2"/>
  <c r="R108" i="2"/>
  <c r="U108" i="2"/>
  <c r="S108" i="2"/>
  <c r="V108" i="2"/>
  <c r="R107" i="2"/>
  <c r="U107" i="2"/>
  <c r="S107" i="2"/>
  <c r="V107" i="2"/>
  <c r="R106" i="2"/>
  <c r="U106" i="2"/>
  <c r="V106" i="2"/>
  <c r="S106" i="2"/>
  <c r="R105" i="2"/>
  <c r="U105" i="2"/>
  <c r="S105" i="2"/>
  <c r="V105" i="2"/>
  <c r="S104" i="2"/>
  <c r="V104" i="2"/>
  <c r="R104" i="2"/>
  <c r="U104" i="2"/>
  <c r="R103" i="2"/>
  <c r="U103" i="2"/>
  <c r="V103" i="2"/>
  <c r="S103" i="2"/>
  <c r="R102" i="2"/>
  <c r="U102" i="2"/>
  <c r="S102" i="2"/>
  <c r="V102" i="2"/>
  <c r="R101" i="2"/>
  <c r="U101" i="2"/>
  <c r="V101" i="2"/>
  <c r="S101" i="2"/>
  <c r="U100" i="2"/>
  <c r="R100" i="2"/>
  <c r="S100" i="2"/>
  <c r="V100" i="2"/>
  <c r="U99" i="2"/>
  <c r="R99" i="2"/>
  <c r="S99" i="2"/>
  <c r="V99" i="2"/>
  <c r="S98" i="2"/>
  <c r="V98" i="2"/>
  <c r="R98" i="2"/>
  <c r="U98" i="2"/>
  <c r="S97" i="2"/>
  <c r="V97" i="2"/>
  <c r="U97" i="2"/>
  <c r="R97" i="2"/>
  <c r="S96" i="2"/>
  <c r="V96" i="2"/>
  <c r="R96" i="2"/>
  <c r="U96" i="2"/>
  <c r="R95" i="2"/>
  <c r="U95" i="2"/>
  <c r="S95" i="2"/>
  <c r="V95" i="2"/>
  <c r="S94" i="2"/>
  <c r="V94" i="2"/>
  <c r="R94" i="2"/>
  <c r="U94" i="2"/>
  <c r="U93" i="2"/>
  <c r="R93" i="2"/>
  <c r="S93" i="2"/>
  <c r="V93" i="2"/>
  <c r="S92" i="2"/>
  <c r="V92" i="2"/>
  <c r="R92" i="2"/>
  <c r="U92" i="2"/>
  <c r="R91" i="2"/>
  <c r="U91" i="2"/>
  <c r="V91" i="2"/>
  <c r="S91" i="2"/>
  <c r="V90" i="2"/>
  <c r="S90" i="2"/>
  <c r="R90" i="2"/>
  <c r="U90" i="2"/>
  <c r="R89" i="2"/>
  <c r="U89" i="2"/>
  <c r="S89" i="2"/>
  <c r="V89" i="2"/>
  <c r="U88" i="2"/>
  <c r="R88" i="2"/>
  <c r="V88" i="2"/>
  <c r="S88" i="2"/>
  <c r="V87" i="2"/>
  <c r="S87" i="2"/>
  <c r="R87" i="2"/>
  <c r="U87" i="2"/>
  <c r="U86" i="2"/>
  <c r="R86" i="2"/>
  <c r="S86" i="2"/>
  <c r="V86" i="2"/>
  <c r="S85" i="2"/>
  <c r="V85" i="2"/>
  <c r="R85" i="2"/>
  <c r="U85" i="2"/>
  <c r="S84" i="2"/>
  <c r="V84" i="2"/>
  <c r="U84" i="2"/>
  <c r="R84" i="2"/>
  <c r="R83" i="2"/>
  <c r="U83" i="2"/>
  <c r="S83" i="2"/>
  <c r="V83" i="2"/>
  <c r="S82" i="2"/>
  <c r="V82" i="2"/>
  <c r="R82" i="2"/>
  <c r="U82" i="2"/>
  <c r="R81" i="2"/>
  <c r="U81" i="2"/>
  <c r="V81" i="2"/>
  <c r="S81" i="2"/>
  <c r="V80" i="2"/>
  <c r="S80" i="2"/>
  <c r="R80" i="2"/>
  <c r="U80" i="2"/>
  <c r="S79" i="2"/>
  <c r="V79" i="2"/>
  <c r="R79" i="2"/>
  <c r="U79" i="2"/>
  <c r="R78" i="2"/>
  <c r="U78" i="2"/>
  <c r="S78" i="2"/>
  <c r="V78" i="2"/>
  <c r="R77" i="2"/>
  <c r="U77" i="2"/>
  <c r="S77" i="2"/>
  <c r="V77" i="2"/>
  <c r="S76" i="2"/>
  <c r="V76" i="2"/>
  <c r="R76" i="2"/>
  <c r="U76" i="2"/>
  <c r="U75" i="2"/>
  <c r="R75" i="2"/>
  <c r="S75" i="2"/>
  <c r="V75" i="2"/>
  <c r="S74" i="2"/>
  <c r="V74" i="2"/>
  <c r="R74" i="2"/>
  <c r="U74" i="2"/>
  <c r="S73" i="2"/>
  <c r="V73" i="2"/>
  <c r="R73" i="2"/>
  <c r="U73" i="2"/>
  <c r="V72" i="2"/>
  <c r="S72" i="2"/>
  <c r="R72" i="2"/>
  <c r="U72" i="2"/>
  <c r="R71" i="2"/>
  <c r="U71" i="2"/>
  <c r="S71" i="2"/>
  <c r="V71" i="2"/>
  <c r="R70" i="2"/>
  <c r="U70" i="2"/>
  <c r="S70" i="2"/>
  <c r="V70" i="2"/>
  <c r="R69" i="2"/>
  <c r="U69" i="2"/>
  <c r="S69" i="2"/>
  <c r="V69" i="2"/>
  <c r="R68" i="2"/>
  <c r="U68" i="2"/>
  <c r="S68" i="2"/>
  <c r="V68" i="2"/>
  <c r="R67" i="2"/>
  <c r="U67" i="2"/>
  <c r="S67" i="2"/>
  <c r="V67" i="2"/>
  <c r="R66" i="2"/>
  <c r="U66" i="2"/>
  <c r="S66" i="2"/>
  <c r="V66" i="2"/>
  <c r="U65" i="2"/>
  <c r="R65" i="2"/>
  <c r="V65" i="2"/>
  <c r="S65" i="2"/>
  <c r="S64" i="2"/>
  <c r="V64" i="2"/>
  <c r="R64" i="2"/>
  <c r="U64" i="2"/>
  <c r="R63" i="2"/>
  <c r="U63" i="2"/>
  <c r="S63" i="2"/>
  <c r="V63" i="2"/>
  <c r="R62" i="2"/>
  <c r="U62" i="2"/>
  <c r="S62" i="2"/>
  <c r="V62" i="2"/>
  <c r="S61" i="2"/>
  <c r="V61" i="2"/>
  <c r="R61" i="2"/>
  <c r="U61" i="2"/>
  <c r="V60" i="2"/>
  <c r="S60" i="2"/>
  <c r="U60" i="2"/>
  <c r="R60" i="2"/>
  <c r="S59" i="2"/>
  <c r="V59" i="2"/>
  <c r="R59" i="2"/>
  <c r="U59" i="2"/>
  <c r="R58" i="2"/>
  <c r="U58" i="2"/>
  <c r="V58" i="2"/>
  <c r="S58" i="2"/>
  <c r="S57" i="2"/>
  <c r="V57" i="2"/>
  <c r="R57" i="2"/>
  <c r="U57" i="2"/>
  <c r="R56" i="2"/>
  <c r="U56" i="2"/>
  <c r="S56" i="2"/>
  <c r="V56" i="2"/>
  <c r="R55" i="2"/>
  <c r="U55" i="2"/>
  <c r="V55" i="2"/>
  <c r="S55" i="2"/>
  <c r="U54" i="2"/>
  <c r="R54" i="2"/>
  <c r="S54" i="2"/>
  <c r="V54" i="2"/>
  <c r="S53" i="2"/>
  <c r="V53" i="2"/>
  <c r="R53" i="2"/>
  <c r="U53" i="2"/>
  <c r="S52" i="2"/>
  <c r="V52" i="2"/>
  <c r="R52" i="2"/>
  <c r="U52" i="2"/>
  <c r="R51" i="2"/>
  <c r="U51" i="2"/>
  <c r="S51" i="2"/>
  <c r="V51" i="2"/>
  <c r="U50" i="2"/>
  <c r="R50" i="2"/>
  <c r="S50" i="2"/>
  <c r="V50" i="2"/>
  <c r="V49" i="2"/>
  <c r="S49" i="2"/>
  <c r="U49" i="2"/>
  <c r="R49" i="2"/>
  <c r="R48" i="2"/>
  <c r="U48" i="2"/>
  <c r="V48" i="2"/>
  <c r="S48" i="2"/>
  <c r="S47" i="2"/>
  <c r="V47" i="2"/>
  <c r="R47" i="2"/>
  <c r="U47" i="2"/>
  <c r="U46" i="2"/>
  <c r="R46" i="2"/>
  <c r="S46" i="2"/>
  <c r="V46" i="2"/>
  <c r="S45" i="2"/>
  <c r="V45" i="2"/>
  <c r="R45" i="2"/>
  <c r="U45" i="2"/>
  <c r="R44" i="2"/>
  <c r="U44" i="2"/>
  <c r="V44" i="2"/>
  <c r="S44" i="2"/>
  <c r="S43" i="2"/>
  <c r="V43" i="2"/>
  <c r="R43" i="2"/>
  <c r="U43" i="2"/>
  <c r="S42" i="2"/>
  <c r="V42" i="2"/>
  <c r="R42" i="2"/>
  <c r="U42" i="2"/>
  <c r="R41" i="2"/>
  <c r="U41" i="2"/>
  <c r="S41" i="2"/>
  <c r="V41" i="2"/>
  <c r="S40" i="2"/>
  <c r="V40" i="2"/>
  <c r="R40" i="2"/>
  <c r="U40" i="2"/>
  <c r="S39" i="2"/>
  <c r="V39" i="2"/>
  <c r="R39" i="2"/>
  <c r="U39" i="2"/>
  <c r="U38" i="2"/>
  <c r="R38" i="2"/>
  <c r="S38" i="2"/>
  <c r="V38" i="2"/>
  <c r="V37" i="2"/>
  <c r="S37" i="2"/>
  <c r="R37" i="2"/>
  <c r="U37" i="2"/>
  <c r="R36" i="2"/>
  <c r="U36" i="2"/>
  <c r="V36" i="2"/>
  <c r="S36" i="2"/>
  <c r="U35" i="2"/>
  <c r="R35" i="2"/>
  <c r="S35" i="2"/>
  <c r="V35" i="2"/>
  <c r="R34" i="2"/>
  <c r="U34" i="2"/>
  <c r="V34" i="2"/>
  <c r="S34" i="2"/>
  <c r="R33" i="2"/>
  <c r="U33" i="2"/>
  <c r="V33" i="2"/>
  <c r="S33" i="2"/>
  <c r="S31" i="2"/>
  <c r="V31" i="2"/>
  <c r="R31" i="2"/>
  <c r="U31" i="2"/>
  <c r="S30" i="2"/>
  <c r="V30" i="2"/>
  <c r="R30" i="2"/>
  <c r="U30" i="2"/>
  <c r="S29" i="2"/>
  <c r="V29" i="2"/>
  <c r="R29" i="2"/>
  <c r="U29" i="2"/>
  <c r="S28" i="2"/>
  <c r="V28" i="2"/>
  <c r="R28" i="2"/>
  <c r="U28" i="2"/>
  <c r="S27" i="2"/>
  <c r="V27" i="2"/>
  <c r="R27" i="2"/>
  <c r="U27" i="2"/>
  <c r="S26" i="2"/>
  <c r="V26" i="2"/>
  <c r="R26" i="2"/>
  <c r="U26" i="2"/>
  <c r="S25" i="2"/>
  <c r="V25" i="2"/>
  <c r="R25" i="2"/>
  <c r="U25" i="2"/>
  <c r="S24" i="2"/>
  <c r="V24" i="2"/>
  <c r="R24" i="2"/>
  <c r="U24" i="2"/>
  <c r="S23" i="2"/>
  <c r="V23" i="2"/>
  <c r="R23" i="2"/>
  <c r="U23" i="2"/>
  <c r="S22" i="2"/>
  <c r="V22" i="2"/>
  <c r="R22" i="2"/>
  <c r="U22" i="2"/>
  <c r="S21" i="2"/>
  <c r="V21" i="2"/>
  <c r="R21" i="2"/>
  <c r="U21" i="2"/>
  <c r="R20" i="2"/>
  <c r="U20" i="2"/>
  <c r="S20" i="2"/>
  <c r="V20" i="2"/>
  <c r="S19" i="2"/>
  <c r="V19" i="2"/>
  <c r="R19" i="2"/>
  <c r="U19" i="2"/>
  <c r="S18" i="2"/>
  <c r="V18" i="2"/>
  <c r="R18" i="2"/>
  <c r="U18" i="2"/>
  <c r="S17" i="2"/>
  <c r="V17" i="2"/>
  <c r="R17" i="2"/>
  <c r="U17" i="2"/>
  <c r="S16" i="2"/>
  <c r="V16" i="2"/>
  <c r="R16" i="2"/>
  <c r="U16" i="2"/>
  <c r="S15" i="2"/>
  <c r="V15" i="2"/>
  <c r="R15" i="2"/>
  <c r="U15" i="2"/>
  <c r="S14" i="2"/>
  <c r="V14" i="2"/>
  <c r="R14" i="2"/>
  <c r="U14" i="2"/>
  <c r="S13" i="2"/>
  <c r="V13" i="2"/>
  <c r="R13" i="2"/>
  <c r="U13" i="2"/>
  <c r="S12" i="2"/>
  <c r="V12" i="2"/>
  <c r="R12" i="2"/>
  <c r="U12" i="2"/>
  <c r="S11" i="2"/>
  <c r="V11" i="2"/>
  <c r="R11" i="2"/>
  <c r="U11" i="2"/>
  <c r="R10" i="2"/>
  <c r="U10" i="2"/>
  <c r="S10" i="2"/>
  <c r="V10" i="2"/>
  <c r="S9" i="2"/>
  <c r="V9" i="2"/>
  <c r="R9" i="2"/>
  <c r="U9" i="2"/>
  <c r="S8" i="2"/>
  <c r="V8" i="2"/>
  <c r="R8" i="2"/>
  <c r="U8" i="2"/>
  <c r="R7" i="2"/>
  <c r="U7" i="2"/>
  <c r="S7" i="2"/>
  <c r="V7" i="2"/>
  <c r="S6" i="2"/>
  <c r="V6" i="2"/>
  <c r="R6" i="2"/>
  <c r="U6" i="2"/>
  <c r="R5" i="2"/>
  <c r="U5" i="2"/>
  <c r="S5" i="2"/>
  <c r="V5" i="2"/>
  <c r="S4" i="2"/>
  <c r="V4" i="2"/>
  <c r="R4" i="2"/>
  <c r="U4" i="2"/>
</calcChain>
</file>

<file path=xl/sharedStrings.xml><?xml version="1.0" encoding="utf-8"?>
<sst xmlns="http://schemas.openxmlformats.org/spreadsheetml/2006/main" count="10066" uniqueCount="1886">
  <si>
    <t>PRICE LIST - Wholesale US$</t>
  </si>
  <si>
    <t xml:space="preserve">Note** All lips, canards, diffusers, and (most) wings are carbon by default. For all other items apply a 2.2X multiplier for carbon pricing. </t>
  </si>
  <si>
    <t>Wholesale Disount Tiers
MOQ 10 - 25%
MOQ - 30  - 35%
MOQ 100 - 50%</t>
  </si>
  <si>
    <t>Model</t>
  </si>
  <si>
    <t>Style</t>
  </si>
  <si>
    <t>Part</t>
  </si>
  <si>
    <t>SKU</t>
  </si>
  <si>
    <t>ETi RRP</t>
  </si>
  <si>
    <t>Dimensions</t>
  </si>
  <si>
    <t>ASTON MARTIN</t>
  </si>
  <si>
    <t>VANTENGE V8</t>
  </si>
  <si>
    <t>Mansory</t>
  </si>
  <si>
    <t>Front Skirt</t>
  </si>
  <si>
    <t>150X65</t>
  </si>
  <si>
    <t>Side Skirt</t>
  </si>
  <si>
    <t>AUDI</t>
  </si>
  <si>
    <t>AUDI A6</t>
  </si>
  <si>
    <t>RS6</t>
  </si>
  <si>
    <t>Front Bumper</t>
  </si>
  <si>
    <t>Body Kit 5pcs</t>
  </si>
  <si>
    <t>Rear Bumper</t>
  </si>
  <si>
    <t>150X100</t>
  </si>
  <si>
    <t>Rear Spoiler</t>
  </si>
  <si>
    <t>150X115</t>
  </si>
  <si>
    <t>AUDI R8</t>
  </si>
  <si>
    <t>Prior Design</t>
  </si>
  <si>
    <t>Front Diffuser</t>
  </si>
  <si>
    <t>Side Diffuser</t>
  </si>
  <si>
    <t>153X120</t>
  </si>
  <si>
    <t>Rear Diffuser</t>
  </si>
  <si>
    <t>153X110</t>
  </si>
  <si>
    <t>001811/1</t>
  </si>
  <si>
    <t>153X115</t>
  </si>
  <si>
    <t>Spoiler</t>
  </si>
  <si>
    <t>Wing</t>
  </si>
  <si>
    <t>152X95</t>
  </si>
  <si>
    <t>GT-WING legs</t>
  </si>
  <si>
    <t>Custom V10</t>
  </si>
  <si>
    <t>Side air inlet V10 Carbon only</t>
  </si>
  <si>
    <t>150X80</t>
  </si>
  <si>
    <t>GT-wing Audi Sport</t>
  </si>
  <si>
    <t>150X85</t>
  </si>
  <si>
    <t>Continetal GT</t>
  </si>
  <si>
    <t>Fatory</t>
  </si>
  <si>
    <t>145X80</t>
  </si>
  <si>
    <t>Continetal GTC</t>
  </si>
  <si>
    <t>Wald</t>
  </si>
  <si>
    <t>150X110</t>
  </si>
  <si>
    <t>150X120</t>
  </si>
  <si>
    <t>C-Class 2018</t>
  </si>
  <si>
    <t>W205</t>
  </si>
  <si>
    <t>SR-66 design</t>
  </si>
  <si>
    <t>153X135</t>
  </si>
  <si>
    <t>Duckbill</t>
  </si>
  <si>
    <t>License Plate</t>
  </si>
  <si>
    <t>Canard</t>
  </si>
  <si>
    <t>W209</t>
  </si>
  <si>
    <t>Pior Design</t>
  </si>
  <si>
    <t>165X95</t>
  </si>
  <si>
    <t>152X135</t>
  </si>
  <si>
    <t>Front Fender</t>
  </si>
  <si>
    <t>Rear Fender</t>
  </si>
  <si>
    <t>150X105</t>
  </si>
  <si>
    <t>Diffuser</t>
  </si>
  <si>
    <t>150X70</t>
  </si>
  <si>
    <t>Hood</t>
  </si>
  <si>
    <t>BMW</t>
  </si>
  <si>
    <t>S-class</t>
  </si>
  <si>
    <t>ETi</t>
  </si>
  <si>
    <t>W140</t>
  </si>
  <si>
    <t>BODY KIT 4 pcs</t>
  </si>
  <si>
    <t>150X90</t>
  </si>
  <si>
    <t>LORINSER</t>
  </si>
  <si>
    <t>150X50</t>
  </si>
  <si>
    <t>Side Fender</t>
  </si>
  <si>
    <t>120X165</t>
  </si>
  <si>
    <t>BRABUS</t>
  </si>
  <si>
    <t>120X170</t>
  </si>
  <si>
    <t>BODY KIT 2 pcs</t>
  </si>
  <si>
    <t>ETi SKIRT1</t>
  </si>
  <si>
    <t>ETi SKIRT2</t>
  </si>
  <si>
    <t>SKIRT KIT 2 pcs</t>
  </si>
  <si>
    <t>Rear Skirt</t>
  </si>
  <si>
    <t>WALD</t>
  </si>
  <si>
    <t>150X105(35X40X2)</t>
  </si>
  <si>
    <t>W 140 2DOOR</t>
  </si>
  <si>
    <t>FAB DESIGN</t>
  </si>
  <si>
    <t>W220</t>
  </si>
  <si>
    <t>150X110/45X40X2</t>
  </si>
  <si>
    <t>BODY KIT 5 pcs</t>
  </si>
  <si>
    <t>165X140</t>
  </si>
  <si>
    <t>165X135</t>
  </si>
  <si>
    <t>CLS53 AMG</t>
  </si>
  <si>
    <t>135X127/140X35X2</t>
  </si>
  <si>
    <t>Duck tail</t>
  </si>
  <si>
    <t>155X140</t>
  </si>
  <si>
    <t>155X145</t>
  </si>
  <si>
    <t>SL 500</t>
  </si>
  <si>
    <t>AMG</t>
  </si>
  <si>
    <t>W129</t>
  </si>
  <si>
    <t>160X135</t>
  </si>
  <si>
    <t>SLR</t>
  </si>
  <si>
    <t>FACTORY</t>
  </si>
  <si>
    <t>Front Lip</t>
  </si>
  <si>
    <t>Series 1</t>
  </si>
  <si>
    <t>Custom Maxima</t>
  </si>
  <si>
    <t>Fuel Cap</t>
  </si>
  <si>
    <t>Door</t>
  </si>
  <si>
    <t>SERIES 3</t>
  </si>
  <si>
    <t>Pandem</t>
  </si>
  <si>
    <t>E30 2doors</t>
  </si>
  <si>
    <t>Wide Body</t>
  </si>
  <si>
    <t>155X100</t>
  </si>
  <si>
    <t>M-3</t>
  </si>
  <si>
    <t>E46</t>
  </si>
  <si>
    <t>BODY KIT 7 pcs</t>
  </si>
  <si>
    <t>150X135</t>
  </si>
  <si>
    <t>CSL</t>
  </si>
  <si>
    <t>150X135/80X50</t>
  </si>
  <si>
    <t>HAMANN (GTR)</t>
  </si>
  <si>
    <t>150X140</t>
  </si>
  <si>
    <t>Trim</t>
  </si>
  <si>
    <t>M-coupe</t>
  </si>
  <si>
    <t>150X135/50X80</t>
  </si>
  <si>
    <t>Mirror</t>
  </si>
  <si>
    <t>AC</t>
  </si>
  <si>
    <t>SKIRT KIT 4 pcs</t>
  </si>
  <si>
    <t>APINA (for long)</t>
  </si>
  <si>
    <t>150X145</t>
  </si>
  <si>
    <t>152X140</t>
  </si>
  <si>
    <t>E90</t>
  </si>
  <si>
    <t>M3</t>
  </si>
  <si>
    <t>152X140/50X70</t>
  </si>
  <si>
    <t>E92</t>
  </si>
  <si>
    <t>E92/E93</t>
  </si>
  <si>
    <t>Jojos</t>
  </si>
  <si>
    <t>PRIOR desing</t>
  </si>
  <si>
    <t>F30</t>
  </si>
  <si>
    <t>Spatz</t>
  </si>
  <si>
    <t>001600/1</t>
  </si>
  <si>
    <t>152X115</t>
  </si>
  <si>
    <t>152X120</t>
  </si>
  <si>
    <t>M4</t>
  </si>
  <si>
    <t>Vorsteinner</t>
  </si>
  <si>
    <t>165X110</t>
  </si>
  <si>
    <t>SERIES 5</t>
  </si>
  <si>
    <t>HAMANN</t>
  </si>
  <si>
    <t>163X130</t>
  </si>
  <si>
    <t>E60</t>
  </si>
  <si>
    <t>add on</t>
  </si>
  <si>
    <t>170X85</t>
  </si>
  <si>
    <t>Front Vent</t>
  </si>
  <si>
    <t>Bumper</t>
  </si>
  <si>
    <t>153X115/50X30</t>
  </si>
  <si>
    <t>add on (carbon)</t>
  </si>
  <si>
    <t>160X110</t>
  </si>
  <si>
    <t>Lip</t>
  </si>
  <si>
    <t>115X170</t>
  </si>
  <si>
    <t>Pior design</t>
  </si>
  <si>
    <t>F10</t>
  </si>
  <si>
    <t>150X125</t>
  </si>
  <si>
    <t>Eyebrows</t>
  </si>
  <si>
    <t>Eyebrow Add</t>
  </si>
  <si>
    <t>140X127</t>
  </si>
  <si>
    <t>5 Pieces Set</t>
  </si>
  <si>
    <t>Side eyes</t>
  </si>
  <si>
    <t>Misc</t>
  </si>
  <si>
    <t>150X130</t>
  </si>
  <si>
    <t>Misc brow design</t>
  </si>
  <si>
    <t>Misc brow design 2</t>
  </si>
  <si>
    <t>Rear Wing</t>
  </si>
  <si>
    <t>G30</t>
  </si>
  <si>
    <t>End CC.</t>
  </si>
  <si>
    <t>Vostainer</t>
  </si>
  <si>
    <t>Front Bulb</t>
  </si>
  <si>
    <t>175X135</t>
  </si>
  <si>
    <t>Face Lift M-sport</t>
  </si>
  <si>
    <t>M-sport (original)</t>
  </si>
  <si>
    <t>Face Lift 2 M-sport</t>
  </si>
  <si>
    <t>Conversion G30</t>
  </si>
  <si>
    <t>Front inserts</t>
  </si>
  <si>
    <t>Back inserts</t>
  </si>
  <si>
    <t>SERIES 7</t>
  </si>
  <si>
    <t>135X165/25X40X2</t>
  </si>
  <si>
    <t>E38</t>
  </si>
  <si>
    <t>E65</t>
  </si>
  <si>
    <t>BODY KIT 10 pcs</t>
  </si>
  <si>
    <t>150X115/45X75</t>
  </si>
  <si>
    <t>Side Door</t>
  </si>
  <si>
    <t>Apina</t>
  </si>
  <si>
    <t>E66</t>
  </si>
  <si>
    <t>150X125/50X30=2</t>
  </si>
  <si>
    <t>M-TECNIC</t>
  </si>
  <si>
    <t>SERIES 6</t>
  </si>
  <si>
    <t>GT widebody</t>
  </si>
  <si>
    <t>640/645</t>
  </si>
  <si>
    <t>Z4 E89</t>
  </si>
  <si>
    <t>GT3 widebody</t>
  </si>
  <si>
    <t>135X65</t>
  </si>
  <si>
    <t>152X125</t>
  </si>
  <si>
    <t>GT Wing</t>
  </si>
  <si>
    <t>Cover</t>
  </si>
  <si>
    <t>Hamann</t>
  </si>
  <si>
    <t>Eti</t>
  </si>
  <si>
    <t>152X110</t>
  </si>
  <si>
    <t>BMW I8</t>
  </si>
  <si>
    <t>Wing Base</t>
  </si>
  <si>
    <t>Vorstainer</t>
  </si>
  <si>
    <t>Factory</t>
  </si>
  <si>
    <t>Original</t>
  </si>
  <si>
    <t>100X75</t>
  </si>
  <si>
    <t>Bonnet M4</t>
  </si>
  <si>
    <t>Trunk</t>
  </si>
  <si>
    <t>Roof</t>
  </si>
  <si>
    <t>143X75X2</t>
  </si>
  <si>
    <t>M4 GTS</t>
  </si>
  <si>
    <t>140X75X2</t>
  </si>
  <si>
    <t>HONDA</t>
  </si>
  <si>
    <t>CIVIC EK</t>
  </si>
  <si>
    <t>TYPE-R</t>
  </si>
  <si>
    <t>140X60X2</t>
  </si>
  <si>
    <t>big eye 96</t>
  </si>
  <si>
    <t>SKIRT KIT 6 pcs</t>
  </si>
  <si>
    <t>130X78X2</t>
  </si>
  <si>
    <t>Front Grille</t>
  </si>
  <si>
    <t>MUGEN</t>
  </si>
  <si>
    <t>4 door</t>
  </si>
  <si>
    <t>115X76X2</t>
  </si>
  <si>
    <t>100X70X2</t>
  </si>
  <si>
    <t>C-WEST</t>
  </si>
  <si>
    <t>107X83</t>
  </si>
  <si>
    <t>BOMEX</t>
  </si>
  <si>
    <t>CIVIC EK9</t>
  </si>
  <si>
    <t>big eye 99</t>
  </si>
  <si>
    <t>2 door</t>
  </si>
  <si>
    <t>110X75X2</t>
  </si>
  <si>
    <t>120X95X2</t>
  </si>
  <si>
    <t>Front grille</t>
  </si>
  <si>
    <t>BUDDY CLUB</t>
  </si>
  <si>
    <t>135x65x2</t>
  </si>
  <si>
    <t>CIVIC EF</t>
  </si>
  <si>
    <t>75X120X2</t>
  </si>
  <si>
    <t>Dimention</t>
  </si>
  <si>
    <t>140X80</t>
  </si>
  <si>
    <t>133X90</t>
  </si>
  <si>
    <t>140X85</t>
  </si>
  <si>
    <t>carbon</t>
  </si>
  <si>
    <t>135X80</t>
  </si>
  <si>
    <t>ETi 2</t>
  </si>
  <si>
    <t>125X48</t>
  </si>
  <si>
    <t>125X75</t>
  </si>
  <si>
    <t>CIVIC EP3</t>
  </si>
  <si>
    <t>165X75/105X26</t>
  </si>
  <si>
    <t>165X80/105X26</t>
  </si>
  <si>
    <t>1.35X80</t>
  </si>
  <si>
    <t>ACCORD</t>
  </si>
  <si>
    <t>145X40</t>
  </si>
  <si>
    <t>HH00025</t>
  </si>
  <si>
    <t>152X75</t>
  </si>
  <si>
    <t>Grille</t>
  </si>
  <si>
    <t>126X90</t>
  </si>
  <si>
    <t>MODULO</t>
  </si>
  <si>
    <t>125X55/110X35</t>
  </si>
  <si>
    <t>126X80/65X35</t>
  </si>
  <si>
    <t>127X65</t>
  </si>
  <si>
    <t>127X60/95X17</t>
  </si>
  <si>
    <t>125X80</t>
  </si>
  <si>
    <t>FABULOUS</t>
  </si>
  <si>
    <t>135X85</t>
  </si>
  <si>
    <t>150X95</t>
  </si>
  <si>
    <t>126X85</t>
  </si>
  <si>
    <t>JUCTION produce</t>
  </si>
  <si>
    <t>120X80</t>
  </si>
  <si>
    <t>Ducktail</t>
  </si>
  <si>
    <t>ETi M3</t>
  </si>
  <si>
    <t>90X100</t>
  </si>
  <si>
    <t>120X160</t>
  </si>
  <si>
    <t>120x120</t>
  </si>
  <si>
    <t>INTREGA</t>
  </si>
  <si>
    <t>160X115</t>
  </si>
  <si>
    <t>NEW DC5</t>
  </si>
  <si>
    <t>90X55</t>
  </si>
  <si>
    <t>160X120</t>
  </si>
  <si>
    <t>190X115</t>
  </si>
  <si>
    <t>165X120</t>
  </si>
  <si>
    <t>DINAMITE</t>
  </si>
  <si>
    <t>165X128</t>
  </si>
  <si>
    <t>Wide body</t>
  </si>
  <si>
    <t>120X90</t>
  </si>
  <si>
    <t>155X120</t>
  </si>
  <si>
    <t>127X90</t>
  </si>
  <si>
    <t>125X100</t>
  </si>
  <si>
    <t>Door Fender Trim</t>
  </si>
  <si>
    <t>135X115</t>
  </si>
  <si>
    <t>125X125</t>
  </si>
  <si>
    <t>PORNO</t>
  </si>
  <si>
    <t>135X35X20</t>
  </si>
  <si>
    <t>ING+1</t>
  </si>
  <si>
    <t>SH00036</t>
  </si>
  <si>
    <t>SPOON</t>
  </si>
  <si>
    <t>SH00035</t>
  </si>
  <si>
    <t>168X35/120X30/45X25X2</t>
  </si>
  <si>
    <t>JAZZ MC</t>
  </si>
  <si>
    <t>MUGEN NEW</t>
  </si>
  <si>
    <t>140X35/127X25</t>
  </si>
  <si>
    <t>145X35/130X35</t>
  </si>
  <si>
    <t>JS'</t>
  </si>
  <si>
    <t>JAZZ 2007</t>
  </si>
  <si>
    <t>DYNAMITE F154sc</t>
  </si>
  <si>
    <t>133X35/133X27</t>
  </si>
  <si>
    <t>175X33X38</t>
  </si>
  <si>
    <t>135X60</t>
  </si>
  <si>
    <t>160X70</t>
  </si>
  <si>
    <t>175X80</t>
  </si>
  <si>
    <t>CIVIC 2006</t>
  </si>
  <si>
    <t>200X30X35</t>
  </si>
  <si>
    <t>145X30X35</t>
  </si>
  <si>
    <t>SKIRT KIT pcs</t>
  </si>
  <si>
    <t>for Normal</t>
  </si>
  <si>
    <t>for type-r</t>
  </si>
  <si>
    <t>MUGEN RR</t>
  </si>
  <si>
    <t>Lighting</t>
  </si>
  <si>
    <t>S 2000</t>
  </si>
  <si>
    <t>JS racing</t>
  </si>
  <si>
    <t>001611/1-4</t>
  </si>
  <si>
    <t>Front wheel arch</t>
  </si>
  <si>
    <t>Fender Flares</t>
  </si>
  <si>
    <t>Rear flares</t>
  </si>
  <si>
    <t>MAZDA</t>
  </si>
  <si>
    <t>RX7 FD</t>
  </si>
  <si>
    <t>RE-AMIYA</t>
  </si>
  <si>
    <t>BODY KIT</t>
  </si>
  <si>
    <t>Mirror RE-1</t>
  </si>
  <si>
    <t>Mirror RE-2</t>
  </si>
  <si>
    <t>MAZDA SPEED</t>
  </si>
  <si>
    <t>KNIGHT SPORT</t>
  </si>
  <si>
    <t>MINOR Change 2000</t>
  </si>
  <si>
    <t>VERTEX</t>
  </si>
  <si>
    <t>TOKYU DRIFT</t>
  </si>
  <si>
    <t>Front Difuser (carbon)</t>
  </si>
  <si>
    <t>Fender</t>
  </si>
  <si>
    <t>MX5</t>
  </si>
  <si>
    <t>Taillight</t>
  </si>
  <si>
    <t>BN-SPORT</t>
  </si>
  <si>
    <t>wide body</t>
  </si>
  <si>
    <t>RE-AMIYA wide</t>
  </si>
  <si>
    <t>Rear Diffuser Street (Carbon)</t>
  </si>
  <si>
    <t/>
  </si>
  <si>
    <t>Rocket Bunny</t>
  </si>
  <si>
    <t>Tail light covers</t>
  </si>
  <si>
    <t>RE-AMEMIYA FULL KIT (RX7 FD)</t>
  </si>
  <si>
    <t>RE-AMEMIYA WIDE BODY KIT (RX7 FD)</t>
  </si>
  <si>
    <t>BN-SPORT BODY KIT (RX7 FD)</t>
  </si>
  <si>
    <t>VERTEX BODY KIT (4 PCS) (RX7 FD)</t>
  </si>
  <si>
    <t>C-WEST BODY KIT (RX7 FD)</t>
  </si>
  <si>
    <t>TOKYO DRIFT FULL CONVERSION KIT (17 PCS) (RX7 FD)</t>
  </si>
  <si>
    <t>RX8</t>
  </si>
  <si>
    <t>MAZDA SPEED BODY KIT (RX8)</t>
  </si>
  <si>
    <t>VEILSIDE</t>
  </si>
  <si>
    <t>VEILSIDE BODY KIT (RX8)</t>
  </si>
  <si>
    <t>ING+1 BODY KIT (RX8)</t>
  </si>
  <si>
    <t>ODULA</t>
  </si>
  <si>
    <t>ODULA BODY KIT (RX8)</t>
  </si>
  <si>
    <t>R-magic</t>
  </si>
  <si>
    <t>R-MAGIC WIDE BODY KIT (RX8)</t>
  </si>
  <si>
    <t>Pandem V3</t>
  </si>
  <si>
    <t>PANDEM V3 WIDEBODY KIT (RX8)</t>
  </si>
  <si>
    <t>MAZDA3 5 DOOR</t>
  </si>
  <si>
    <t>MAZDA SPEED BODY KIT (MAZDA3 5 DOOR)</t>
  </si>
  <si>
    <t>AUTO EXE</t>
  </si>
  <si>
    <t>AUTOEXE BODY KIT (MAZDA3 5 DOOR)</t>
  </si>
  <si>
    <t>RE-AMIYA add on Veilside</t>
  </si>
  <si>
    <t>Canard For Veilside</t>
  </si>
  <si>
    <t>RX8 Race car</t>
  </si>
  <si>
    <t>001151/1-4</t>
  </si>
  <si>
    <t>R- magic</t>
  </si>
  <si>
    <t>Flare Vent</t>
  </si>
  <si>
    <t>Gap Trunk</t>
  </si>
  <si>
    <t>Lower Wing</t>
  </si>
  <si>
    <t>ETi+R magic</t>
  </si>
  <si>
    <t>Rear Door Fender</t>
  </si>
  <si>
    <t>Duck Tail</t>
  </si>
  <si>
    <t>RE</t>
  </si>
  <si>
    <t>Minor change</t>
  </si>
  <si>
    <t>MAZDA3</t>
  </si>
  <si>
    <t>5 DOOR</t>
  </si>
  <si>
    <t>VARIS</t>
  </si>
  <si>
    <t>4 DOOR</t>
  </si>
  <si>
    <t>MITSUBISHI</t>
  </si>
  <si>
    <t>LANCER-EX</t>
  </si>
  <si>
    <t>EVO10+EX ver2</t>
  </si>
  <si>
    <t>Triton 2022</t>
  </si>
  <si>
    <t>Space Wagon</t>
  </si>
  <si>
    <t>EVO7</t>
  </si>
  <si>
    <t>MONTER</t>
  </si>
  <si>
    <t>EVO 7-8</t>
  </si>
  <si>
    <t>Front Door</t>
  </si>
  <si>
    <t>DMS00058</t>
  </si>
  <si>
    <t>Rear Door</t>
  </si>
  <si>
    <t>DMS00059</t>
  </si>
  <si>
    <t>EVO8</t>
  </si>
  <si>
    <t>VOLTEX for EVO8</t>
  </si>
  <si>
    <t>Skirt</t>
  </si>
  <si>
    <t>EVO9</t>
  </si>
  <si>
    <t>VOLTEX Cyber For Race</t>
  </si>
  <si>
    <t>001272/1-4</t>
  </si>
  <si>
    <t>Upper Canard</t>
  </si>
  <si>
    <t>Lower Canard</t>
  </si>
  <si>
    <t>Rear Bumper Exhaust Cover</t>
  </si>
  <si>
    <t>VOLTEX For street</t>
  </si>
  <si>
    <t>Upper Canard Carbon</t>
  </si>
  <si>
    <t>Lower Canard Carbon</t>
  </si>
  <si>
    <t>EVO10</t>
  </si>
  <si>
    <t>VARIS ABS</t>
  </si>
  <si>
    <t>001133/1</t>
  </si>
  <si>
    <t>Cover sportlight</t>
  </si>
  <si>
    <t>001133/2</t>
  </si>
  <si>
    <t>Rear Spoiler one Pice</t>
  </si>
  <si>
    <t>Rear Spoiler Separate Real Piece</t>
  </si>
  <si>
    <t>001138/2-5</t>
  </si>
  <si>
    <t>Front Bumper Underplate</t>
  </si>
  <si>
    <t>001219/1-3</t>
  </si>
  <si>
    <t>LANCER EX</t>
  </si>
  <si>
    <t>STEP1</t>
  </si>
  <si>
    <t>Lighting Cover</t>
  </si>
  <si>
    <t>STEP2</t>
  </si>
  <si>
    <t>Chard speed</t>
  </si>
  <si>
    <t>Roop</t>
  </si>
  <si>
    <t>VARIS (carbon)</t>
  </si>
  <si>
    <t>Ralleart</t>
  </si>
  <si>
    <t>VOLTEX</t>
  </si>
  <si>
    <t>FTO</t>
  </si>
  <si>
    <t>Bozz Speed</t>
  </si>
  <si>
    <t>KAZE</t>
  </si>
  <si>
    <t>GTO 91-93</t>
  </si>
  <si>
    <t>GTO 94-97</t>
  </si>
  <si>
    <t>รถบาส</t>
  </si>
  <si>
    <t>Headlight Fiber</t>
  </si>
  <si>
    <t>GTO 99</t>
  </si>
  <si>
    <t>Rear Spoiler Center Plate</t>
  </si>
  <si>
    <t>Spoiler Legs</t>
  </si>
  <si>
    <t>000574/2</t>
  </si>
  <si>
    <t>ETi WIDE BODY</t>
  </si>
  <si>
    <t>ETi WIDE BODY GT</t>
  </si>
  <si>
    <t>Front Diffuser (carbon)</t>
  </si>
  <si>
    <t>Rear Diffuser (carbon)</t>
  </si>
  <si>
    <t>NISSAN</t>
  </si>
  <si>
    <t>CEFIRO 31</t>
  </si>
  <si>
    <t>ETi Wide Body</t>
  </si>
  <si>
    <t>Face off r32</t>
  </si>
  <si>
    <t>JUKE</t>
  </si>
  <si>
    <t>Ken style</t>
  </si>
  <si>
    <t>Impul</t>
  </si>
  <si>
    <t>Nismo devies</t>
  </si>
  <si>
    <t>Lighting Gap Breaklight</t>
  </si>
  <si>
    <t>Eyebrow Trim</t>
  </si>
  <si>
    <t>001742/1-4</t>
  </si>
  <si>
    <t>Front Eyebrow Trim</t>
  </si>
  <si>
    <t>ETi Nismo</t>
  </si>
  <si>
    <t>Rear Eyebrow Trim</t>
  </si>
  <si>
    <t>200 SX</t>
  </si>
  <si>
    <t>BORDER</t>
  </si>
  <si>
    <t>M-SPORT</t>
  </si>
  <si>
    <t>ORIGIN</t>
  </si>
  <si>
    <t>MINOR</t>
  </si>
  <si>
    <t>TOP SECRET</t>
  </si>
  <si>
    <t>JUN</t>
  </si>
  <si>
    <t>180SX</t>
  </si>
  <si>
    <t>TBO</t>
  </si>
  <si>
    <t>Spoiler 1</t>
  </si>
  <si>
    <t>Spoiler 2</t>
  </si>
  <si>
    <t>EAST BEAR</t>
  </si>
  <si>
    <t>ETi wide body</t>
  </si>
  <si>
    <t>FACE OFF S15</t>
  </si>
  <si>
    <t>Nismo</t>
  </si>
  <si>
    <t>Rear Fender Tail Panel</t>
  </si>
  <si>
    <t>200sx</t>
  </si>
  <si>
    <t>S15 Conversion</t>
  </si>
  <si>
    <t>Front Call</t>
  </si>
  <si>
    <t>End Cap</t>
  </si>
  <si>
    <t>Rear Body</t>
  </si>
  <si>
    <t>Rear Diffuser Mid</t>
  </si>
  <si>
    <t>Rear Diffuser Side</t>
  </si>
  <si>
    <t>GT wing lower leg</t>
  </si>
  <si>
    <t>GP-sport</t>
  </si>
  <si>
    <t>widebody</t>
  </si>
  <si>
    <t>Front Over Fender</t>
  </si>
  <si>
    <t>Rear Over Fender</t>
  </si>
  <si>
    <t>Rear Canard Up</t>
  </si>
  <si>
    <t>Rear Canard Down</t>
  </si>
  <si>
    <t>Navara</t>
  </si>
  <si>
    <t>SILVIA S14 MC</t>
  </si>
  <si>
    <t>D-MAX Wide body</t>
  </si>
  <si>
    <t>S15</t>
  </si>
  <si>
    <t>GP-SPORT</t>
  </si>
  <si>
    <t>C-WEST wide body 200sx</t>
  </si>
  <si>
    <t>VERTEX Lang</t>
  </si>
  <si>
    <t>S15 (Oats)</t>
  </si>
  <si>
    <t>Vertex</t>
  </si>
  <si>
    <t>Front Bumper Canard</t>
  </si>
  <si>
    <t>KRR</t>
  </si>
  <si>
    <t>300 ZX</t>
  </si>
  <si>
    <t>TRUST</t>
  </si>
  <si>
    <t>God Father</t>
  </si>
  <si>
    <t>13 pcs</t>
  </si>
  <si>
    <t>350 Z</t>
  </si>
  <si>
    <t>ING+1 Full Bumper</t>
  </si>
  <si>
    <t>NISMO V1</t>
  </si>
  <si>
    <t>TOP SECRET long nose</t>
  </si>
  <si>
    <t>Fuel Cover</t>
  </si>
  <si>
    <t>Lower Wing Top Legs</t>
  </si>
  <si>
    <t>NBK wide body</t>
  </si>
  <si>
    <t>VERTEX (long Nose)</t>
  </si>
  <si>
    <t>EXIT</t>
  </si>
  <si>
    <t>Front Bumper Air Inlet/Vent</t>
  </si>
  <si>
    <t>AMUSE CSL</t>
  </si>
  <si>
    <t>AMUSE</t>
  </si>
  <si>
    <t>NISMO 380</t>
  </si>
  <si>
    <t>Super Leggera</t>
  </si>
  <si>
    <t>skirt kit 6pcs</t>
  </si>
  <si>
    <t>model :1</t>
  </si>
  <si>
    <t>model :3</t>
  </si>
  <si>
    <t>WEBER SPORT</t>
  </si>
  <si>
    <t>Front Canard Carbon</t>
  </si>
  <si>
    <t>350Z</t>
  </si>
  <si>
    <t>MCR</t>
  </si>
  <si>
    <t>For Nismo</t>
  </si>
  <si>
    <t>Veilside</t>
  </si>
  <si>
    <t>Face OFF 370Z</t>
  </si>
  <si>
    <t>CALSONIC</t>
  </si>
  <si>
    <t>Front Fender Wide</t>
  </si>
  <si>
    <t>Wing Legs</t>
  </si>
  <si>
    <t>Lower leg wing</t>
  </si>
  <si>
    <t>Amuse V2</t>
  </si>
  <si>
    <t>370z</t>
  </si>
  <si>
    <t>nismo2017</t>
  </si>
  <si>
    <t>Diffuser Wide</t>
  </si>
  <si>
    <t>bottom wing</t>
  </si>
  <si>
    <t>Version Ducktail</t>
  </si>
  <si>
    <t>Nismo370(2017)</t>
  </si>
  <si>
    <t>350z</t>
  </si>
  <si>
    <t>Top</t>
  </si>
  <si>
    <t>Rear Glass Louver</t>
  </si>
  <si>
    <t>370Z</t>
  </si>
  <si>
    <t>Amuse</t>
  </si>
  <si>
    <t>001243/1</t>
  </si>
  <si>
    <t>Short Spoiler Carbon</t>
  </si>
  <si>
    <t>001243/2</t>
  </si>
  <si>
    <t>Medium Spoiler Carbon</t>
  </si>
  <si>
    <t>ETi diffuser</t>
  </si>
  <si>
    <t>add on amuse wide body</t>
  </si>
  <si>
    <t>Side Fenders</t>
  </si>
  <si>
    <t>Rear Bumper fender</t>
  </si>
  <si>
    <t>MINE</t>
  </si>
  <si>
    <t>Front Diffuser Carbon</t>
  </si>
  <si>
    <t>Spoiler Carbon</t>
  </si>
  <si>
    <t>NISMO</t>
  </si>
  <si>
    <t>Lower Rear Spoiler</t>
  </si>
  <si>
    <t>001376/1</t>
  </si>
  <si>
    <t>001376/2</t>
  </si>
  <si>
    <t>Front Bumper Eyebrows</t>
  </si>
  <si>
    <t>Rear Bumper Eyebrows</t>
  </si>
  <si>
    <t>NISMO 2017</t>
  </si>
  <si>
    <t>เปิดประทุนETi</t>
  </si>
  <si>
    <t>ETi (Yellow)</t>
  </si>
  <si>
    <t>wide body W1</t>
  </si>
  <si>
    <t>GT wing legs</t>
  </si>
  <si>
    <t>ETi (White)</t>
  </si>
  <si>
    <t>wide body W2</t>
  </si>
  <si>
    <t>ETi (Pink)</t>
  </si>
  <si>
    <t>wide body W3</t>
  </si>
  <si>
    <t>Lower air inlet/vent</t>
  </si>
  <si>
    <t>Radiator Cover</t>
  </si>
  <si>
    <t>Battery Cover</t>
  </si>
  <si>
    <t>003172/2</t>
  </si>
  <si>
    <t>Engine Cover</t>
  </si>
  <si>
    <t>003173/2</t>
  </si>
  <si>
    <t>Varis</t>
  </si>
  <si>
    <t>Front Bumper Wide</t>
  </si>
  <si>
    <t>Lower Spoiler</t>
  </si>
  <si>
    <t>Upper Spoiler Leg</t>
  </si>
  <si>
    <t>SKYLINE</t>
  </si>
  <si>
    <t>GTR</t>
  </si>
  <si>
    <t>R32</t>
  </si>
  <si>
    <t>Lip Carbon</t>
  </si>
  <si>
    <t>Rocket Dancer</t>
  </si>
  <si>
    <t>Glory segment GTR</t>
  </si>
  <si>
    <t>GTR32</t>
  </si>
  <si>
    <t>Duck bill</t>
  </si>
  <si>
    <t>Race Car variant</t>
  </si>
  <si>
    <t>Rear Fender Panel</t>
  </si>
  <si>
    <t>Nismo Lid</t>
  </si>
  <si>
    <t>Separate Interior Tongue CB</t>
  </si>
  <si>
    <t>R33</t>
  </si>
  <si>
    <t>01514/1</t>
  </si>
  <si>
    <t>01514/2</t>
  </si>
  <si>
    <t>400R</t>
  </si>
  <si>
    <t>R34</t>
  </si>
  <si>
    <t>C-WEST GTR</t>
  </si>
  <si>
    <t>GTR OEM</t>
  </si>
  <si>
    <t>SUNLINE</t>
  </si>
  <si>
    <t>Rear difuser</t>
  </si>
  <si>
    <t>001575/1-2</t>
  </si>
  <si>
    <t>add on GTR</t>
  </si>
  <si>
    <t>001580/1-3</t>
  </si>
  <si>
    <t>GTS (Blue</t>
  </si>
  <si>
    <t>Front Bumper Diffuser</t>
  </si>
  <si>
    <t>OEM</t>
  </si>
  <si>
    <t>R35</t>
  </si>
  <si>
    <t>Password JDM</t>
  </si>
  <si>
    <t>Cooling Panel</t>
  </si>
  <si>
    <t>Do-Luck</t>
  </si>
  <si>
    <t>ZELE</t>
  </si>
  <si>
    <t>001463/1</t>
  </si>
  <si>
    <t>Mine's</t>
  </si>
  <si>
    <t>Auto Select</t>
  </si>
  <si>
    <t>BENSOPA</t>
  </si>
  <si>
    <t>Rear Guard</t>
  </si>
  <si>
    <t>R35 MC</t>
  </si>
  <si>
    <t>Tommy kiara</t>
  </si>
  <si>
    <t>Libertywalk</t>
  </si>
  <si>
    <t>002002/3</t>
  </si>
  <si>
    <t>Libertywalk Wing</t>
  </si>
  <si>
    <t>Lower Handle</t>
  </si>
  <si>
    <t>Upper Wing</t>
  </si>
  <si>
    <t>002022/1-2</t>
  </si>
  <si>
    <t>duck bill CF</t>
  </si>
  <si>
    <t>Front Lip Carbon</t>
  </si>
  <si>
    <t>Air Intake</t>
  </si>
  <si>
    <t>Front Plate CF</t>
  </si>
  <si>
    <t>Rear Fender Carbon</t>
  </si>
  <si>
    <t>Rear Bumper CF</t>
  </si>
  <si>
    <t>Diffuser CF</t>
  </si>
  <si>
    <t>002246/1-4</t>
  </si>
  <si>
    <t>Top Graft</t>
  </si>
  <si>
    <t>MC CF Wasp</t>
  </si>
  <si>
    <t>Minor 2017</t>
  </si>
  <si>
    <t>Nismo 2017</t>
  </si>
  <si>
    <t>Front Diffuser CB</t>
  </si>
  <si>
    <t>Rear Diffuser CB</t>
  </si>
  <si>
    <t>Grille CB</t>
  </si>
  <si>
    <t>Daylight Cover CB</t>
  </si>
  <si>
    <t>Rear Bumper CB</t>
  </si>
  <si>
    <t>GT Wing CB</t>
  </si>
  <si>
    <t>Wing CB</t>
  </si>
  <si>
    <t>ไฟเบรค Fontier</t>
  </si>
  <si>
    <t>Wing Blade CB</t>
  </si>
  <si>
    <t>Upper Wing CB</t>
  </si>
  <si>
    <t>Lower Wing CB</t>
  </si>
  <si>
    <t>Fontier Brake Lights</t>
  </si>
  <si>
    <t>Wing Base CB</t>
  </si>
  <si>
    <t>Bumper Inlet CB</t>
  </si>
  <si>
    <t>R35 MC2017</t>
  </si>
  <si>
    <t>Almera s/n 26590-3BG0B</t>
  </si>
  <si>
    <t>LB minor</t>
  </si>
  <si>
    <t>TOYOTA</t>
  </si>
  <si>
    <t>MR2</t>
  </si>
  <si>
    <t>AB-FULK</t>
  </si>
  <si>
    <t>AUTO PISTA</t>
  </si>
  <si>
    <t>TRD GT2000</t>
  </si>
  <si>
    <t>BODY KIT 10pcs</t>
  </si>
  <si>
    <t>MRS</t>
  </si>
  <si>
    <t>SKIRT KIT</t>
  </si>
  <si>
    <t>WIDE BODY</t>
  </si>
  <si>
    <t>Gamballa Mirage</t>
  </si>
  <si>
    <t>Porsche Carera GT</t>
  </si>
  <si>
    <t>Core Kit</t>
  </si>
  <si>
    <t>Aero Kit</t>
  </si>
  <si>
    <t>Flare</t>
  </si>
  <si>
    <t>Full Kit</t>
  </si>
  <si>
    <t>Front Vent Carbon</t>
  </si>
  <si>
    <t>Rear Spoiler V1</t>
  </si>
  <si>
    <t>001331/1</t>
  </si>
  <si>
    <t>Rear Spoiler V2</t>
  </si>
  <si>
    <t>001340/1</t>
  </si>
  <si>
    <t>001332/1</t>
  </si>
  <si>
    <t>Headlight</t>
  </si>
  <si>
    <t>Lighting Socket Rear</t>
  </si>
  <si>
    <t>front well</t>
  </si>
  <si>
    <t>Trunk Splash Panel</t>
  </si>
  <si>
    <t>Fuel tank cap</t>
  </si>
  <si>
    <t>tail light bulbs 997</t>
  </si>
  <si>
    <t>Tail Lights</t>
  </si>
  <si>
    <t>Side Step</t>
  </si>
  <si>
    <t>SUPRA</t>
  </si>
  <si>
    <t>GRACER/Greddy</t>
  </si>
  <si>
    <t>DOLUX</t>
  </si>
  <si>
    <t>Carbon Only</t>
  </si>
  <si>
    <t>MAX-TOP</t>
  </si>
  <si>
    <t>MAX-TRD</t>
  </si>
  <si>
    <t>ETi Diffuser</t>
  </si>
  <si>
    <t>Add on TOP Wide</t>
  </si>
  <si>
    <t>Spoiler Lip</t>
  </si>
  <si>
    <t>TRD 3000GT</t>
  </si>
  <si>
    <t>Front Bumper V1</t>
  </si>
  <si>
    <t>1112/1</t>
  </si>
  <si>
    <t>Front Lip V1</t>
  </si>
  <si>
    <t>1112/2</t>
  </si>
  <si>
    <t>Front Diffuser V1</t>
  </si>
  <si>
    <t>1113/1-3</t>
  </si>
  <si>
    <t>Front Bumper V2</t>
  </si>
  <si>
    <t>Front Difuser V2</t>
  </si>
  <si>
    <t>BLITZ</t>
  </si>
  <si>
    <t>BODER</t>
  </si>
  <si>
    <t>ZEEK</t>
  </si>
  <si>
    <t>ADD ON SUPRA</t>
  </si>
  <si>
    <t>ORIDO</t>
  </si>
  <si>
    <t>ORIDO +TOP</t>
  </si>
  <si>
    <t>Max Racing</t>
  </si>
  <si>
    <t>Canard Carbon</t>
  </si>
  <si>
    <t>TOP Secret V12</t>
  </si>
  <si>
    <t>Rear Spoiler Carbon</t>
  </si>
  <si>
    <t>Oil Cap</t>
  </si>
  <si>
    <t>AB</t>
  </si>
  <si>
    <t>Rear Diffuser Carbon</t>
  </si>
  <si>
    <t>003179/2</t>
  </si>
  <si>
    <t>Side Diffuser Carbon</t>
  </si>
  <si>
    <t>003183/4</t>
  </si>
  <si>
    <t>003184/4</t>
  </si>
  <si>
    <t>Supra</t>
  </si>
  <si>
    <t>Greddy short</t>
  </si>
  <si>
    <t>W1 ETi</t>
  </si>
  <si>
    <t>Duck Bill (CF)</t>
  </si>
  <si>
    <t>FT86</t>
  </si>
  <si>
    <t>RB Diffuser</t>
  </si>
  <si>
    <t>RB V2</t>
  </si>
  <si>
    <t>PD V3</t>
  </si>
  <si>
    <t>Lower Wing Leg</t>
  </si>
  <si>
    <t>Front Canard Big</t>
  </si>
  <si>
    <t>Front Canard Small</t>
  </si>
  <si>
    <t>Rear Canard Small</t>
  </si>
  <si>
    <t>Side Canard</t>
  </si>
  <si>
    <t>Side Carnard Small</t>
  </si>
  <si>
    <t>Rear Canard Big</t>
  </si>
  <si>
    <t>Varis V3</t>
  </si>
  <si>
    <t>Front Bumper Wide with Lip</t>
  </si>
  <si>
    <t>Rear Bumper Wide with Diffuser</t>
  </si>
  <si>
    <t>Front Fender Wide Air Vents</t>
  </si>
  <si>
    <t>Rear Fender Wide</t>
  </si>
  <si>
    <t>Side Diffuser Plate</t>
  </si>
  <si>
    <t>GT Wing mid plate</t>
  </si>
  <si>
    <t>Front Fender Wide with Side Vents</t>
  </si>
  <si>
    <t>Rear Fender Wide with middle panel</t>
  </si>
  <si>
    <t>GR 86</t>
  </si>
  <si>
    <t>Pandem V1</t>
  </si>
  <si>
    <t>Street Kit</t>
  </si>
  <si>
    <t>Front Splitter</t>
  </si>
  <si>
    <t>Side skrit</t>
  </si>
  <si>
    <t>Front Canard</t>
  </si>
  <si>
    <t>NEW CAMARY</t>
  </si>
  <si>
    <t>Street KIT 5 pcs</t>
  </si>
  <si>
    <t>ETi vip1</t>
  </si>
  <si>
    <t>FULL Bumper</t>
  </si>
  <si>
    <t>ETi vip2</t>
  </si>
  <si>
    <t>Wald ขยาย</t>
  </si>
  <si>
    <t>WISH</t>
  </si>
  <si>
    <t>TRD</t>
  </si>
  <si>
    <t>JP</t>
  </si>
  <si>
    <t>ETi BUMPER</t>
  </si>
  <si>
    <t>ETi SKIRT</t>
  </si>
  <si>
    <t>KEN STYLE</t>
  </si>
  <si>
    <t>KEN STYLE (FULL)</t>
  </si>
  <si>
    <t>MODELLITA</t>
  </si>
  <si>
    <t>WISH MC</t>
  </si>
  <si>
    <t>EYE LINE</t>
  </si>
  <si>
    <t>YARIS</t>
  </si>
  <si>
    <t>RS</t>
  </si>
  <si>
    <t>C-ONE Skirt</t>
  </si>
  <si>
    <t>C-ONE FULL</t>
  </si>
  <si>
    <t>HARRIER (NEW)</t>
  </si>
  <si>
    <t>Front Diffuse</t>
  </si>
  <si>
    <t>SODLER</t>
  </si>
  <si>
    <t>TOM'S</t>
  </si>
  <si>
    <t>HILUX VIGO</t>
  </si>
  <si>
    <t>4DOOR</t>
  </si>
  <si>
    <t>Fortuner</t>
  </si>
  <si>
    <t>TRD new</t>
  </si>
  <si>
    <t>ALTEZA</t>
  </si>
  <si>
    <t>D-SPEED</t>
  </si>
  <si>
    <t>LEXUS IS 250</t>
  </si>
  <si>
    <t>Cover Face CB</t>
  </si>
  <si>
    <t>001441/1</t>
  </si>
  <si>
    <t>T0M'S</t>
  </si>
  <si>
    <t>LEXUS LS 430</t>
  </si>
  <si>
    <t>Face Off VERTEX</t>
  </si>
  <si>
    <t>LEXUS GS300</t>
  </si>
  <si>
    <t>VEILFIRE 20</t>
  </si>
  <si>
    <t>001231/1-6</t>
  </si>
  <si>
    <t>ALPHARD 30</t>
  </si>
  <si>
    <t>Silk Blade</t>
  </si>
  <si>
    <t>002292/1-6</t>
  </si>
  <si>
    <t>Trunk Side air inlet</t>
  </si>
  <si>
    <t>Kulk Racing 1</t>
  </si>
  <si>
    <t>003193/8</t>
  </si>
  <si>
    <t>Kulk Racing 2</t>
  </si>
  <si>
    <t>Majesty</t>
  </si>
  <si>
    <t>Aimgen</t>
  </si>
  <si>
    <t>OP</t>
  </si>
  <si>
    <t>003363/1-4</t>
  </si>
  <si>
    <t>LEXUS RX</t>
  </si>
  <si>
    <t>BRANEW</t>
  </si>
  <si>
    <t>SKIRT KIT 8 pcs</t>
  </si>
  <si>
    <t>SUBARU</t>
  </si>
  <si>
    <t>GC8</t>
  </si>
  <si>
    <t>GREDDY</t>
  </si>
  <si>
    <t>LEGACY</t>
  </si>
  <si>
    <t>Subaru bug eye</t>
  </si>
  <si>
    <t>TBD</t>
  </si>
  <si>
    <t>2004 V9</t>
  </si>
  <si>
    <t>Light Cover CB</t>
  </si>
  <si>
    <t>CHARGE SPEED</t>
  </si>
  <si>
    <t>Front Lip CB</t>
  </si>
  <si>
    <t>SKIRT KIT 5 pcs</t>
  </si>
  <si>
    <t>Side Skirt CB</t>
  </si>
  <si>
    <t>Trim CB</t>
  </si>
  <si>
    <t>Mirror CB</t>
  </si>
  <si>
    <t>2008 V9</t>
  </si>
  <si>
    <t>Hood bra</t>
  </si>
  <si>
    <t>Subaru bug eye 2008 V9</t>
  </si>
  <si>
    <t>001345/1/2</t>
  </si>
  <si>
    <t>STI</t>
  </si>
  <si>
    <t>GDB 5doors</t>
  </si>
  <si>
    <t>Front Bumper Side Intake/Vent</t>
  </si>
  <si>
    <t>Front Fender Air Inlet</t>
  </si>
  <si>
    <t>WRX</t>
  </si>
  <si>
    <t>The Beetle</t>
  </si>
  <si>
    <t>RB</t>
  </si>
  <si>
    <t>Rear Canard</t>
  </si>
  <si>
    <t>PORSCHE</t>
  </si>
  <si>
    <t>Cayanne</t>
  </si>
  <si>
    <t>Lumma</t>
  </si>
  <si>
    <t>Front Bumper Air Intake Frame</t>
  </si>
  <si>
    <t>Sold as Kit</t>
  </si>
  <si>
    <t>Front Bumper Air Intake</t>
  </si>
  <si>
    <t>Rear Bumper Air inlet</t>
  </si>
  <si>
    <t>Hood Vents</t>
  </si>
  <si>
    <t>Front Fender Wide Eyebrow</t>
  </si>
  <si>
    <t>Rear Fender Wide Eyebrow</t>
  </si>
  <si>
    <t>Door Eyebrow Trim</t>
  </si>
  <si>
    <t>Trunk Gap Trim</t>
  </si>
  <si>
    <t>Roof Carbon</t>
  </si>
  <si>
    <t>Eyeline</t>
  </si>
  <si>
    <t>Taillight Frame</t>
  </si>
  <si>
    <t>Fairy Design</t>
  </si>
  <si>
    <t>Backdoor Wide Trim</t>
  </si>
  <si>
    <t>Tech-Art</t>
  </si>
  <si>
    <t>981 Cayman</t>
  </si>
  <si>
    <t>DIF Techart</t>
  </si>
  <si>
    <t>Side Diffuser CB</t>
  </si>
  <si>
    <t>981 Boxster</t>
  </si>
  <si>
    <t>GT4</t>
  </si>
  <si>
    <t>003170/2</t>
  </si>
  <si>
    <t>Daylight Channel</t>
  </si>
  <si>
    <t>Front Bumper Air Intakes</t>
  </si>
  <si>
    <t>Diffuser CB</t>
  </si>
  <si>
    <t>AYA</t>
  </si>
  <si>
    <t>GT3</t>
  </si>
  <si>
    <t>Face off 718</t>
  </si>
  <si>
    <t>Front Bumper CB</t>
  </si>
  <si>
    <t>002297/2</t>
  </si>
  <si>
    <t>Hood GT3</t>
  </si>
  <si>
    <t>GT3rs</t>
  </si>
  <si>
    <t>911 GT3</t>
  </si>
  <si>
    <t>euro hour</t>
  </si>
  <si>
    <t>Conversion</t>
  </si>
  <si>
    <t>Front Bumper Canards CB</t>
  </si>
  <si>
    <t>vattana</t>
  </si>
  <si>
    <t>With Wing</t>
  </si>
  <si>
    <t>GT3 Hood</t>
  </si>
  <si>
    <t>Wing V1</t>
  </si>
  <si>
    <t>big wing</t>
  </si>
  <si>
    <t>Wing Japan</t>
  </si>
  <si>
    <t>3070/1</t>
  </si>
  <si>
    <t>Side Wing</t>
  </si>
  <si>
    <t>3070/2</t>
  </si>
  <si>
    <t>986/987 Cayman</t>
  </si>
  <si>
    <t>918 Spyder</t>
  </si>
  <si>
    <t>Replica</t>
  </si>
  <si>
    <t>Full Kit Only</t>
  </si>
  <si>
    <t xml:space="preserve">Fiber Kit </t>
  </si>
  <si>
    <t xml:space="preserve">Carbon Kit </t>
  </si>
  <si>
    <t>Front Door Bulbs</t>
  </si>
  <si>
    <t>Rear Bumper Diffuser</t>
  </si>
  <si>
    <t>Spoiler Legs V1</t>
  </si>
  <si>
    <t>001331/2</t>
  </si>
  <si>
    <t>Headlight socket</t>
  </si>
  <si>
    <t>003141/2</t>
  </si>
  <si>
    <t>Taillight socket</t>
  </si>
  <si>
    <t>Spoiler legs V1</t>
  </si>
  <si>
    <t>GT3 RS</t>
  </si>
  <si>
    <t>ETi GT1</t>
  </si>
  <si>
    <t>Lighting Duct</t>
  </si>
  <si>
    <t>Rear Fender (bumper)</t>
  </si>
  <si>
    <t>Techart</t>
  </si>
  <si>
    <t>Air Vent Headlight</t>
  </si>
  <si>
    <t>Headlight Clip</t>
  </si>
  <si>
    <t>001905/1-4</t>
  </si>
  <si>
    <t>Front Bumper Lower Intake Vents</t>
  </si>
  <si>
    <t>001907/1-4</t>
  </si>
  <si>
    <t>Mirror Cover</t>
  </si>
  <si>
    <t>Interior Trim carbon</t>
  </si>
  <si>
    <t>Spyder</t>
  </si>
  <si>
    <t>GT3 conversion</t>
  </si>
  <si>
    <t>Lower Male Lip CB</t>
  </si>
  <si>
    <t>991.2 Carrera 2017</t>
  </si>
  <si>
    <t>003074/2</t>
  </si>
  <si>
    <t>GT3 RS ETi</t>
  </si>
  <si>
    <t>Wing Blade</t>
  </si>
  <si>
    <t>003076/2</t>
  </si>
  <si>
    <t>GT Wing Base</t>
  </si>
  <si>
    <t>003076/3</t>
  </si>
  <si>
    <t>Panamera 2015</t>
  </si>
  <si>
    <t>Taycan</t>
  </si>
  <si>
    <t>003292/2</t>
  </si>
  <si>
    <t>Rear Diffuser Side Flap</t>
  </si>
  <si>
    <t>ZYRT Factory</t>
  </si>
  <si>
    <t>Lamborghini</t>
  </si>
  <si>
    <t>Gallardor</t>
  </si>
  <si>
    <t>GT-wing</t>
  </si>
  <si>
    <t>Superlega</t>
  </si>
  <si>
    <t>Base wing with camera brake light</t>
  </si>
  <si>
    <t>1822/3</t>
  </si>
  <si>
    <t>Gallador</t>
  </si>
  <si>
    <t>Super Trefio</t>
  </si>
  <si>
    <t>Trunk Carbon</t>
  </si>
  <si>
    <t>Spinter Page</t>
  </si>
  <si>
    <t>Aventador</t>
  </si>
  <si>
    <t>GT Wing Legs</t>
  </si>
  <si>
    <t>Side Air Intake</t>
  </si>
  <si>
    <t>DMC</t>
  </si>
  <si>
    <t>Novitec</t>
  </si>
  <si>
    <t>003060/1</t>
  </si>
  <si>
    <t>GT Wing Lower</t>
  </si>
  <si>
    <t>003060/2</t>
  </si>
  <si>
    <t>Huracan</t>
  </si>
  <si>
    <t>Performante</t>
  </si>
  <si>
    <t>003265/1</t>
  </si>
  <si>
    <t>Carbon</t>
  </si>
  <si>
    <t>003265/2</t>
  </si>
  <si>
    <t>003266/1</t>
  </si>
  <si>
    <t>Side Flange</t>
  </si>
  <si>
    <t>003266/2</t>
  </si>
  <si>
    <t>Euro</t>
  </si>
  <si>
    <t>Ferarri</t>
  </si>
  <si>
    <t>F430</t>
  </si>
  <si>
    <t>001254/1-5</t>
  </si>
  <si>
    <t>Taillight Panel</t>
  </si>
  <si>
    <t>Rear Diffuser Middle</t>
  </si>
  <si>
    <t>Rear Diffuser L+R</t>
  </si>
  <si>
    <t>001669/1-2</t>
  </si>
  <si>
    <t>001670/1-5</t>
  </si>
  <si>
    <t>Side Difuser</t>
  </si>
  <si>
    <t>Verstainer</t>
  </si>
  <si>
    <t>Novetec</t>
  </si>
  <si>
    <t>Rear Diffuser South</t>
  </si>
  <si>
    <t>Brake Light Cover</t>
  </si>
  <si>
    <t>003258 1-3</t>
  </si>
  <si>
    <t>Esxit</t>
  </si>
  <si>
    <t>Widebody</t>
  </si>
  <si>
    <t>Mini</t>
  </si>
  <si>
    <t>F55</t>
  </si>
  <si>
    <t>R53</t>
  </si>
  <si>
    <t>ETi W-1</t>
  </si>
  <si>
    <t>Front Fender Trim</t>
  </si>
  <si>
    <t>Rear Fender Trim</t>
  </si>
  <si>
    <t>R56</t>
  </si>
  <si>
    <t>JCW</t>
  </si>
  <si>
    <t>F56</t>
  </si>
  <si>
    <t>AG Duell</t>
  </si>
  <si>
    <t>Spoiler Base</t>
  </si>
  <si>
    <t>CORVETTE</t>
  </si>
  <si>
    <t>C7</t>
  </si>
  <si>
    <t>TUSCANY</t>
  </si>
  <si>
    <t>Mustang 1967 elenor</t>
  </si>
  <si>
    <t>Mustang 2017</t>
  </si>
  <si>
    <t>Mclaren</t>
  </si>
  <si>
    <t>Mc 720s</t>
  </si>
  <si>
    <t>RYFT</t>
  </si>
  <si>
    <t>Bumper Intake</t>
  </si>
  <si>
    <t>Front Arches</t>
  </si>
  <si>
    <t>Elenor</t>
  </si>
  <si>
    <t>Middle</t>
  </si>
  <si>
    <t>Left</t>
  </si>
  <si>
    <t>Right</t>
  </si>
  <si>
    <t xml:space="preserve">PRICE LIST  </t>
  </si>
  <si>
    <t>STYLE</t>
  </si>
  <si>
    <t>SIZE</t>
  </si>
  <si>
    <t>Mold Code</t>
  </si>
  <si>
    <t>retail price (THB)</t>
  </si>
  <si>
    <t>Wholesale (30%)</t>
  </si>
  <si>
    <t>Cost (USD)</t>
  </si>
  <si>
    <t>Seibon (USD)</t>
  </si>
  <si>
    <t>ETi Retail (USD)</t>
  </si>
  <si>
    <t>ETI Wholesale (25%)</t>
  </si>
  <si>
    <t>ETI Wholesale (35%)</t>
  </si>
  <si>
    <t>ETI Wholesale (50%)</t>
  </si>
  <si>
    <t>Eti Margin (USD)</t>
  </si>
  <si>
    <t>Eti Margin (%)</t>
  </si>
  <si>
    <t>HOOD</t>
  </si>
  <si>
    <t xml:space="preserve">MOQ 10 </t>
  </si>
  <si>
    <t>MOQ 50</t>
  </si>
  <si>
    <t>MOQ 100</t>
  </si>
  <si>
    <t>Retail</t>
  </si>
  <si>
    <t>Wholesale 25%</t>
  </si>
  <si>
    <t>Wholesale 35%</t>
  </si>
  <si>
    <t>Wholesale 50%</t>
  </si>
  <si>
    <t>JAZZ GE 2007</t>
  </si>
  <si>
    <t>S</t>
  </si>
  <si>
    <t>HH 000934</t>
  </si>
  <si>
    <t>HH 000946</t>
  </si>
  <si>
    <t>DYNAMITE</t>
  </si>
  <si>
    <t>HH 000944</t>
  </si>
  <si>
    <t>HH 001282</t>
  </si>
  <si>
    <t>CITY 2011</t>
  </si>
  <si>
    <t>M</t>
  </si>
  <si>
    <t>HH 01504</t>
  </si>
  <si>
    <t>HH 01505</t>
  </si>
  <si>
    <t>CIVIC 3D</t>
  </si>
  <si>
    <t>HH 00658</t>
  </si>
  <si>
    <t>ETi XO</t>
  </si>
  <si>
    <t>HH 01517</t>
  </si>
  <si>
    <t>CIVIC 4D</t>
  </si>
  <si>
    <t>HH 00019</t>
  </si>
  <si>
    <t>CIVIC EK99</t>
  </si>
  <si>
    <t>HH 00115</t>
  </si>
  <si>
    <t>HH 00116</t>
  </si>
  <si>
    <t>ETi V2</t>
  </si>
  <si>
    <t>HH 00719</t>
  </si>
  <si>
    <t>DIMENTION 01</t>
  </si>
  <si>
    <t>HH 00022</t>
  </si>
  <si>
    <t>HH 00743</t>
  </si>
  <si>
    <t>DIMENTION 04</t>
  </si>
  <si>
    <t>HH 00023</t>
  </si>
  <si>
    <t>152X100</t>
  </si>
  <si>
    <t>HH 00659</t>
  </si>
  <si>
    <t>152X105</t>
  </si>
  <si>
    <t>HH 00130</t>
  </si>
  <si>
    <t>HH 00131</t>
  </si>
  <si>
    <t>HH 00852</t>
  </si>
  <si>
    <t>HH 00853</t>
  </si>
  <si>
    <t>CIVIC 2012 FB</t>
  </si>
  <si>
    <t>HH 01608</t>
  </si>
  <si>
    <t>JS</t>
  </si>
  <si>
    <t>HH 01609</t>
  </si>
  <si>
    <t>CIVIC 2012 FC/FK</t>
  </si>
  <si>
    <t>HH 02277</t>
  </si>
  <si>
    <t>HH 02370</t>
  </si>
  <si>
    <t>HH 00031</t>
  </si>
  <si>
    <t>CIVIC FN2</t>
  </si>
  <si>
    <t>HH 01495</t>
  </si>
  <si>
    <t>PRELUDE popup</t>
  </si>
  <si>
    <t>HH 00780</t>
  </si>
  <si>
    <t>PRELUDE</t>
  </si>
  <si>
    <t>HH 01313</t>
  </si>
  <si>
    <t>ACCORD 96</t>
  </si>
  <si>
    <t>L</t>
  </si>
  <si>
    <t>HH 00778</t>
  </si>
  <si>
    <t>HH 00779</t>
  </si>
  <si>
    <t>ACCORD 98</t>
  </si>
  <si>
    <t>HH 00117</t>
  </si>
  <si>
    <t>ACCORD 03</t>
  </si>
  <si>
    <t>HH 00024</t>
  </si>
  <si>
    <t>ETi wide</t>
  </si>
  <si>
    <t>HH 01029</t>
  </si>
  <si>
    <t>ACCORD 09</t>
  </si>
  <si>
    <t>HH 01197</t>
  </si>
  <si>
    <t>HH 01198</t>
  </si>
  <si>
    <t>HH 01726</t>
  </si>
  <si>
    <t>STREAM 05</t>
  </si>
  <si>
    <t>HH 01394</t>
  </si>
  <si>
    <t>CRV 2012</t>
  </si>
  <si>
    <t>HH 01617</t>
  </si>
  <si>
    <t>HH 00720</t>
  </si>
  <si>
    <t>HH 01511</t>
  </si>
  <si>
    <t>DC2 Round Eye</t>
  </si>
  <si>
    <t>HH 00028</t>
  </si>
  <si>
    <t>DC2 Squared Eye</t>
  </si>
  <si>
    <t>HH 00114</t>
  </si>
  <si>
    <t>DC5</t>
  </si>
  <si>
    <t>HH 00029</t>
  </si>
  <si>
    <t>HH 00030</t>
  </si>
  <si>
    <t>TOYOYA</t>
  </si>
  <si>
    <t>VIOS NEW 2006</t>
  </si>
  <si>
    <t>HT 00898</t>
  </si>
  <si>
    <t>VIOS NEW 2012</t>
  </si>
  <si>
    <t>HT 01678</t>
  </si>
  <si>
    <t>ALTIS</t>
  </si>
  <si>
    <t>HT 00097</t>
  </si>
  <si>
    <t>HT 00094</t>
  </si>
  <si>
    <t>HT 00095</t>
  </si>
  <si>
    <t>HT 00098</t>
  </si>
  <si>
    <t>C-ONE</t>
  </si>
  <si>
    <t>HT 00099</t>
  </si>
  <si>
    <t>CAMRY 07</t>
  </si>
  <si>
    <t>HT 01105</t>
  </si>
  <si>
    <t>HT 01106</t>
  </si>
  <si>
    <t>CAMRY HYBRID</t>
  </si>
  <si>
    <t>HT 01680</t>
  </si>
  <si>
    <t>HT 00100</t>
  </si>
  <si>
    <t>HT 00101</t>
  </si>
  <si>
    <t>HT 00102</t>
  </si>
  <si>
    <t>ETi2</t>
  </si>
  <si>
    <t>HT 00777</t>
  </si>
  <si>
    <t>HT 01501</t>
  </si>
  <si>
    <t>CELIGA (POP)</t>
  </si>
  <si>
    <t>HT 00655</t>
  </si>
  <si>
    <t>CELIGA (ตากลม)</t>
  </si>
  <si>
    <t>HT 00656</t>
  </si>
  <si>
    <t>CELIGA NEW</t>
  </si>
  <si>
    <t>HT 00723</t>
  </si>
  <si>
    <t>HT 00657</t>
  </si>
  <si>
    <t>HT 00781</t>
  </si>
  <si>
    <t>HT 00104</t>
  </si>
  <si>
    <t>HT 00103</t>
  </si>
  <si>
    <t>AB FULK</t>
  </si>
  <si>
    <t>HT 00105</t>
  </si>
  <si>
    <t>TOP</t>
  </si>
  <si>
    <t>HT 001914</t>
  </si>
  <si>
    <t>HT 01383</t>
  </si>
  <si>
    <t>JZX/GX100,101</t>
  </si>
  <si>
    <t>MARK 2 JP 95-00</t>
  </si>
  <si>
    <t>XL</t>
  </si>
  <si>
    <t>HT 00108</t>
  </si>
  <si>
    <t>CHAISER JP 95-00</t>
  </si>
  <si>
    <t>HT 00109</t>
  </si>
  <si>
    <t>SOARER</t>
  </si>
  <si>
    <t>HT 00107</t>
  </si>
  <si>
    <t>ALTEZZA</t>
  </si>
  <si>
    <t>HT 00594</t>
  </si>
  <si>
    <t>158X127</t>
  </si>
  <si>
    <t>HT 01674</t>
  </si>
  <si>
    <t>HT 01724</t>
  </si>
  <si>
    <t>HT 01921</t>
  </si>
  <si>
    <t>ARISTO</t>
  </si>
  <si>
    <t>HT 00923</t>
  </si>
  <si>
    <t>HT 00924</t>
  </si>
  <si>
    <t>FACE OFF</t>
  </si>
  <si>
    <t>HT 01363</t>
  </si>
  <si>
    <t>HT 01470</t>
  </si>
  <si>
    <t>FORTUNER</t>
  </si>
  <si>
    <t>TURBO</t>
  </si>
  <si>
    <t>HT 00742</t>
  </si>
  <si>
    <t>HT 01283</t>
  </si>
  <si>
    <t>LANDCRUESER</t>
  </si>
  <si>
    <t>HT 00128</t>
  </si>
  <si>
    <t>VIGO Champ</t>
  </si>
  <si>
    <t>HT 02403</t>
  </si>
  <si>
    <t>Revo /Fortuner</t>
  </si>
  <si>
    <t>HT 02266</t>
  </si>
  <si>
    <t>HT 02453</t>
  </si>
  <si>
    <t>Alphard 30</t>
  </si>
  <si>
    <t>HT 02369</t>
  </si>
  <si>
    <t>Headlight Covers</t>
  </si>
  <si>
    <t>HT 02371</t>
  </si>
  <si>
    <t xml:space="preserve">ETi </t>
  </si>
  <si>
    <t>HT 03260</t>
  </si>
  <si>
    <t>March</t>
  </si>
  <si>
    <t>HN 01618</t>
  </si>
  <si>
    <t>TIDA 5D</t>
  </si>
  <si>
    <t>HN 00870</t>
  </si>
  <si>
    <t>HN 01727</t>
  </si>
  <si>
    <t>OEM + FRP VENT R35</t>
  </si>
  <si>
    <t>HN 01728</t>
  </si>
  <si>
    <t>NAVARA</t>
  </si>
  <si>
    <t>HN 02252</t>
  </si>
  <si>
    <t>CEFIRO A31</t>
  </si>
  <si>
    <t>ETi V3</t>
  </si>
  <si>
    <t>HN 01778</t>
  </si>
  <si>
    <t>HN 00064</t>
  </si>
  <si>
    <t>200 SX JP</t>
  </si>
  <si>
    <t>HN 00132</t>
  </si>
  <si>
    <t>D-MAX</t>
  </si>
  <si>
    <t>HN 01468</t>
  </si>
  <si>
    <t>HN 00077</t>
  </si>
  <si>
    <t>S13</t>
  </si>
  <si>
    <t>HN 00065</t>
  </si>
  <si>
    <t>S13 JP</t>
  </si>
  <si>
    <t>HN 00133</t>
  </si>
  <si>
    <t>S14</t>
  </si>
  <si>
    <t>HN 00066</t>
  </si>
  <si>
    <t>S14 MC</t>
  </si>
  <si>
    <t>HN 00067</t>
  </si>
  <si>
    <t xml:space="preserve">S14 MC </t>
  </si>
  <si>
    <t>HN 00134</t>
  </si>
  <si>
    <t>HN 001002</t>
  </si>
  <si>
    <t>HN 00068</t>
  </si>
  <si>
    <t>HN 00069</t>
  </si>
  <si>
    <t>S15 JP</t>
  </si>
  <si>
    <t>HN 00135</t>
  </si>
  <si>
    <t>HN 01150</t>
  </si>
  <si>
    <t>R32 GTS JP</t>
  </si>
  <si>
    <t>GTS</t>
  </si>
  <si>
    <t>HN 00070</t>
  </si>
  <si>
    <t>HN 00071</t>
  </si>
  <si>
    <t>R33 GTS</t>
  </si>
  <si>
    <t>HN 00072</t>
  </si>
  <si>
    <t>HN 00073</t>
  </si>
  <si>
    <t>GTR nismo</t>
  </si>
  <si>
    <t>HN 01513</t>
  </si>
  <si>
    <t>R33 Headlight Covers</t>
  </si>
  <si>
    <t>01513/1</t>
  </si>
  <si>
    <t>R34 GTS</t>
  </si>
  <si>
    <t>HN 00074</t>
  </si>
  <si>
    <t>R34 GTR</t>
  </si>
  <si>
    <t>HN 00075</t>
  </si>
  <si>
    <t>HN 00076</t>
  </si>
  <si>
    <t>HN 00786</t>
  </si>
  <si>
    <t>R35 08-15</t>
  </si>
  <si>
    <t>GT</t>
  </si>
  <si>
    <t>HN 01321</t>
  </si>
  <si>
    <t>HN 01645</t>
  </si>
  <si>
    <t>Air Dam</t>
  </si>
  <si>
    <t>01645/1-4</t>
  </si>
  <si>
    <t>VENT OEM FRP</t>
  </si>
  <si>
    <t>01751</t>
  </si>
  <si>
    <t>GT500</t>
  </si>
  <si>
    <t>HN 02217</t>
  </si>
  <si>
    <t>35OZ</t>
  </si>
  <si>
    <t>HN 00078</t>
  </si>
  <si>
    <t>ING</t>
  </si>
  <si>
    <t>HN 00079</t>
  </si>
  <si>
    <t>HN 00822</t>
  </si>
  <si>
    <t>HN 00787</t>
  </si>
  <si>
    <t>350Z MC</t>
  </si>
  <si>
    <t>HN 01046</t>
  </si>
  <si>
    <t>HN 01047</t>
  </si>
  <si>
    <t>HN 01087</t>
  </si>
  <si>
    <t>HN 01533</t>
  </si>
  <si>
    <t>Superleg</t>
  </si>
  <si>
    <t>HN 02100</t>
  </si>
  <si>
    <t xml:space="preserve">370Z </t>
  </si>
  <si>
    <t>HN 01205</t>
  </si>
  <si>
    <t>HN 01249</t>
  </si>
  <si>
    <t>HN 01647</t>
  </si>
  <si>
    <t xml:space="preserve">HN </t>
  </si>
  <si>
    <t>HN 03040</t>
  </si>
  <si>
    <t>EVO8-9</t>
  </si>
  <si>
    <t>MONSTER</t>
  </si>
  <si>
    <t>HMS 01019</t>
  </si>
  <si>
    <t>HMS 01195</t>
  </si>
  <si>
    <t>HMS 01142</t>
  </si>
  <si>
    <t>CHARD SPEED</t>
  </si>
  <si>
    <t>HMS 01147</t>
  </si>
  <si>
    <t>HMS 00055</t>
  </si>
  <si>
    <t>HMS 00056</t>
  </si>
  <si>
    <t>ETi GT</t>
  </si>
  <si>
    <t>HMS 01002</t>
  </si>
  <si>
    <t>ETi GT2</t>
  </si>
  <si>
    <t>HMS 01821</t>
  </si>
  <si>
    <t>COLT 94</t>
  </si>
  <si>
    <t>HMS 00050</t>
  </si>
  <si>
    <t>COLT 04</t>
  </si>
  <si>
    <t>HMS 00051</t>
  </si>
  <si>
    <t>SPACEWAGON</t>
  </si>
  <si>
    <t>HMS 00592</t>
  </si>
  <si>
    <t>HMS 01763</t>
  </si>
  <si>
    <t>TRITON</t>
  </si>
  <si>
    <t>HMS 00868</t>
  </si>
  <si>
    <t>TRITON 2022</t>
  </si>
  <si>
    <t>HMS 03441</t>
  </si>
  <si>
    <t>TRITON 2023</t>
  </si>
  <si>
    <t>HMS 03540</t>
  </si>
  <si>
    <t>ATTACK</t>
  </si>
  <si>
    <t>HMS 00127</t>
  </si>
  <si>
    <t>MAZDA2 (4-5Dr)</t>
  </si>
  <si>
    <t>HM 01643</t>
  </si>
  <si>
    <t>MAZDA3 (4door)</t>
  </si>
  <si>
    <t>HM 00040</t>
  </si>
  <si>
    <t>HM 00647</t>
  </si>
  <si>
    <t>MAZDA3 (5door)</t>
  </si>
  <si>
    <t>HM 00717</t>
  </si>
  <si>
    <t>HM 00718</t>
  </si>
  <si>
    <t>SAVANA</t>
  </si>
  <si>
    <t>HM 00553</t>
  </si>
  <si>
    <t>RX7</t>
  </si>
  <si>
    <t>HM 00042</t>
  </si>
  <si>
    <t>HM 00554</t>
  </si>
  <si>
    <t>HM 00863</t>
  </si>
  <si>
    <t>RE mc</t>
  </si>
  <si>
    <t>HM 01206</t>
  </si>
  <si>
    <t>HM 00043</t>
  </si>
  <si>
    <t>HM 01149</t>
  </si>
  <si>
    <t>RE-2</t>
  </si>
  <si>
    <t>HM  02435</t>
  </si>
  <si>
    <t>RE-2 headlight cover</t>
  </si>
  <si>
    <t>03144</t>
  </si>
  <si>
    <t>HM 01382</t>
  </si>
  <si>
    <t>R-MAGIC</t>
  </si>
  <si>
    <t>HM 01434</t>
  </si>
  <si>
    <t>HM 00041</t>
  </si>
  <si>
    <t>Maserati</t>
  </si>
  <si>
    <t>MST 02265</t>
  </si>
  <si>
    <t>BENZ</t>
  </si>
  <si>
    <t>W212</t>
  </si>
  <si>
    <t>HB 01633</t>
  </si>
  <si>
    <t>HB 01691</t>
  </si>
  <si>
    <t>W205 Cclass</t>
  </si>
  <si>
    <t>HB 03301</t>
  </si>
  <si>
    <t>HB 03302</t>
  </si>
  <si>
    <t>HBM 00886</t>
  </si>
  <si>
    <t>M5</t>
  </si>
  <si>
    <t>HBM 00888</t>
  </si>
  <si>
    <t>HBM 01297</t>
  </si>
  <si>
    <t>E89 Z4</t>
  </si>
  <si>
    <t>DUKE DYNAMITE</t>
  </si>
  <si>
    <t>XXL</t>
  </si>
  <si>
    <t>HBM 01690</t>
  </si>
  <si>
    <t>HBM 02264</t>
  </si>
  <si>
    <t>E93</t>
  </si>
  <si>
    <t>HBM 01553</t>
  </si>
  <si>
    <t>HBM 01554</t>
  </si>
  <si>
    <t>E90 MC</t>
  </si>
  <si>
    <t>HBM 01714</t>
  </si>
  <si>
    <t>M3 GTS</t>
  </si>
  <si>
    <t>HBM 03571</t>
  </si>
  <si>
    <t>S6</t>
  </si>
  <si>
    <t>HBM 03220</t>
  </si>
  <si>
    <t>HBM 03262</t>
  </si>
  <si>
    <t>HBM 03313</t>
  </si>
  <si>
    <t>HBM 00869</t>
  </si>
  <si>
    <t>WRX 2001</t>
  </si>
  <si>
    <t>HS 00087</t>
  </si>
  <si>
    <t>WRX 2003 V8</t>
  </si>
  <si>
    <t>HS 00088</t>
  </si>
  <si>
    <t>ETi (RACE)</t>
  </si>
  <si>
    <t>HS 00648</t>
  </si>
  <si>
    <t>ETi (STREET)</t>
  </si>
  <si>
    <t>HS 00745</t>
  </si>
  <si>
    <t>WRX 2006 V9</t>
  </si>
  <si>
    <t>HS 00782</t>
  </si>
  <si>
    <t>HS 00896</t>
  </si>
  <si>
    <t>HS 01305</t>
  </si>
  <si>
    <t>01306</t>
  </si>
  <si>
    <t>GDB 5Doors</t>
  </si>
  <si>
    <t>HS 01050</t>
  </si>
  <si>
    <t>HS 01051</t>
  </si>
  <si>
    <t>ISUZU</t>
  </si>
  <si>
    <t>D-max Pitinum 2010</t>
  </si>
  <si>
    <t>HIS 01503</t>
  </si>
  <si>
    <t>HIS 01507</t>
  </si>
  <si>
    <t>New D-max 2012</t>
  </si>
  <si>
    <t>HIS 01499 N</t>
  </si>
  <si>
    <t>HIS 01636</t>
  </si>
  <si>
    <t>D-max Blue1.9</t>
  </si>
  <si>
    <t>HIS 03261</t>
  </si>
  <si>
    <t>D-max 2021</t>
  </si>
  <si>
    <t>HIS 03289</t>
  </si>
  <si>
    <t>HIS 03300</t>
  </si>
  <si>
    <t>SUZUKI</t>
  </si>
  <si>
    <t>SWIFT 1500</t>
  </si>
  <si>
    <t>HSK 00649</t>
  </si>
  <si>
    <t>HSK 00650</t>
  </si>
  <si>
    <t>SWIFT 1200</t>
  </si>
  <si>
    <t>HSK 01653</t>
  </si>
  <si>
    <t>DAIHUTSU</t>
  </si>
  <si>
    <t>MOVE</t>
  </si>
  <si>
    <t>HP 00661</t>
  </si>
  <si>
    <t>ALFA</t>
  </si>
  <si>
    <t>ALFA 156</t>
  </si>
  <si>
    <t>CANABOLO</t>
  </si>
  <si>
    <t>HA 00744</t>
  </si>
  <si>
    <t>GALLARDO LP570-4</t>
  </si>
  <si>
    <t>HL 01457</t>
  </si>
  <si>
    <t>POSCHE</t>
  </si>
  <si>
    <t>GT Racing</t>
  </si>
  <si>
    <t>Hulacan</t>
  </si>
  <si>
    <t>HL 03161</t>
  </si>
  <si>
    <t>GT2</t>
  </si>
  <si>
    <t>HPC 00633</t>
  </si>
  <si>
    <t>HPC 03570</t>
  </si>
  <si>
    <t>CAYANNE</t>
  </si>
  <si>
    <t>HPC 01752</t>
  </si>
  <si>
    <t>TECH ART</t>
  </si>
  <si>
    <t>HPC 01759</t>
  </si>
  <si>
    <t>HYUNDAI</t>
  </si>
  <si>
    <t>GETS</t>
  </si>
  <si>
    <t>HHD 00746</t>
  </si>
  <si>
    <t>HHD 00037</t>
  </si>
  <si>
    <t>HHD 00038</t>
  </si>
  <si>
    <t>HHD 00747</t>
  </si>
  <si>
    <t>PROTON</t>
  </si>
  <si>
    <t>WIRA</t>
  </si>
  <si>
    <t>HP 00084</t>
  </si>
  <si>
    <t>HP 00662</t>
  </si>
  <si>
    <t>HP 00748</t>
  </si>
  <si>
    <t>KANCIL</t>
  </si>
  <si>
    <t>HP 00085</t>
  </si>
  <si>
    <t>PERODUA</t>
  </si>
  <si>
    <t>MIVI</t>
  </si>
  <si>
    <t>HP 00660</t>
  </si>
  <si>
    <t>CHEVROLET</t>
  </si>
  <si>
    <t>AVEO</t>
  </si>
  <si>
    <t>HC 00663</t>
  </si>
  <si>
    <t>HC 00664</t>
  </si>
  <si>
    <t>COROLADO</t>
  </si>
  <si>
    <t>0EM</t>
  </si>
  <si>
    <t>HC 01707</t>
  </si>
  <si>
    <t>HC 1781</t>
  </si>
  <si>
    <t>NEW COROLADO</t>
  </si>
  <si>
    <t>HC 01590</t>
  </si>
  <si>
    <t>HC 01630</t>
  </si>
  <si>
    <t>VW</t>
  </si>
  <si>
    <t>GOFT GTI</t>
  </si>
  <si>
    <t>HV 00009</t>
  </si>
  <si>
    <t>HV 00785</t>
  </si>
  <si>
    <t>150X100(25X55X2)</t>
  </si>
  <si>
    <t>FORD</t>
  </si>
  <si>
    <t>FISTA</t>
  </si>
  <si>
    <t>HV 01673</t>
  </si>
  <si>
    <t>MINI</t>
  </si>
  <si>
    <t>R56 cooperS</t>
  </si>
  <si>
    <t>HMN 03140</t>
  </si>
  <si>
    <t>AUSTIN</t>
  </si>
  <si>
    <t>HMN 00044</t>
  </si>
  <si>
    <t>LOVER</t>
  </si>
  <si>
    <t>Landlover</t>
  </si>
  <si>
    <t>LV 03574</t>
  </si>
  <si>
    <t>LV 03575</t>
  </si>
  <si>
    <t>PEUGEOT</t>
  </si>
  <si>
    <t>205 GTI</t>
  </si>
  <si>
    <t>HPY 01222</t>
  </si>
  <si>
    <t>A4 1997</t>
  </si>
  <si>
    <t>HAD 00118</t>
  </si>
  <si>
    <t>DOORS</t>
  </si>
  <si>
    <t>CIVIC EG 3DOOR</t>
  </si>
  <si>
    <t>L+R</t>
  </si>
  <si>
    <t>DH 00032</t>
  </si>
  <si>
    <t>DH 00033</t>
  </si>
  <si>
    <t>EP3</t>
  </si>
  <si>
    <t>DH 00636</t>
  </si>
  <si>
    <t>INT DOOR</t>
  </si>
  <si>
    <t>DH 00749</t>
  </si>
  <si>
    <t>130X80X2</t>
  </si>
  <si>
    <t>DH 00120</t>
  </si>
  <si>
    <t>Door Panel</t>
  </si>
  <si>
    <t>01749</t>
  </si>
  <si>
    <t>SKYLINE R32</t>
  </si>
  <si>
    <t>DN 00081</t>
  </si>
  <si>
    <t>DN 00082</t>
  </si>
  <si>
    <t>DN 00750</t>
  </si>
  <si>
    <t>DN 01085</t>
  </si>
  <si>
    <t>Rear Seat</t>
  </si>
  <si>
    <t>-</t>
  </si>
  <si>
    <t>FRONT</t>
  </si>
  <si>
    <t>DN 01192</t>
  </si>
  <si>
    <t>CEFIRO A31 wide</t>
  </si>
  <si>
    <t>REAR</t>
  </si>
  <si>
    <t>DN 01193</t>
  </si>
  <si>
    <t>MITSU EVO6</t>
  </si>
  <si>
    <t>DMS 00651</t>
  </si>
  <si>
    <t>DMS 00652</t>
  </si>
  <si>
    <t>MITSU EVO7,8,9</t>
  </si>
  <si>
    <t>DMS 00058</t>
  </si>
  <si>
    <t>DMS 00059</t>
  </si>
  <si>
    <t>MITSU EVO10</t>
  </si>
  <si>
    <t>DMS 01144</t>
  </si>
  <si>
    <t>DMS 03442</t>
  </si>
  <si>
    <t>DMS 03443</t>
  </si>
  <si>
    <t>Triton 2023</t>
  </si>
  <si>
    <t>DMS 03541</t>
  </si>
  <si>
    <t>S1 Race Version</t>
  </si>
  <si>
    <t>Rear</t>
  </si>
  <si>
    <t>DBM 03440</t>
  </si>
  <si>
    <t>FT86 Race Version</t>
  </si>
  <si>
    <t>Front</t>
  </si>
  <si>
    <t>DT 03509</t>
  </si>
  <si>
    <t>2001-2004</t>
  </si>
  <si>
    <t>DS 00653</t>
  </si>
  <si>
    <t>DS 00654</t>
  </si>
  <si>
    <t>GDB 5th Door</t>
  </si>
  <si>
    <t>DS 01053</t>
  </si>
  <si>
    <t>PLATINUM</t>
  </si>
  <si>
    <t>DI 01650</t>
  </si>
  <si>
    <t>DM 01124</t>
  </si>
  <si>
    <t>DM 01125</t>
  </si>
  <si>
    <t>DM 00122</t>
  </si>
  <si>
    <t>DM 01086</t>
  </si>
  <si>
    <t>TRUNK</t>
  </si>
  <si>
    <t>MITSU EVO7</t>
  </si>
  <si>
    <t>TMS 00057</t>
  </si>
  <si>
    <t>TMS 01143</t>
  </si>
  <si>
    <t>SKYLINE R34</t>
  </si>
  <si>
    <t>TN 00083</t>
  </si>
  <si>
    <t>TN 00665</t>
  </si>
  <si>
    <t>200SX</t>
  </si>
  <si>
    <t>TN 00645</t>
  </si>
  <si>
    <t>TN 01189</t>
  </si>
  <si>
    <t>SKYLINE R35</t>
  </si>
  <si>
    <t>TN 01474</t>
  </si>
  <si>
    <t>REVO</t>
  </si>
  <si>
    <t>TN 01706</t>
  </si>
  <si>
    <t>TBM 00887</t>
  </si>
  <si>
    <t>LUMMA</t>
  </si>
  <si>
    <t>TBM 00889</t>
  </si>
  <si>
    <t>E36 2D</t>
  </si>
  <si>
    <t>TBM 01090</t>
  </si>
  <si>
    <t>TBM 03375</t>
  </si>
  <si>
    <t>E89</t>
  </si>
  <si>
    <t>TBM 03550</t>
  </si>
  <si>
    <t>TH 00637</t>
  </si>
  <si>
    <t>TH 00121</t>
  </si>
  <si>
    <t>TH 00672</t>
  </si>
  <si>
    <t>TH 00721</t>
  </si>
  <si>
    <t>TH 00783</t>
  </si>
  <si>
    <t>CIVIC FB 2012</t>
  </si>
  <si>
    <t>TH 01612</t>
  </si>
  <si>
    <t>EK99</t>
  </si>
  <si>
    <t>TH 00818</t>
  </si>
  <si>
    <t>PRELUDE/S15</t>
  </si>
  <si>
    <t>TH 01314</t>
  </si>
  <si>
    <t>TH 01381</t>
  </si>
  <si>
    <t>HYBRID Civic FD</t>
  </si>
  <si>
    <t>TH 01427</t>
  </si>
  <si>
    <t>JAZZ 2010</t>
  </si>
  <si>
    <t>TH 01614</t>
  </si>
  <si>
    <t>TH 01616</t>
  </si>
  <si>
    <t>Brio Racing 45</t>
  </si>
  <si>
    <t>TH 03499</t>
  </si>
  <si>
    <t>CRZ Racing 45</t>
  </si>
  <si>
    <t>TH 03522</t>
  </si>
  <si>
    <t>TS 00123</t>
  </si>
  <si>
    <t>TM 00864</t>
  </si>
  <si>
    <t>TM 01045</t>
  </si>
  <si>
    <t>race</t>
  </si>
  <si>
    <t>TM 01126</t>
  </si>
  <si>
    <t>street</t>
  </si>
  <si>
    <t>TM 01435</t>
  </si>
  <si>
    <t>TM 01591</t>
  </si>
  <si>
    <t>ALL NEW 2012</t>
  </si>
  <si>
    <t>TIS 01635</t>
  </si>
  <si>
    <t>VIOS</t>
  </si>
  <si>
    <t>TT 00784</t>
  </si>
  <si>
    <t>VIOS 2012</t>
  </si>
  <si>
    <t>TT 01679</t>
  </si>
  <si>
    <t>Altis 2011</t>
  </si>
  <si>
    <t>TT 01500</t>
  </si>
  <si>
    <t>TT 01681</t>
  </si>
  <si>
    <t>TT 00666</t>
  </si>
  <si>
    <t>LEXUS Aristo</t>
  </si>
  <si>
    <t>TT 00925</t>
  </si>
  <si>
    <t>TT 01223</t>
  </si>
  <si>
    <t>VIOS 2006</t>
  </si>
  <si>
    <t>TT 01615</t>
  </si>
  <si>
    <t>TT 03508</t>
  </si>
  <si>
    <t>ROOF</t>
  </si>
  <si>
    <t>RT 00638</t>
  </si>
  <si>
    <t>RT 01075</t>
  </si>
  <si>
    <t>RT 01104</t>
  </si>
  <si>
    <t>RT 03506</t>
  </si>
  <si>
    <t>LEXUS</t>
  </si>
  <si>
    <t>ARISTO GS300</t>
  </si>
  <si>
    <t>RT 01471</t>
  </si>
  <si>
    <t>RBM 00895</t>
  </si>
  <si>
    <t>Sun roof</t>
  </si>
  <si>
    <t>RBM 01089</t>
  </si>
  <si>
    <t>F32 M4 original</t>
  </si>
  <si>
    <t>RBM 03154</t>
  </si>
  <si>
    <t>F30 M3</t>
  </si>
  <si>
    <t>RBM 03041</t>
  </si>
  <si>
    <t>G30 M5</t>
  </si>
  <si>
    <t>RBM 03312</t>
  </si>
  <si>
    <t>F12 series6 convertible (carbon)</t>
  </si>
  <si>
    <t>RBM 03519</t>
  </si>
  <si>
    <t>W211</t>
  </si>
  <si>
    <t>RB 01208</t>
  </si>
  <si>
    <t>JAZZ</t>
  </si>
  <si>
    <t>RH 00752</t>
  </si>
  <si>
    <t>NEW CIVIC2006</t>
  </si>
  <si>
    <t>RH 00836</t>
  </si>
  <si>
    <t>ACCORD 2003</t>
  </si>
  <si>
    <t>RH 01027</t>
  </si>
  <si>
    <t>ACCORD 2009</t>
  </si>
  <si>
    <t>RH 01196</t>
  </si>
  <si>
    <t>GTO (SUNROOF)</t>
  </si>
  <si>
    <t>RMS 00751</t>
  </si>
  <si>
    <t>GTO</t>
  </si>
  <si>
    <t>RHN 01084</t>
  </si>
  <si>
    <t>RHN 01166</t>
  </si>
  <si>
    <t>RHN 01454</t>
  </si>
  <si>
    <t>RHN 00837</t>
  </si>
  <si>
    <t>RHN 01250</t>
  </si>
  <si>
    <t>A31</t>
  </si>
  <si>
    <t>RHN 01207</t>
  </si>
  <si>
    <t>GTR R35</t>
  </si>
  <si>
    <t>RHN 01473</t>
  </si>
  <si>
    <t>COROLADO/ISUZU</t>
  </si>
  <si>
    <t>OEM/CAB</t>
  </si>
  <si>
    <t>TM 01592</t>
  </si>
  <si>
    <t>A8</t>
  </si>
  <si>
    <t>RA 00753</t>
  </si>
  <si>
    <t>SPOILER</t>
  </si>
  <si>
    <t>SH 00727</t>
  </si>
  <si>
    <t>MAZDA2</t>
  </si>
  <si>
    <t>SM 01761</t>
  </si>
  <si>
    <t>EVO 6</t>
  </si>
  <si>
    <t>SMS 00632</t>
  </si>
  <si>
    <t>EVO 7</t>
  </si>
  <si>
    <t>SMS 00060</t>
  </si>
  <si>
    <t>EVO 8</t>
  </si>
  <si>
    <t>SMS 00061</t>
  </si>
  <si>
    <t>SMS 01138</t>
  </si>
  <si>
    <t>SMS 01466</t>
  </si>
  <si>
    <t>SMS 00593</t>
  </si>
  <si>
    <t>SMS 00667</t>
  </si>
  <si>
    <t>SN 01723</t>
  </si>
  <si>
    <t>ADD ON MINE'S</t>
  </si>
  <si>
    <t>SN 01716</t>
  </si>
  <si>
    <t>ADD ON WALD</t>
  </si>
  <si>
    <t>SN 01760</t>
  </si>
  <si>
    <t>ADD ON SP</t>
  </si>
  <si>
    <t>SN 01750</t>
  </si>
  <si>
    <t>NISMO DEVISE</t>
  </si>
  <si>
    <t>SN 01743</t>
  </si>
  <si>
    <t>With brake light</t>
  </si>
  <si>
    <t>SN 01744</t>
  </si>
  <si>
    <t>IMPUL</t>
  </si>
  <si>
    <t>SN 01739</t>
  </si>
  <si>
    <t>SN 01740</t>
  </si>
  <si>
    <t>ST 00110</t>
  </si>
  <si>
    <t>GT-wingVARIS</t>
  </si>
  <si>
    <t>GT 01360/1</t>
  </si>
  <si>
    <t>SUPRA A90</t>
  </si>
  <si>
    <t>GAP ROOF</t>
  </si>
  <si>
    <t>GT 01713</t>
  </si>
  <si>
    <t>SATRIA GTI</t>
  </si>
  <si>
    <t>SP 00515</t>
  </si>
  <si>
    <t>AUDI TT</t>
  </si>
  <si>
    <t>SAD 00119</t>
  </si>
  <si>
    <t>R8 (WING E36)</t>
  </si>
  <si>
    <t>170X35</t>
  </si>
  <si>
    <t>GT 01281</t>
  </si>
  <si>
    <t>GT-WING A</t>
  </si>
  <si>
    <t>127 X 25</t>
  </si>
  <si>
    <t>GT 00124</t>
  </si>
  <si>
    <t>GT-WING B</t>
  </si>
  <si>
    <t>158 X 30</t>
  </si>
  <si>
    <t>GT 00125</t>
  </si>
  <si>
    <t>GT-WING C</t>
  </si>
  <si>
    <t>168 X 30</t>
  </si>
  <si>
    <t>GT 00126</t>
  </si>
  <si>
    <t>GT-WING D</t>
  </si>
  <si>
    <t>180 X 25</t>
  </si>
  <si>
    <t>HKS</t>
  </si>
  <si>
    <t>GT 01076</t>
  </si>
  <si>
    <t>GT-WING E</t>
  </si>
  <si>
    <t>DTM</t>
  </si>
  <si>
    <t>GT 01146</t>
  </si>
  <si>
    <t>GT-WING F</t>
  </si>
  <si>
    <t>RX8 Pointed Tip</t>
  </si>
  <si>
    <t>GT 01199</t>
  </si>
  <si>
    <t>GT-WING G</t>
  </si>
  <si>
    <t>GT 01224</t>
  </si>
  <si>
    <t xml:space="preserve">GT-WING E36 </t>
  </si>
  <si>
    <t>GT-WING H</t>
  </si>
  <si>
    <t>150X27</t>
  </si>
  <si>
    <t>GT 01316</t>
  </si>
  <si>
    <t xml:space="preserve">GT-WING </t>
  </si>
  <si>
    <t>NOVETEC</t>
  </si>
  <si>
    <t>GT 01730</t>
  </si>
  <si>
    <t>BMW Z4 E89</t>
  </si>
  <si>
    <t>GT-wing GT3</t>
  </si>
  <si>
    <t>185X40</t>
  </si>
  <si>
    <t>GT 02263</t>
  </si>
  <si>
    <t>Lotus Exige</t>
  </si>
  <si>
    <t>GT 03146</t>
  </si>
  <si>
    <t>Nissan</t>
  </si>
  <si>
    <t>FN 01671</t>
  </si>
  <si>
    <t>FN 01595</t>
  </si>
  <si>
    <t>Full Carbon</t>
  </si>
  <si>
    <t>FN 01596</t>
  </si>
  <si>
    <t>carbon w/ vent</t>
  </si>
  <si>
    <t>FN 01698</t>
  </si>
  <si>
    <t>FN 01729</t>
  </si>
  <si>
    <t>FN 01764</t>
  </si>
  <si>
    <t>Nismo Devise</t>
  </si>
  <si>
    <t>Eyebrows Included</t>
  </si>
  <si>
    <t>FN 01742/1-4</t>
  </si>
  <si>
    <t>FN 02251</t>
  </si>
  <si>
    <t>S1 Style</t>
  </si>
  <si>
    <t>Wide Flare</t>
  </si>
  <si>
    <t>FBM 03437</t>
  </si>
  <si>
    <t>Phatinum</t>
  </si>
  <si>
    <t>FI 01649</t>
  </si>
  <si>
    <t>New Isuzu</t>
  </si>
  <si>
    <t>FI 01634</t>
  </si>
  <si>
    <t>FI 01677</t>
  </si>
  <si>
    <t>Yaris</t>
  </si>
  <si>
    <t>FT 01676</t>
  </si>
  <si>
    <t>Camary Hybrid</t>
  </si>
  <si>
    <t>FT 01682</t>
  </si>
  <si>
    <t>FT 01694</t>
  </si>
  <si>
    <t>Revo/Fortuner</t>
  </si>
  <si>
    <t>FT  2</t>
  </si>
  <si>
    <t>Jazz GE</t>
  </si>
  <si>
    <t>FH 01722</t>
  </si>
  <si>
    <t>HMN 02244</t>
  </si>
  <si>
    <t>Dashboard</t>
  </si>
  <si>
    <t>FOR RACE</t>
  </si>
  <si>
    <t>DB 00668</t>
  </si>
  <si>
    <t>S-15</t>
  </si>
  <si>
    <t>CIVIC EK96-99</t>
  </si>
  <si>
    <t>DB 00669</t>
  </si>
  <si>
    <t>DB 00754</t>
  </si>
  <si>
    <t>EVO6</t>
  </si>
  <si>
    <t>DB 00670</t>
  </si>
  <si>
    <t>OPTRA</t>
  </si>
  <si>
    <t>DB 00671</t>
  </si>
  <si>
    <t>Air Freight Rates (Suggested only for Urgent in USD)</t>
  </si>
  <si>
    <t>Part Category</t>
  </si>
  <si>
    <t>Box Dimensions (L x W x H)</t>
  </si>
  <si>
    <t>Volumetric Weight (Approx)</t>
  </si>
  <si>
    <t>Country</t>
  </si>
  <si>
    <t>Rate (per KG)</t>
  </si>
  <si>
    <t>Tax inclusive</t>
  </si>
  <si>
    <t>Large Hood (Supra, etc.)</t>
  </si>
  <si>
    <t>150 x 160 x 20 cm</t>
  </si>
  <si>
    <t>~96 kg</t>
  </si>
  <si>
    <t>USA</t>
  </si>
  <si>
    <t>Regular Hood</t>
  </si>
  <si>
    <t>150 x 150 x 15 cm</t>
  </si>
  <si>
    <t>~68 kg</t>
  </si>
  <si>
    <t>AUS</t>
  </si>
  <si>
    <t>190 x 75 x 55 cm</t>
  </si>
  <si>
    <t>~156 kg</t>
  </si>
  <si>
    <t>UAE</t>
  </si>
  <si>
    <t>Side Skirts (Pair)</t>
  </si>
  <si>
    <t>205 x 30 x 20 cm</t>
  </si>
  <si>
    <t>~25 kg</t>
  </si>
  <si>
    <t>Trunk / Boot</t>
  </si>
  <si>
    <t>135 x 115 x 25 cm</t>
  </si>
  <si>
    <t>~65 kg</t>
  </si>
  <si>
    <t>Front Fender (Pair)</t>
  </si>
  <si>
    <t>115 x 85 x 25 cm</t>
  </si>
  <si>
    <t>~48 kg</t>
  </si>
  <si>
    <t>140 x 115 x 20 cm</t>
  </si>
  <si>
    <t>~64 kg</t>
  </si>
  <si>
    <t>165 x 45 x 35 cm</t>
  </si>
  <si>
    <t>~52 kg</t>
  </si>
  <si>
    <t>165 x 75 x 25 cm</t>
  </si>
  <si>
    <t>~62 kg</t>
  </si>
  <si>
    <t>180 x 60 x 15 cm</t>
  </si>
  <si>
    <t>~32 kg</t>
  </si>
  <si>
    <t>Note: Cells highlighted in Light Green are organically merged KITS from Green Active CSV</t>
  </si>
  <si>
    <t>RX-7 FD</t>
  </si>
  <si>
    <t>99 Spec Wing Ends</t>
  </si>
  <si>
    <t>Wing / Spoiler</t>
  </si>
  <si>
    <t>99 Spec Wing Insert End Caps</t>
  </si>
  <si>
    <t>Duckbill Wing Spoiler</t>
  </si>
  <si>
    <t>OEM Headlight Cover</t>
  </si>
  <si>
    <t>Headlight Cover</t>
  </si>
  <si>
    <t>Speed Style Front Diffuser</t>
  </si>
  <si>
    <t>Carbon Fiber Rear Strut Bar Cover</t>
  </si>
  <si>
    <t>Interior Trim</t>
  </si>
  <si>
    <t>Full Vacuum Carbon GT Wing Spoiler</t>
  </si>
  <si>
    <t>Carbon Fiber Ganador Style Side Mirrors</t>
  </si>
  <si>
    <t>Mirrors</t>
  </si>
  <si>
    <t>Racing Dash (LHD &amp; RHD)</t>
  </si>
  <si>
    <t>Carbon Fiber Tonneau Cover</t>
  </si>
  <si>
    <t>Tonneau Cover</t>
  </si>
  <si>
    <t>FEED-Style Side Skirts</t>
  </si>
  <si>
    <t>Side Skirts</t>
  </si>
  <si>
    <t>FEED-Style Front Fenders</t>
  </si>
  <si>
    <t>Fenders</t>
  </si>
  <si>
    <t>Carbon Fiber Cowl Panel</t>
  </si>
  <si>
    <t>Cowl Panel</t>
  </si>
  <si>
    <t>R-Magic Style Headlights</t>
  </si>
  <si>
    <t>Headlights</t>
  </si>
  <si>
    <t>99+ Style Front Bumper</t>
  </si>
  <si>
    <t>Odula Style Wing Spoiler</t>
  </si>
  <si>
    <t>Door Sills</t>
  </si>
  <si>
    <t>Engine Bay</t>
  </si>
  <si>
    <t>RX-8</t>
  </si>
  <si>
    <t>SE3P Early Aero Mirror (Left Hand Drive)</t>
  </si>
  <si>
    <t>Evo 8/9</t>
  </si>
  <si>
    <t>Ralli-Style Carbon Fiber Front Lip Bumper</t>
  </si>
  <si>
    <t>Front Bumper / Lip</t>
  </si>
  <si>
    <t>Carbon Fiber Rear Diffuser</t>
  </si>
  <si>
    <t>Carbon Fiber Time Attack Voltex Rear Bumper Diffuser</t>
  </si>
  <si>
    <t>Project Oni: Type Zero Full Carbon Fiber BodyKit</t>
  </si>
  <si>
    <t>Body Kit</t>
  </si>
  <si>
    <t>Evo X</t>
  </si>
  <si>
    <t>Carbon Fiber Front Fender Flare</t>
  </si>
  <si>
    <t>Carbon Fiber Front Bumper Splitter</t>
  </si>
  <si>
    <t>Carbon Fiber Front Bumper Lip</t>
  </si>
  <si>
    <t>JDM OEM-Style Rear Bumper</t>
  </si>
  <si>
    <t>Evo</t>
  </si>
  <si>
    <t>OEM-Style Front Bumper with Lip</t>
  </si>
  <si>
    <t>Evo 9</t>
  </si>
  <si>
    <t>Mitsubishi OEM Rear Bumper Diffuser</t>
  </si>
  <si>
    <t>MR SE-Style Front Lip Bumper</t>
  </si>
  <si>
    <t>Varis-Style Carbon Fiber Front Bumper Canards</t>
  </si>
  <si>
    <t>Canards</t>
  </si>
  <si>
    <t>Do-Luck D-Style Carbon Fiber Front Lip Bumper</t>
  </si>
  <si>
    <t>Type-5 Carbon Fiber GT Wing Spoiler</t>
  </si>
  <si>
    <t>JP-Style Carbon Fiber Front Lip Bumper</t>
  </si>
  <si>
    <t>200SX/180SX</t>
  </si>
  <si>
    <t>Carbon Fiber Bumper Canards</t>
  </si>
  <si>
    <t>Seido Style Rear Diffuser</t>
  </si>
  <si>
    <t>Skyline R34</t>
  </si>
  <si>
    <t>Front Splitter with Undertray</t>
  </si>
  <si>
    <t>Z-Tune Style Front Fenders</t>
  </si>
  <si>
    <t>Skyline R33</t>
  </si>
  <si>
    <t>GTR Vacuum Carbon Fiber Extension SideSkirt</t>
  </si>
  <si>
    <t>Skyline R35</t>
  </si>
  <si>
    <t>GTR Mines Rear Spoiler without Base</t>
  </si>
  <si>
    <t>GTR OEM Style Rear Spoiler</t>
  </si>
  <si>
    <t>CBA DBA OEM Spoiler H Style Higher Legs</t>
  </si>
  <si>
    <t>GTR Border 4pcs Front Bumper Canard</t>
  </si>
  <si>
    <t>Skyline R32</t>
  </si>
  <si>
    <t>GTR TS Style Diffuser</t>
  </si>
  <si>
    <t>GTT Z-Tune 5pcs 1999-2000 / GTT 2D GTR Conversion EAST BEAR Rear Diffuser</t>
  </si>
  <si>
    <t>GTT Z-Tune Type B Front Bumper Lip</t>
  </si>
  <si>
    <t>GTT Z-Tune / GTT 2D GTR Conversion (2pcs) Side Skirt Extensions</t>
  </si>
  <si>
    <t>GTT Z-Tune / GTT 4D GTR-Style Front Bumper</t>
  </si>
  <si>
    <t>GTT Z-Tune / GTT 2D GTR Conversion Rear Bumper Spats/Caps</t>
  </si>
  <si>
    <t>Bumper Spats</t>
  </si>
  <si>
    <t>GTT Z-Tune / GTT 2D GTR Conversion GTR-Style Rear Bumper</t>
  </si>
  <si>
    <t>GTT Z-Tune Type A Bumper Lip</t>
  </si>
  <si>
    <t>GTR NI Z-Tune Style Front Bumper Lip</t>
  </si>
  <si>
    <t>GTR NI Z-Tune Style Extensions SideSkirt</t>
  </si>
  <si>
    <t>GTR Z-Tune Style Side Skirts</t>
  </si>
  <si>
    <t>GTR Z-Tune Style Rear Bumper Spats</t>
  </si>
  <si>
    <t>GTR NI Z-Tune Style Rear Bumper</t>
  </si>
  <si>
    <t>GTR TS Carbon Fiber Type 2 w/ Metal Fitting Accessories Rear Diffuser</t>
  </si>
  <si>
    <t>RSW Style LHD DOOR MIRROR INNER PANEL</t>
  </si>
  <si>
    <t>OEM Style Wheel Arch Flares (10mm wider) 8pcs</t>
  </si>
  <si>
    <t>CBA WA Style Addon Rear Bumper Diffuser</t>
  </si>
  <si>
    <t>VS Style Side Low Mirror Under Cover</t>
  </si>
  <si>
    <t>Side Mirror Cover 2 PCS</t>
  </si>
  <si>
    <t>Border Front Bumper Air Duct</t>
  </si>
  <si>
    <t>Air Duct</t>
  </si>
  <si>
    <t>Supra Mark 4</t>
  </si>
  <si>
    <t>Tamon Style Widebody Kit</t>
  </si>
  <si>
    <t>Wide Body Kit</t>
  </si>
  <si>
    <t>Carbon Fiber Rear Hatch</t>
  </si>
  <si>
    <t>Rear Hatch</t>
  </si>
  <si>
    <t>Carbon Fiber Headlight Bezels</t>
  </si>
  <si>
    <t>Headlight Bezels</t>
  </si>
  <si>
    <t>OEM Front Bumper</t>
  </si>
  <si>
    <t>Orido/TS Blend Body Kit</t>
  </si>
  <si>
    <t>OTHER</t>
  </si>
  <si>
    <t>TESLA</t>
  </si>
  <si>
    <t>Model 3</t>
  </si>
  <si>
    <t>Dry Carbon Spoiler</t>
  </si>
  <si>
    <t>Dry Carbon Mirror Caps</t>
  </si>
  <si>
    <t>OTHER MAKES &amp; CUSTOM PARTS</t>
  </si>
  <si>
    <t>TOYOTA/SUBARU</t>
  </si>
  <si>
    <t>GT86/BRZ</t>
  </si>
  <si>
    <t>(2013 Model) Rear Spoiler</t>
  </si>
  <si>
    <t>FT86 TK Style Rear Spoiler</t>
  </si>
  <si>
    <t>ZN6 Rear Fender Arches</t>
  </si>
  <si>
    <t>ZN Rear Diffuser</t>
  </si>
  <si>
    <t>ZN Front Bumper</t>
  </si>
  <si>
    <t>ZN Side Skirts</t>
  </si>
  <si>
    <t>ZN Front Lip</t>
  </si>
  <si>
    <t>N Spec Rear Bumper</t>
  </si>
  <si>
    <t>A1 Front Lip</t>
  </si>
  <si>
    <t>A3 Front Lip</t>
  </si>
  <si>
    <t>A2 Front Lip</t>
  </si>
  <si>
    <t>OEM-Style Carbon Fiber Door Sills</t>
  </si>
  <si>
    <t>Shift Frame Cover</t>
  </si>
  <si>
    <t>AE Fenders</t>
  </si>
  <si>
    <t>GFB Spatz (2pcs)</t>
  </si>
  <si>
    <t>GFB Skirt Extensions (2pcs)</t>
  </si>
  <si>
    <t>GFB Widebody Fender Seals (4pcs)</t>
  </si>
  <si>
    <t>Fender Seals</t>
  </si>
  <si>
    <t>GFB Splitter with Undertray</t>
  </si>
  <si>
    <t>GFB Front Bumper</t>
  </si>
  <si>
    <t>GFB Front Fender</t>
  </si>
  <si>
    <t>GFB Skirts (2pcs)</t>
  </si>
  <si>
    <t>VARIS Diffuser</t>
  </si>
  <si>
    <t>VARIS Front Fenders</t>
  </si>
  <si>
    <t>VARIS Rear Bumper</t>
  </si>
  <si>
    <t>VARIS Spatz</t>
  </si>
  <si>
    <t>VARIS Arising II Rear Diffuser</t>
  </si>
  <si>
    <t>VARIS Lip</t>
  </si>
  <si>
    <t>VARIS Side Skirts</t>
  </si>
  <si>
    <t>Intake Manifold Cover</t>
  </si>
  <si>
    <t>+30mm Front Fender</t>
  </si>
  <si>
    <t>Note: Cells highlighted in Light Green are organically merged HOODS/ACC from Green Active CSV</t>
  </si>
  <si>
    <t>Evo 10</t>
  </si>
  <si>
    <t xml:space="preserve">Door </t>
  </si>
  <si>
    <t>Strut Bar Cover</t>
  </si>
  <si>
    <t>Carbon Fiber Rear Strut Bar Cover - Interior Trim</t>
  </si>
  <si>
    <t xml:space="preserve">Interior Trim </t>
  </si>
  <si>
    <t xml:space="preserve">OEM-Style Carbon Fiber  Sills - Interior Trim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</si>
</sst>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-* #,##0_-;\-* #,##0_-;_-* &quot;-&quot;??_-;_-@"/>
  </numFmts>
  <fonts count="49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FF0000"/>
      <name val="Georgia"/>
      <family val="1"/>
    </font>
    <font>
      <sz val="12"/>
      <color rgb="FF000000"/>
      <name val="Calibri"/>
      <family val="2"/>
    </font>
    <font>
      <b/>
      <sz val="12"/>
      <color rgb="FF000000"/>
      <name val="Georgia"/>
      <family val="1"/>
    </font>
    <font>
      <b/>
      <sz val="12"/>
      <color theme="1"/>
      <name val="Georgia"/>
      <family val="1"/>
    </font>
    <font>
      <sz val="12"/>
      <color rgb="FF000000"/>
      <name val="Georgia"/>
      <family val="1"/>
    </font>
    <font>
      <sz val="12"/>
      <color theme="1"/>
      <name val="Georgia"/>
      <family val="1"/>
    </font>
    <font>
      <b/>
      <sz val="10"/>
      <color rgb="FFFF0000"/>
      <name val="Calibri"/>
      <family val="2"/>
    </font>
    <font>
      <sz val="12"/>
      <color rgb="FF4473C4"/>
      <name val="Calibri"/>
      <family val="2"/>
    </font>
    <font>
      <b/>
      <sz val="12"/>
      <color rgb="FFFF0000"/>
      <name val="Calibri"/>
      <family val="2"/>
    </font>
    <font>
      <b/>
      <sz val="12"/>
      <color rgb="FFFF0000"/>
      <name val="Georgia"/>
      <family val="1"/>
    </font>
    <font>
      <b/>
      <sz val="10"/>
      <color rgb="FF4473C4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0"/>
      <color rgb="FFFF0000"/>
      <name val="Calibri"/>
      <family val="2"/>
    </font>
    <font>
      <b/>
      <i/>
      <sz val="12"/>
      <color rgb="FFFF0000"/>
      <name val="Calibri"/>
      <family val="2"/>
    </font>
    <font>
      <b/>
      <sz val="8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2"/>
      <color rgb="FF000000"/>
      <name val="Calibri"/>
      <family val="2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sz val="12"/>
      <color rgb="FFFF0000"/>
      <name val="Calibri"/>
      <family val="2"/>
    </font>
    <font>
      <b/>
      <i/>
      <sz val="12"/>
      <color rgb="FFFFFFFF"/>
      <name val="Calibri"/>
      <family val="2"/>
    </font>
    <font>
      <b/>
      <sz val="8"/>
      <color rgb="FFFFFFFF"/>
      <name val="Calibri"/>
      <family val="2"/>
    </font>
    <font>
      <b/>
      <sz val="12"/>
      <color rgb="FFFFFFFF"/>
      <name val="Calibri"/>
      <family val="2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Cascadia Code"/>
      <family val="3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0000"/>
      <name val="Calibri"/>
      <family val="2"/>
      <scheme val="minor"/>
    </font>
    <font>
      <b/>
      <i/>
      <sz val="12"/>
      <color rgb="FFFF0000"/>
      <name val="Georgia"/>
      <family val="1"/>
    </font>
    <font>
      <b/>
      <sz val="10"/>
      <color rgb="FF000000"/>
      <name val="Cascadia Code"/>
      <family val="3"/>
    </font>
    <font>
      <i/>
      <sz val="10"/>
      <color rgb="FF000000"/>
      <name val="Georgia"/>
      <family val="1"/>
    </font>
    <font>
      <b/>
      <i/>
      <sz val="10"/>
      <color rgb="FF000000"/>
      <name val="Georgia"/>
      <family val="1"/>
    </font>
    <font>
      <b/>
      <sz val="10"/>
      <color rgb="FF000000"/>
      <name val="Georgia"/>
      <family val="1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i/>
      <sz val="11"/>
      <name val="Calibri"/>
      <family val="2"/>
    </font>
    <font>
      <sz val="10"/>
      <name val="Arial"/>
      <family val="2"/>
    </font>
    <font>
      <b/>
      <sz val="14"/>
      <color rgb="FFFF0000"/>
      <name val="Calibri"/>
      <family val="2"/>
    </font>
    <font>
      <b/>
      <sz val="13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BBBBBB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6"/>
  </cellStyleXfs>
  <cellXfs count="168"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wrapText="1"/>
    </xf>
    <xf numFmtId="0" fontId="10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horizontal="right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3" fillId="2" borderId="0" xfId="0" applyFont="1" applyFill="1" applyBorder="1" applyAlignment="1">
      <alignment horizontal="center" wrapText="1"/>
    </xf>
    <xf numFmtId="8" fontId="14" fillId="2" borderId="0" xfId="0" applyNumberFormat="1" applyFont="1" applyFill="1" applyBorder="1" applyAlignment="1">
      <alignment horizontal="right" wrapText="1"/>
    </xf>
    <xf numFmtId="8" fontId="14" fillId="2" borderId="0" xfId="0" applyNumberFormat="1" applyFont="1" applyFill="1" applyBorder="1" applyAlignment="1">
      <alignment horizontal="right" vertical="center" wrapText="1"/>
    </xf>
    <xf numFmtId="0" fontId="15" fillId="0" borderId="3" xfId="0" applyFont="1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14" fontId="15" fillId="4" borderId="3" xfId="0" applyNumberFormat="1" applyFont="1" applyFill="1" applyBorder="1" applyAlignment="1">
      <alignment horizontal="center" wrapText="1"/>
    </xf>
    <xf numFmtId="14" fontId="15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6" fillId="2" borderId="0" xfId="0" applyFont="1" applyFill="1" applyBorder="1" applyAlignment="1">
      <alignment wrapText="1"/>
    </xf>
    <xf numFmtId="0" fontId="9" fillId="2" borderId="0" xfId="0" applyFont="1" applyFill="1" applyBorder="1" applyAlignment="1">
      <alignment wrapText="1"/>
    </xf>
    <xf numFmtId="0" fontId="2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164" fontId="4" fillId="0" borderId="0" xfId="0" applyNumberFormat="1" applyFont="1" applyBorder="1"/>
    <xf numFmtId="164" fontId="4" fillId="5" borderId="6" xfId="0" applyNumberFormat="1" applyFont="1" applyFill="1"/>
    <xf numFmtId="0" fontId="4" fillId="0" borderId="0" xfId="0" applyFont="1" applyBorder="1"/>
    <xf numFmtId="0" fontId="1" fillId="0" borderId="7" xfId="0" applyFont="1" applyBorder="1"/>
    <xf numFmtId="0" fontId="2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164" fontId="19" fillId="0" borderId="10" xfId="0" applyNumberFormat="1" applyFont="1" applyBorder="1" applyAlignment="1">
      <alignment horizontal="center"/>
    </xf>
    <xf numFmtId="164" fontId="19" fillId="0" borderId="0" xfId="0" applyNumberFormat="1" applyFont="1" applyBorder="1" applyAlignment="1">
      <alignment horizontal="center"/>
    </xf>
    <xf numFmtId="164" fontId="19" fillId="5" borderId="6" xfId="0" applyNumberFormat="1" applyFont="1" applyFill="1" applyAlignment="1">
      <alignment horizontal="center"/>
    </xf>
    <xf numFmtId="0" fontId="22" fillId="0" borderId="11" xfId="0" applyFont="1" applyBorder="1" applyAlignment="1">
      <alignment horizontal="left" vertical="center"/>
    </xf>
    <xf numFmtId="0" fontId="21" fillId="0" borderId="8" xfId="0" applyFont="1" applyBorder="1"/>
    <xf numFmtId="164" fontId="4" fillId="0" borderId="10" xfId="0" applyNumberFormat="1" applyFont="1" applyBorder="1"/>
    <xf numFmtId="0" fontId="22" fillId="0" borderId="12" xfId="0" applyFont="1" applyBorder="1" applyAlignment="1">
      <alignment horizontal="left" vertical="center"/>
    </xf>
    <xf numFmtId="0" fontId="21" fillId="0" borderId="13" xfId="0" applyFont="1" applyBorder="1"/>
    <xf numFmtId="0" fontId="4" fillId="0" borderId="3" xfId="0" applyFont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164" fontId="4" fillId="0" borderId="3" xfId="0" applyNumberFormat="1" applyFont="1" applyBorder="1"/>
    <xf numFmtId="164" fontId="4" fillId="5" borderId="3" xfId="0" applyNumberFormat="1" applyFont="1" applyFill="1" applyBorder="1"/>
    <xf numFmtId="9" fontId="4" fillId="0" borderId="3" xfId="0" applyNumberFormat="1" applyFont="1" applyBorder="1"/>
    <xf numFmtId="0" fontId="4" fillId="0" borderId="3" xfId="0" applyFont="1" applyBorder="1"/>
    <xf numFmtId="0" fontId="23" fillId="0" borderId="0" xfId="0" applyFont="1" applyBorder="1" applyAlignment="1">
      <alignment horizontal="left"/>
    </xf>
    <xf numFmtId="0" fontId="23" fillId="0" borderId="15" xfId="0" applyFont="1" applyBorder="1" applyAlignment="1">
      <alignment horizontal="left"/>
    </xf>
    <xf numFmtId="0" fontId="22" fillId="0" borderId="0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19" fillId="2" borderId="3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left"/>
    </xf>
    <xf numFmtId="164" fontId="4" fillId="2" borderId="3" xfId="0" applyNumberFormat="1" applyFont="1" applyFill="1" applyBorder="1"/>
    <xf numFmtId="0" fontId="18" fillId="0" borderId="17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0" fillId="4" borderId="3" xfId="0" applyFont="1" applyFill="1" applyBorder="1" applyAlignment="1">
      <alignment horizontal="left"/>
    </xf>
    <xf numFmtId="164" fontId="4" fillId="4" borderId="3" xfId="0" applyNumberFormat="1" applyFont="1" applyFill="1" applyBorder="1"/>
    <xf numFmtId="14" fontId="4" fillId="4" borderId="3" xfId="0" applyNumberFormat="1" applyFont="1" applyFill="1" applyBorder="1"/>
    <xf numFmtId="0" fontId="20" fillId="0" borderId="3" xfId="0" quotePrefix="1" applyFont="1" applyBorder="1" applyAlignment="1">
      <alignment horizontal="left"/>
    </xf>
    <xf numFmtId="0" fontId="1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164" fontId="24" fillId="0" borderId="3" xfId="0" applyNumberFormat="1" applyFont="1" applyBorder="1"/>
    <xf numFmtId="164" fontId="24" fillId="5" borderId="3" xfId="0" applyNumberFormat="1" applyFont="1" applyFill="1" applyBorder="1"/>
    <xf numFmtId="9" fontId="24" fillId="0" borderId="3" xfId="0" applyNumberFormat="1" applyFont="1" applyBorder="1"/>
    <xf numFmtId="0" fontId="4" fillId="4" borderId="3" xfId="0" applyFont="1" applyFill="1" applyBorder="1" applyAlignment="1">
      <alignment horizontal="left"/>
    </xf>
    <xf numFmtId="0" fontId="19" fillId="4" borderId="3" xfId="0" applyFont="1" applyFill="1" applyBorder="1" applyAlignment="1">
      <alignment horizontal="left"/>
    </xf>
    <xf numFmtId="14" fontId="4" fillId="0" borderId="3" xfId="0" applyNumberFormat="1" applyFont="1" applyBorder="1"/>
    <xf numFmtId="0" fontId="18" fillId="0" borderId="18" xfId="0" applyFont="1" applyBorder="1" applyAlignment="1">
      <alignment horizontal="left"/>
    </xf>
    <xf numFmtId="164" fontId="4" fillId="6" borderId="3" xfId="0" applyNumberFormat="1" applyFont="1" applyFill="1" applyBorder="1"/>
    <xf numFmtId="0" fontId="21" fillId="0" borderId="19" xfId="0" applyFont="1" applyBorder="1"/>
    <xf numFmtId="0" fontId="25" fillId="0" borderId="13" xfId="0" applyFont="1" applyBorder="1"/>
    <xf numFmtId="0" fontId="26" fillId="0" borderId="0" xfId="0" applyFont="1" applyBorder="1" applyAlignment="1">
      <alignment horizontal="left"/>
    </xf>
    <xf numFmtId="0" fontId="27" fillId="0" borderId="3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11" fillId="2" borderId="3" xfId="0" applyFont="1" applyFill="1" applyBorder="1" applyAlignment="1">
      <alignment horizontal="center" vertical="center"/>
    </xf>
    <xf numFmtId="0" fontId="18" fillId="2" borderId="6" xfId="0" applyFont="1" applyFill="1" applyAlignment="1">
      <alignment horizontal="left"/>
    </xf>
    <xf numFmtId="0" fontId="29" fillId="0" borderId="3" xfId="0" applyFont="1" applyBorder="1" applyAlignment="1">
      <alignment horizontal="left"/>
    </xf>
    <xf numFmtId="164" fontId="14" fillId="0" borderId="3" xfId="0" applyNumberFormat="1" applyFont="1" applyBorder="1"/>
    <xf numFmtId="164" fontId="4" fillId="2" borderId="3" xfId="0" applyNumberFormat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left"/>
    </xf>
    <xf numFmtId="0" fontId="31" fillId="0" borderId="8" xfId="0" applyFont="1" applyBorder="1"/>
    <xf numFmtId="0" fontId="21" fillId="0" borderId="0" xfId="0" applyFont="1" applyBorder="1"/>
    <xf numFmtId="0" fontId="24" fillId="0" borderId="0" xfId="0" applyFont="1" applyBorder="1" applyAlignment="1">
      <alignment horizontal="left"/>
    </xf>
    <xf numFmtId="0" fontId="32" fillId="2" borderId="0" xfId="0" applyFont="1" applyFill="1" applyBorder="1" applyAlignment="1">
      <alignment wrapText="1"/>
    </xf>
    <xf numFmtId="0" fontId="4" fillId="0" borderId="6" xfId="0" applyFont="1" applyAlignment="1">
      <alignment horizontal="center" wrapText="1"/>
    </xf>
    <xf numFmtId="0" fontId="34" fillId="0" borderId="21" xfId="0" applyFont="1" applyBorder="1" applyAlignment="1">
      <alignment vertical="center" wrapText="1" readingOrder="1"/>
    </xf>
    <xf numFmtId="0" fontId="33" fillId="0" borderId="21" xfId="0" applyFont="1" applyBorder="1" applyAlignment="1">
      <alignment vertical="center" wrapText="1" readingOrder="1"/>
    </xf>
    <xf numFmtId="0" fontId="12" fillId="2" borderId="6" xfId="0" applyFont="1" applyFill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wrapText="1"/>
    </xf>
    <xf numFmtId="0" fontId="37" fillId="3" borderId="0" xfId="0" applyFont="1" applyFill="1" applyBorder="1" applyAlignment="1">
      <alignment wrapText="1"/>
    </xf>
    <xf numFmtId="0" fontId="38" fillId="2" borderId="0" xfId="0" applyFont="1" applyFill="1" applyBorder="1" applyAlignment="1">
      <alignment horizontal="center" wrapText="1"/>
    </xf>
    <xf numFmtId="0" fontId="38" fillId="3" borderId="0" xfId="0" applyFont="1" applyFill="1" applyBorder="1" applyAlignment="1">
      <alignment horizontal="center" wrapText="1"/>
    </xf>
    <xf numFmtId="0" fontId="39" fillId="3" borderId="0" xfId="0" applyFont="1" applyFill="1" applyBorder="1" applyAlignment="1">
      <alignment horizontal="center" wrapText="1"/>
    </xf>
    <xf numFmtId="0" fontId="40" fillId="0" borderId="0" xfId="0" applyFont="1" applyBorder="1" applyAlignment="1">
      <alignment horizontal="center" vertical="center" wrapText="1"/>
    </xf>
    <xf numFmtId="0" fontId="41" fillId="2" borderId="0" xfId="0" applyFont="1" applyFill="1" applyBorder="1" applyAlignment="1">
      <alignment wrapText="1"/>
    </xf>
    <xf numFmtId="0" fontId="32" fillId="2" borderId="0" xfId="0" applyFont="1" applyFill="1" applyBorder="1" applyAlignment="1">
      <alignment vertical="center" wrapText="1"/>
    </xf>
    <xf numFmtId="0" fontId="42" fillId="0" borderId="0" xfId="0" applyFont="1" applyBorder="1" applyAlignment="1">
      <alignment vertical="center"/>
    </xf>
    <xf numFmtId="0" fontId="43" fillId="2" borderId="0" xfId="0" applyFont="1" applyFill="1" applyBorder="1" applyAlignment="1">
      <alignment wrapText="1"/>
    </xf>
    <xf numFmtId="0" fontId="38" fillId="3" borderId="0" xfId="0" applyFont="1" applyFill="1" applyBorder="1" applyAlignment="1">
      <alignment horizontal="center" vertical="center" wrapText="1"/>
    </xf>
    <xf numFmtId="0" fontId="39" fillId="3" borderId="0" xfId="0" applyFont="1" applyFill="1" applyBorder="1" applyAlignment="1">
      <alignment horizontal="center" vertical="center" wrapText="1"/>
    </xf>
    <xf numFmtId="6" fontId="37" fillId="2" borderId="0" xfId="0" applyNumberFormat="1" applyFont="1" applyFill="1" applyBorder="1" applyAlignment="1">
      <alignment wrapText="1"/>
    </xf>
    <xf numFmtId="0" fontId="44" fillId="3" borderId="0" xfId="0" applyFont="1" applyFill="1" applyBorder="1" applyAlignment="1">
      <alignment wrapText="1"/>
    </xf>
    <xf numFmtId="3" fontId="37" fillId="2" borderId="0" xfId="0" applyNumberFormat="1" applyFont="1" applyFill="1" applyBorder="1" applyAlignment="1">
      <alignment wrapText="1"/>
    </xf>
    <xf numFmtId="0" fontId="0" fillId="0" borderId="0" xfId="0" applyBorder="1"/>
    <xf numFmtId="0" fontId="36" fillId="0" borderId="6" xfId="0" applyFont="1" applyAlignment="1">
      <alignment horizontal="center" wrapText="1"/>
    </xf>
    <xf numFmtId="0" fontId="0" fillId="0" borderId="20" xfId="0" applyBorder="1"/>
    <xf numFmtId="0" fontId="12" fillId="3" borderId="6" xfId="0" applyFont="1" applyFill="1" applyAlignment="1">
      <alignment horizontal="center" wrapText="1"/>
    </xf>
    <xf numFmtId="0" fontId="0" fillId="0" borderId="16" xfId="0" applyBorder="1"/>
    <xf numFmtId="0" fontId="47" fillId="0" borderId="0" xfId="0" applyFont="1" applyBorder="1"/>
    <xf numFmtId="0" fontId="4" fillId="2" borderId="24" xfId="0" applyFont="1" applyFill="1" applyBorder="1" applyAlignment="1">
      <alignment wrapText="1"/>
    </xf>
    <xf numFmtId="0" fontId="0" fillId="0" borderId="17" xfId="0" applyBorder="1"/>
    <xf numFmtId="0" fontId="0" fillId="0" borderId="24" xfId="0" applyBorder="1"/>
    <xf numFmtId="0" fontId="0" fillId="7" borderId="0" xfId="0" applyFill="1" applyBorder="1"/>
    <xf numFmtId="0" fontId="46" fillId="7" borderId="23" xfId="0" applyFont="1" applyFill="1" applyBorder="1" applyAlignment="1">
      <alignment vertical="center"/>
    </xf>
    <xf numFmtId="0" fontId="48" fillId="0" borderId="0" xfId="0" applyFont="1" applyBorder="1"/>
    <xf numFmtId="0" fontId="45" fillId="0" borderId="0" xfId="0" applyFont="1" applyBorder="1"/>
    <xf numFmtId="0" fontId="42" fillId="0" borderId="0" xfId="0" applyFont="1" applyBorder="1" applyAlignment="1">
      <alignment vertical="center"/>
    </xf>
    <xf numFmtId="0" fontId="0" fillId="0" borderId="0" xfId="0" applyBorder="1"/>
    <xf numFmtId="0" fontId="4" fillId="2" borderId="0" xfId="0" applyFont="1" applyFill="1" applyBorder="1" applyAlignment="1">
      <alignment wrapText="1"/>
    </xf>
    <xf numFmtId="0" fontId="38" fillId="3" borderId="0" xfId="0" applyFont="1" applyFill="1" applyBorder="1" applyAlignment="1">
      <alignment horizontal="center" wrapText="1"/>
    </xf>
    <xf numFmtId="0" fontId="37" fillId="3" borderId="0" xfId="0" applyFont="1" applyFill="1" applyBorder="1" applyAlignment="1">
      <alignment wrapText="1"/>
    </xf>
    <xf numFmtId="0" fontId="32" fillId="2" borderId="0" xfId="0" applyFont="1" applyFill="1" applyBorder="1" applyAlignment="1">
      <alignment wrapText="1"/>
    </xf>
    <xf numFmtId="0" fontId="13" fillId="2" borderId="0" xfId="0" applyFont="1" applyFill="1" applyBorder="1" applyAlignment="1">
      <alignment horizontal="center" wrapText="1"/>
    </xf>
    <xf numFmtId="8" fontId="14" fillId="2" borderId="0" xfId="0" applyNumberFormat="1" applyFont="1" applyFill="1" applyBorder="1" applyAlignment="1">
      <alignment horizontal="right" wrapText="1"/>
    </xf>
    <xf numFmtId="0" fontId="2" fillId="0" borderId="3" xfId="0" applyFont="1" applyBorder="1" applyAlignment="1">
      <alignment horizontal="center" vertical="center"/>
    </xf>
    <xf numFmtId="0" fontId="38" fillId="2" borderId="0" xfId="0" applyFont="1" applyFill="1" applyBorder="1" applyAlignment="1">
      <alignment horizontal="center" wrapText="1"/>
    </xf>
    <xf numFmtId="0" fontId="37" fillId="2" borderId="0" xfId="0" applyFont="1" applyFill="1" applyBorder="1" applyAlignment="1">
      <alignment wrapText="1"/>
    </xf>
    <xf numFmtId="0" fontId="9" fillId="2" borderId="26" xfId="0" applyFont="1" applyFill="1" applyBorder="1" applyAlignment="1">
      <alignment vertical="center" wrapText="1"/>
    </xf>
    <xf numFmtId="0" fontId="0" fillId="0" borderId="27" xfId="0" applyBorder="1"/>
    <xf numFmtId="0" fontId="0" fillId="0" borderId="26" xfId="0" applyBorder="1"/>
    <xf numFmtId="0" fontId="4" fillId="0" borderId="3" xfId="0" applyFont="1" applyBorder="1" applyAlignment="1">
      <alignment horizontal="center" wrapText="1"/>
    </xf>
    <xf numFmtId="0" fontId="4" fillId="2" borderId="24" xfId="0" applyFont="1" applyFill="1" applyBorder="1" applyAlignment="1">
      <alignment wrapText="1"/>
    </xf>
    <xf numFmtId="0" fontId="0" fillId="0" borderId="17" xfId="0" applyBorder="1"/>
    <xf numFmtId="0" fontId="0" fillId="0" borderId="24" xfId="0" applyBorder="1"/>
    <xf numFmtId="0" fontId="10" fillId="2" borderId="0" xfId="0" applyFont="1" applyFill="1" applyBorder="1" applyAlignment="1">
      <alignment wrapText="1"/>
    </xf>
    <xf numFmtId="0" fontId="3" fillId="0" borderId="6" xfId="0" applyFont="1" applyAlignment="1">
      <alignment horizontal="center" wrapText="1"/>
    </xf>
    <xf numFmtId="0" fontId="1" fillId="0" borderId="6" xfId="0" applyFont="1" applyAlignment="1">
      <alignment horizontal="center" vertical="center"/>
    </xf>
    <xf numFmtId="0" fontId="12" fillId="3" borderId="6" xfId="0" applyFont="1" applyFill="1" applyAlignment="1">
      <alignment horizontal="center" wrapText="1"/>
    </xf>
    <xf numFmtId="0" fontId="12" fillId="2" borderId="6" xfId="0" applyFont="1" applyFill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0" fillId="0" borderId="20" xfId="0" applyBorder="1"/>
    <xf numFmtId="0" fontId="36" fillId="0" borderId="6" xfId="0" applyFont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0" fillId="0" borderId="16" xfId="0" applyBorder="1"/>
    <xf numFmtId="0" fontId="0" fillId="0" borderId="14" xfId="0" applyBorder="1"/>
    <xf numFmtId="0" fontId="35" fillId="0" borderId="22" xfId="0" applyFont="1" applyBorder="1" applyAlignment="1">
      <alignment horizontal="center" vertical="center"/>
    </xf>
    <xf numFmtId="0" fontId="0" fillId="0" borderId="22" xfId="0" applyBorder="1"/>
    <xf numFmtId="0" fontId="11" fillId="2" borderId="3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02"/>
  <sheetViews>
    <sheetView topLeftCell="A1667" zoomScale="85" zoomScaleNormal="85" workbookViewId="0">
      <selection activeCell="D1707" sqref="D1707"/>
    </sheetView>
  </sheetViews>
  <sheetFormatPr baseColWidth="10" defaultColWidth="14.5" defaultRowHeight="15" customHeight="1"/>
  <cols>
    <col min="1" max="1" width="7.6640625" style="121" customWidth="1"/>
    <col min="2" max="2" width="13.83203125" style="114" customWidth="1"/>
    <col min="3" max="3" width="23.5" style="114" customWidth="1"/>
    <col min="4" max="4" width="38.1640625" style="114" customWidth="1"/>
    <col min="5" max="5" width="12.33203125" style="121" customWidth="1"/>
    <col min="6" max="6" width="11" style="121" customWidth="1"/>
    <col min="7" max="7" width="13.6640625" style="121" hidden="1" customWidth="1"/>
    <col min="8" max="10" width="9" style="121" hidden="1" customWidth="1"/>
    <col min="11" max="27" width="9" style="121" customWidth="1"/>
  </cols>
  <sheetData>
    <row r="1" spans="1:27" ht="119.25" customHeight="1" thickBot="1">
      <c r="A1" s="154"/>
      <c r="B1" s="134"/>
      <c r="C1" s="134"/>
      <c r="D1" s="134"/>
      <c r="E1" s="135"/>
      <c r="F1" s="135"/>
      <c r="G1" s="135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0.75" customHeight="1" thickBot="1">
      <c r="A2" s="153" t="s">
        <v>0</v>
      </c>
      <c r="B2" s="134"/>
      <c r="C2" s="134"/>
      <c r="D2" s="134"/>
      <c r="E2" s="135"/>
      <c r="F2" s="135"/>
      <c r="G2" s="3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.75" customHeight="1" thickBot="1">
      <c r="A3" s="153" t="s">
        <v>1</v>
      </c>
      <c r="B3" s="134"/>
      <c r="C3" s="134"/>
      <c r="D3" s="134"/>
      <c r="E3" s="135"/>
      <c r="F3" s="135"/>
      <c r="G3" s="101"/>
      <c r="H3" s="22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67" customHeight="1" thickBot="1">
      <c r="A4" s="159" t="s">
        <v>2</v>
      </c>
      <c r="B4" s="134"/>
      <c r="C4" s="134"/>
      <c r="D4" s="134"/>
      <c r="E4" s="135"/>
      <c r="F4" s="135"/>
      <c r="G4" s="101"/>
      <c r="H4" s="22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3" customHeight="1" thickBot="1">
      <c r="A5" s="5"/>
      <c r="B5" s="111" t="s">
        <v>3</v>
      </c>
      <c r="C5" s="111" t="s">
        <v>4</v>
      </c>
      <c r="D5" s="111" t="s">
        <v>5</v>
      </c>
      <c r="E5" s="6" t="s">
        <v>6</v>
      </c>
      <c r="F5" s="5" t="s">
        <v>7</v>
      </c>
      <c r="G5" s="7" t="s">
        <v>8</v>
      </c>
      <c r="H5" s="8"/>
      <c r="I5" s="9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7.25" customHeight="1" thickBot="1">
      <c r="A6" s="11"/>
      <c r="B6" s="108"/>
      <c r="C6" s="115"/>
      <c r="D6" s="112"/>
      <c r="E6" s="13"/>
      <c r="F6" s="14"/>
      <c r="G6" s="15"/>
      <c r="H6" s="16"/>
      <c r="I6" s="16"/>
      <c r="J6" s="1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7.25" customHeight="1" thickBot="1">
      <c r="A7" s="156" t="s">
        <v>9</v>
      </c>
      <c r="B7" s="134"/>
      <c r="C7" s="134"/>
      <c r="D7" s="134"/>
      <c r="E7" s="135"/>
      <c r="F7" s="135"/>
      <c r="G7" s="135"/>
      <c r="H7" s="16"/>
      <c r="I7" s="16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7.5" customHeight="1" thickBot="1">
      <c r="A8" s="12"/>
      <c r="B8" s="109" t="s">
        <v>10</v>
      </c>
      <c r="C8" s="107" t="s">
        <v>11</v>
      </c>
      <c r="D8" s="100" t="s">
        <v>12</v>
      </c>
      <c r="E8" s="17">
        <v>1396</v>
      </c>
      <c r="F8" s="18">
        <v>1895</v>
      </c>
      <c r="G8" s="20" t="s">
        <v>13</v>
      </c>
      <c r="H8" s="21"/>
      <c r="I8" s="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thickBot="1">
      <c r="A9" s="12"/>
      <c r="B9" s="108"/>
      <c r="C9" s="115"/>
      <c r="D9" s="100" t="s">
        <v>14</v>
      </c>
      <c r="E9" s="17">
        <v>1397</v>
      </c>
      <c r="F9" s="18">
        <v>1595</v>
      </c>
      <c r="G9" s="20" t="s">
        <v>13</v>
      </c>
      <c r="H9" s="21"/>
      <c r="I9" s="4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" customHeight="1" thickBot="1">
      <c r="A10" s="156" t="s">
        <v>15</v>
      </c>
      <c r="B10" s="134"/>
      <c r="C10" s="134"/>
      <c r="D10" s="134"/>
      <c r="E10" s="135"/>
      <c r="F10" s="135"/>
      <c r="G10" s="135"/>
      <c r="H10" s="16"/>
      <c r="I10" s="4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.5" customHeight="1" thickBot="1">
      <c r="A11" s="12"/>
      <c r="B11" s="109" t="s">
        <v>16</v>
      </c>
      <c r="C11" s="107" t="s">
        <v>17</v>
      </c>
      <c r="D11" s="100" t="s">
        <v>18</v>
      </c>
      <c r="E11" s="17">
        <v>142</v>
      </c>
      <c r="F11" s="18">
        <v>1195</v>
      </c>
      <c r="G11" s="20" t="s">
        <v>13</v>
      </c>
      <c r="H11" s="21"/>
      <c r="I11" s="4"/>
      <c r="J11" s="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.5" customHeight="1" thickBot="1">
      <c r="A12" s="12"/>
      <c r="B12" s="109">
        <v>99</v>
      </c>
      <c r="C12" s="107" t="s">
        <v>19</v>
      </c>
      <c r="D12" s="100" t="s">
        <v>20</v>
      </c>
      <c r="E12" s="17">
        <v>143</v>
      </c>
      <c r="F12" s="18">
        <v>1095</v>
      </c>
      <c r="G12" s="20" t="s">
        <v>21</v>
      </c>
      <c r="H12" s="22"/>
      <c r="I12" s="4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.5" customHeight="1" thickBot="1">
      <c r="A13" s="12"/>
      <c r="B13" s="108"/>
      <c r="C13" s="115"/>
      <c r="D13" s="100" t="s">
        <v>14</v>
      </c>
      <c r="E13" s="17">
        <v>144</v>
      </c>
      <c r="F13" s="18">
        <v>735</v>
      </c>
      <c r="G13" s="20" t="s">
        <v>21</v>
      </c>
      <c r="H13" s="21"/>
      <c r="I13" s="4"/>
      <c r="J13" s="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.5" customHeight="1" thickBot="1">
      <c r="A14" s="12"/>
      <c r="B14" s="108"/>
      <c r="C14" s="115"/>
      <c r="D14" s="100" t="s">
        <v>22</v>
      </c>
      <c r="E14" s="17">
        <v>145</v>
      </c>
      <c r="F14" s="18">
        <v>425</v>
      </c>
      <c r="G14" s="20" t="s">
        <v>23</v>
      </c>
      <c r="H14" s="22"/>
      <c r="I14" s="4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.5" customHeight="1" thickBot="1">
      <c r="A15" s="12"/>
      <c r="B15" s="109" t="s">
        <v>24</v>
      </c>
      <c r="C15" s="107" t="s">
        <v>25</v>
      </c>
      <c r="D15" s="100" t="s">
        <v>26</v>
      </c>
      <c r="E15" s="17">
        <v>1766</v>
      </c>
      <c r="F15" s="18">
        <v>2795</v>
      </c>
      <c r="G15" s="20" t="s">
        <v>23</v>
      </c>
      <c r="H15" s="21"/>
      <c r="I15" s="4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.5" customHeight="1" thickBot="1">
      <c r="A16" s="12"/>
      <c r="B16" s="108"/>
      <c r="C16" s="115"/>
      <c r="D16" s="100" t="s">
        <v>27</v>
      </c>
      <c r="E16" s="17">
        <v>1767</v>
      </c>
      <c r="F16" s="18">
        <v>3895</v>
      </c>
      <c r="G16" s="20" t="s">
        <v>28</v>
      </c>
      <c r="H16" s="21"/>
      <c r="I16" s="4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.5" customHeight="1" thickBot="1">
      <c r="A17" s="12"/>
      <c r="B17" s="108"/>
      <c r="C17" s="115"/>
      <c r="D17" s="100" t="s">
        <v>29</v>
      </c>
      <c r="E17" s="17">
        <v>1768</v>
      </c>
      <c r="F17" s="18">
        <v>3895</v>
      </c>
      <c r="G17" s="20" t="s">
        <v>30</v>
      </c>
      <c r="H17" s="21"/>
      <c r="I17" s="4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5" customHeight="1" thickBot="1">
      <c r="A18" s="12"/>
      <c r="B18" s="108"/>
      <c r="C18" s="115"/>
      <c r="D18" s="100" t="s">
        <v>29</v>
      </c>
      <c r="E18" s="17" t="s">
        <v>31</v>
      </c>
      <c r="F18" s="18">
        <v>3895</v>
      </c>
      <c r="G18" s="20" t="s">
        <v>32</v>
      </c>
      <c r="H18" s="21"/>
      <c r="I18" s="4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5" customHeight="1" thickBot="1">
      <c r="A19" s="12"/>
      <c r="B19" s="108"/>
      <c r="C19" s="115"/>
      <c r="D19" s="100" t="s">
        <v>33</v>
      </c>
      <c r="E19" s="13"/>
      <c r="F19" s="18">
        <v>1095</v>
      </c>
      <c r="G19" s="20" t="s">
        <v>32</v>
      </c>
      <c r="H19" s="21"/>
      <c r="I19" s="4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5" customHeight="1" thickBot="1">
      <c r="A20" s="12"/>
      <c r="B20" s="108"/>
      <c r="C20" s="115"/>
      <c r="D20" s="100" t="s">
        <v>34</v>
      </c>
      <c r="E20" s="17">
        <v>1281</v>
      </c>
      <c r="F20" s="18">
        <v>4295</v>
      </c>
      <c r="G20" s="20" t="s">
        <v>35</v>
      </c>
      <c r="H20" s="21"/>
      <c r="I20" s="4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" customHeight="1" thickBot="1">
      <c r="A21" s="12"/>
      <c r="B21" s="108"/>
      <c r="C21" s="115"/>
      <c r="D21" s="113" t="s">
        <v>36</v>
      </c>
      <c r="E21" s="17">
        <v>1769</v>
      </c>
      <c r="F21" s="18">
        <v>995</v>
      </c>
      <c r="G21" s="20" t="s">
        <v>35</v>
      </c>
      <c r="H21" s="21"/>
      <c r="I21" s="4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0.5" customHeight="1" thickBot="1">
      <c r="A22" s="12"/>
      <c r="B22" s="109" t="s">
        <v>24</v>
      </c>
      <c r="C22" s="107" t="s">
        <v>37</v>
      </c>
      <c r="D22" s="100" t="s">
        <v>38</v>
      </c>
      <c r="E22" s="17">
        <v>3259</v>
      </c>
      <c r="F22" s="18">
        <v>795</v>
      </c>
      <c r="G22" s="20" t="s">
        <v>39</v>
      </c>
      <c r="H22" s="21"/>
      <c r="I22" s="4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0.25" customHeight="1" thickBot="1">
      <c r="A23" s="12"/>
      <c r="B23" s="109" t="s">
        <v>24</v>
      </c>
      <c r="C23" s="107" t="s">
        <v>40</v>
      </c>
      <c r="D23" s="100"/>
      <c r="E23" s="13"/>
      <c r="F23" s="18">
        <v>4995</v>
      </c>
      <c r="G23" s="20" t="s">
        <v>41</v>
      </c>
      <c r="H23" s="22"/>
      <c r="I23" s="4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.5" customHeight="1" thickBot="1">
      <c r="A24" s="12"/>
      <c r="B24" s="109" t="s">
        <v>42</v>
      </c>
      <c r="C24" s="107" t="s">
        <v>43</v>
      </c>
      <c r="D24" s="100" t="s">
        <v>18</v>
      </c>
      <c r="E24" s="17">
        <v>2311</v>
      </c>
      <c r="F24" s="18">
        <v>1595</v>
      </c>
      <c r="G24" s="23"/>
      <c r="H24" s="22"/>
      <c r="I24" s="4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.5" customHeight="1" thickBot="1">
      <c r="A25" s="12"/>
      <c r="B25" s="108"/>
      <c r="C25" s="106"/>
      <c r="D25" s="100" t="s">
        <v>18</v>
      </c>
      <c r="E25" s="17">
        <v>2312</v>
      </c>
      <c r="F25" s="18">
        <v>1595</v>
      </c>
      <c r="G25" s="20" t="s">
        <v>44</v>
      </c>
      <c r="H25" s="22"/>
      <c r="I25" s="4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6.5" customHeight="1" thickBot="1">
      <c r="A26" s="12"/>
      <c r="B26" s="116" t="s">
        <v>45</v>
      </c>
      <c r="C26" s="107" t="s">
        <v>46</v>
      </c>
      <c r="D26" s="100" t="s">
        <v>18</v>
      </c>
      <c r="E26" s="17">
        <v>2365</v>
      </c>
      <c r="F26" s="18">
        <v>1195</v>
      </c>
      <c r="G26" s="23"/>
      <c r="H26" s="22"/>
      <c r="I26" s="4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.5" customHeight="1" thickBot="1">
      <c r="A27" s="12"/>
      <c r="B27" s="108"/>
      <c r="C27" s="115"/>
      <c r="D27" s="100" t="s">
        <v>20</v>
      </c>
      <c r="E27" s="17">
        <v>2366</v>
      </c>
      <c r="F27" s="18">
        <v>1095</v>
      </c>
      <c r="G27" s="20" t="s">
        <v>47</v>
      </c>
      <c r="H27" s="22"/>
      <c r="I27" s="4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.5" customHeight="1" thickBot="1">
      <c r="A28" s="12"/>
      <c r="B28" s="108"/>
      <c r="C28" s="115"/>
      <c r="D28" s="100" t="s">
        <v>14</v>
      </c>
      <c r="E28" s="17">
        <v>23667</v>
      </c>
      <c r="F28" s="18">
        <v>735</v>
      </c>
      <c r="G28" s="23"/>
      <c r="H28" s="22"/>
      <c r="I28" s="4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5" customHeight="1" thickBot="1">
      <c r="A29" s="12"/>
      <c r="B29" s="108"/>
      <c r="C29" s="115"/>
      <c r="D29" s="100" t="s">
        <v>22</v>
      </c>
      <c r="E29" s="17">
        <v>2368</v>
      </c>
      <c r="F29" s="18">
        <v>425</v>
      </c>
      <c r="G29" s="20" t="s">
        <v>48</v>
      </c>
      <c r="H29" s="22"/>
      <c r="I29" s="4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5" customHeight="1" thickBot="1">
      <c r="A30" s="12"/>
      <c r="B30" s="109" t="s">
        <v>49</v>
      </c>
      <c r="C30" s="107" t="s">
        <v>50</v>
      </c>
      <c r="D30" s="100" t="s">
        <v>18</v>
      </c>
      <c r="E30" s="17">
        <v>3127</v>
      </c>
      <c r="F30" s="18">
        <v>1595</v>
      </c>
      <c r="G30" s="20" t="s">
        <v>48</v>
      </c>
      <c r="H30" s="22"/>
      <c r="I30" s="4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5" customHeight="1" thickBot="1">
      <c r="A31" s="12"/>
      <c r="B31" s="109" t="s">
        <v>51</v>
      </c>
      <c r="C31" s="107"/>
      <c r="D31" s="100" t="s">
        <v>20</v>
      </c>
      <c r="E31" s="17">
        <v>3128</v>
      </c>
      <c r="F31" s="18">
        <v>1595</v>
      </c>
      <c r="G31" s="20" t="s">
        <v>48</v>
      </c>
      <c r="H31" s="22"/>
      <c r="I31" s="4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5" customHeight="1" thickBot="1">
      <c r="A32" s="12"/>
      <c r="B32" s="108"/>
      <c r="C32" s="106"/>
      <c r="D32" s="100" t="s">
        <v>14</v>
      </c>
      <c r="E32" s="17">
        <v>3129</v>
      </c>
      <c r="F32" s="18">
        <v>1595</v>
      </c>
      <c r="G32" s="20" t="s">
        <v>52</v>
      </c>
      <c r="H32" s="22"/>
      <c r="I32" s="4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5" customHeight="1" thickBot="1">
      <c r="A33" s="12"/>
      <c r="B33" s="108"/>
      <c r="C33" s="106"/>
      <c r="D33" s="100" t="s">
        <v>53</v>
      </c>
      <c r="E33" s="17">
        <v>3130</v>
      </c>
      <c r="F33" s="18">
        <v>425</v>
      </c>
      <c r="G33" s="23"/>
      <c r="H33" s="22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5" customHeight="1" thickBot="1">
      <c r="A34" s="12"/>
      <c r="B34" s="108"/>
      <c r="C34" s="106"/>
      <c r="D34" s="100" t="s">
        <v>54</v>
      </c>
      <c r="E34" s="17">
        <v>3131</v>
      </c>
      <c r="F34" s="18">
        <v>295</v>
      </c>
      <c r="G34" s="23"/>
      <c r="H34" s="22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5" customHeight="1" thickBot="1">
      <c r="A35" s="12"/>
      <c r="B35" s="108"/>
      <c r="C35" s="106"/>
      <c r="D35" s="100" t="s">
        <v>55</v>
      </c>
      <c r="E35" s="17">
        <v>3132</v>
      </c>
      <c r="F35" s="18">
        <v>1295</v>
      </c>
      <c r="G35" s="23"/>
      <c r="H35" s="22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5" customHeight="1" thickBot="1">
      <c r="A36" s="12"/>
      <c r="B36" s="109" t="s">
        <v>56</v>
      </c>
      <c r="C36" s="107" t="s">
        <v>57</v>
      </c>
      <c r="D36" s="100" t="s">
        <v>18</v>
      </c>
      <c r="E36" s="17">
        <v>3081</v>
      </c>
      <c r="F36" s="18">
        <v>1895</v>
      </c>
      <c r="G36" s="20" t="s">
        <v>58</v>
      </c>
      <c r="H36" s="22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5" customHeight="1" thickBot="1">
      <c r="A37" s="12"/>
      <c r="B37" s="108"/>
      <c r="C37" s="106"/>
      <c r="D37" s="100" t="s">
        <v>20</v>
      </c>
      <c r="E37" s="17">
        <v>3082</v>
      </c>
      <c r="F37" s="18">
        <v>1895</v>
      </c>
      <c r="G37" s="20" t="s">
        <v>59</v>
      </c>
      <c r="H37" s="22"/>
      <c r="I37" s="4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5" customHeight="1" thickBot="1">
      <c r="A38" s="12"/>
      <c r="B38" s="108"/>
      <c r="C38" s="106"/>
      <c r="D38" s="100" t="s">
        <v>14</v>
      </c>
      <c r="E38" s="17">
        <v>3083</v>
      </c>
      <c r="F38" s="18">
        <v>1595</v>
      </c>
      <c r="G38" s="23"/>
      <c r="H38" s="22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5" customHeight="1" thickBot="1">
      <c r="A39" s="12"/>
      <c r="B39" s="108"/>
      <c r="C39" s="106"/>
      <c r="D39" s="100" t="s">
        <v>60</v>
      </c>
      <c r="E39" s="17">
        <v>3084</v>
      </c>
      <c r="F39" s="18">
        <v>795</v>
      </c>
      <c r="G39" s="23"/>
      <c r="H39" s="22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5" customHeight="1" thickBot="1">
      <c r="A40" s="12"/>
      <c r="B40" s="108"/>
      <c r="C40" s="106"/>
      <c r="D40" s="100" t="s">
        <v>61</v>
      </c>
      <c r="E40" s="17">
        <v>3085</v>
      </c>
      <c r="F40" s="18">
        <v>795</v>
      </c>
      <c r="G40" s="20" t="s">
        <v>48</v>
      </c>
      <c r="H40" s="22"/>
      <c r="I40" s="4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5" customHeight="1" thickBot="1">
      <c r="A41" s="12"/>
      <c r="B41" s="108"/>
      <c r="C41" s="106"/>
      <c r="D41" s="100" t="s">
        <v>33</v>
      </c>
      <c r="E41" s="17">
        <v>3086</v>
      </c>
      <c r="F41" s="18">
        <v>995</v>
      </c>
      <c r="G41" s="20" t="s">
        <v>62</v>
      </c>
      <c r="H41" s="22"/>
      <c r="I41" s="4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5" customHeight="1" thickBot="1">
      <c r="A42" s="12"/>
      <c r="B42" s="108"/>
      <c r="C42" s="106"/>
      <c r="D42" s="100" t="s">
        <v>63</v>
      </c>
      <c r="E42" s="17">
        <v>3087</v>
      </c>
      <c r="F42" s="18">
        <v>1295</v>
      </c>
      <c r="G42" s="20" t="s">
        <v>47</v>
      </c>
      <c r="H42" s="22"/>
      <c r="I42" s="4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5" customHeight="1" thickBot="1">
      <c r="A43" s="12"/>
      <c r="B43" s="108"/>
      <c r="C43" s="106"/>
      <c r="D43" s="100" t="s">
        <v>29</v>
      </c>
      <c r="E43" s="17">
        <v>3088</v>
      </c>
      <c r="F43" s="18">
        <v>1295</v>
      </c>
      <c r="G43" s="20" t="s">
        <v>64</v>
      </c>
      <c r="H43" s="22"/>
      <c r="I43" s="4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5" customHeight="1" thickBot="1">
      <c r="A44" s="12"/>
      <c r="B44" s="108"/>
      <c r="C44" s="106"/>
      <c r="D44" s="100" t="s">
        <v>65</v>
      </c>
      <c r="E44" s="17">
        <v>3089</v>
      </c>
      <c r="F44" s="18">
        <v>1795</v>
      </c>
      <c r="G44" s="20" t="s">
        <v>64</v>
      </c>
      <c r="H44" s="22"/>
      <c r="I44" s="4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" customHeight="1" thickBot="1">
      <c r="A45" s="156" t="s">
        <v>66</v>
      </c>
      <c r="B45" s="134"/>
      <c r="C45" s="134"/>
      <c r="D45" s="134"/>
      <c r="E45" s="135"/>
      <c r="F45" s="135"/>
      <c r="G45" s="135"/>
      <c r="H45" s="4"/>
      <c r="I45" s="4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5" customHeight="1" thickBot="1">
      <c r="A46" s="12"/>
      <c r="B46" s="109" t="s">
        <v>67</v>
      </c>
      <c r="C46" s="107" t="s">
        <v>68</v>
      </c>
      <c r="D46" s="100" t="s">
        <v>18</v>
      </c>
      <c r="E46" s="17">
        <v>191</v>
      </c>
      <c r="F46" s="18">
        <v>720</v>
      </c>
      <c r="G46" s="20" t="s">
        <v>21</v>
      </c>
      <c r="H46" s="22"/>
      <c r="I46" s="4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5" customHeight="1" thickBot="1">
      <c r="A47" s="12"/>
      <c r="B47" s="109" t="s">
        <v>69</v>
      </c>
      <c r="C47" s="107" t="s">
        <v>70</v>
      </c>
      <c r="D47" s="100" t="s">
        <v>20</v>
      </c>
      <c r="E47" s="17">
        <v>192</v>
      </c>
      <c r="F47" s="18">
        <v>1095</v>
      </c>
      <c r="G47" s="20" t="s">
        <v>71</v>
      </c>
      <c r="H47" s="22"/>
      <c r="I47" s="4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5" customHeight="1" thickBot="1">
      <c r="A48" s="12"/>
      <c r="B48" s="108"/>
      <c r="C48" s="106"/>
      <c r="D48" s="100" t="s">
        <v>14</v>
      </c>
      <c r="E48" s="17">
        <v>193</v>
      </c>
      <c r="F48" s="18">
        <v>445</v>
      </c>
      <c r="G48" s="20" t="s">
        <v>71</v>
      </c>
      <c r="H48" s="22"/>
      <c r="I48" s="4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5" customHeight="1" thickBot="1">
      <c r="A49" s="12"/>
      <c r="B49" s="108"/>
      <c r="C49" s="107" t="s">
        <v>72</v>
      </c>
      <c r="D49" s="100" t="s">
        <v>18</v>
      </c>
      <c r="E49" s="17">
        <v>194</v>
      </c>
      <c r="F49" s="18">
        <v>720</v>
      </c>
      <c r="G49" s="20" t="s">
        <v>73</v>
      </c>
      <c r="H49" s="22"/>
      <c r="I49" s="4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5" customHeight="1" thickBot="1">
      <c r="A50" s="12"/>
      <c r="B50" s="108"/>
      <c r="C50" s="107" t="s">
        <v>70</v>
      </c>
      <c r="D50" s="100" t="s">
        <v>20</v>
      </c>
      <c r="E50" s="17">
        <v>195</v>
      </c>
      <c r="F50" s="18">
        <v>1095</v>
      </c>
      <c r="G50" s="20" t="s">
        <v>73</v>
      </c>
      <c r="H50" s="22"/>
      <c r="I50" s="4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5" customHeight="1" thickBot="1">
      <c r="A51" s="12"/>
      <c r="B51" s="108"/>
      <c r="C51" s="106"/>
      <c r="D51" s="100" t="s">
        <v>74</v>
      </c>
      <c r="E51" s="17">
        <v>196</v>
      </c>
      <c r="F51" s="18">
        <v>382</v>
      </c>
      <c r="G51" s="20" t="s">
        <v>75</v>
      </c>
      <c r="H51" s="22"/>
      <c r="I51" s="4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5" customHeight="1" thickBot="1">
      <c r="A52" s="12"/>
      <c r="B52" s="108"/>
      <c r="C52" s="107" t="s">
        <v>76</v>
      </c>
      <c r="D52" s="100" t="s">
        <v>18</v>
      </c>
      <c r="E52" s="17">
        <v>197</v>
      </c>
      <c r="F52" s="18">
        <v>720</v>
      </c>
      <c r="G52" s="20" t="s">
        <v>77</v>
      </c>
      <c r="H52" s="22"/>
      <c r="I52" s="4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5" customHeight="1" thickBot="1">
      <c r="A53" s="12"/>
      <c r="B53" s="108"/>
      <c r="C53" s="107" t="s">
        <v>78</v>
      </c>
      <c r="D53" s="100" t="s">
        <v>20</v>
      </c>
      <c r="E53" s="17">
        <v>198</v>
      </c>
      <c r="F53" s="18">
        <v>1095</v>
      </c>
      <c r="G53" s="20" t="s">
        <v>75</v>
      </c>
      <c r="H53" s="22"/>
      <c r="I53" s="4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5" customHeight="1" thickBot="1">
      <c r="A54" s="12"/>
      <c r="B54" s="108"/>
      <c r="C54" s="107" t="s">
        <v>79</v>
      </c>
      <c r="D54" s="100" t="s">
        <v>12</v>
      </c>
      <c r="E54" s="17">
        <v>597</v>
      </c>
      <c r="F54" s="18">
        <v>382</v>
      </c>
      <c r="G54" s="20" t="s">
        <v>47</v>
      </c>
      <c r="H54" s="22"/>
      <c r="I54" s="4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 customHeight="1" thickBot="1">
      <c r="A55" s="12"/>
      <c r="B55" s="108"/>
      <c r="C55" s="107" t="s">
        <v>80</v>
      </c>
      <c r="D55" s="100" t="s">
        <v>12</v>
      </c>
      <c r="E55" s="17">
        <v>199</v>
      </c>
      <c r="F55" s="18">
        <v>382</v>
      </c>
      <c r="G55" s="20" t="s">
        <v>47</v>
      </c>
      <c r="H55" s="22"/>
      <c r="I55" s="4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5" customHeight="1" thickBot="1">
      <c r="A56" s="12"/>
      <c r="B56" s="108"/>
      <c r="C56" s="107" t="s">
        <v>81</v>
      </c>
      <c r="D56" s="100" t="s">
        <v>82</v>
      </c>
      <c r="E56" s="17">
        <v>200</v>
      </c>
      <c r="F56" s="18">
        <v>382</v>
      </c>
      <c r="G56" s="20" t="s">
        <v>62</v>
      </c>
      <c r="H56" s="22"/>
      <c r="I56" s="4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5" customHeight="1" thickBot="1">
      <c r="A57" s="12"/>
      <c r="B57" s="108"/>
      <c r="C57" s="107" t="s">
        <v>83</v>
      </c>
      <c r="D57" s="100" t="s">
        <v>18</v>
      </c>
      <c r="E57" s="17">
        <v>1015</v>
      </c>
      <c r="F57" s="18">
        <v>720</v>
      </c>
      <c r="G57" s="20" t="s">
        <v>84</v>
      </c>
      <c r="H57" s="22"/>
      <c r="I57" s="4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5" customHeight="1" thickBot="1">
      <c r="A58" s="12"/>
      <c r="B58" s="108"/>
      <c r="C58" s="107" t="s">
        <v>70</v>
      </c>
      <c r="D58" s="100" t="s">
        <v>20</v>
      </c>
      <c r="E58" s="17">
        <v>1016</v>
      </c>
      <c r="F58" s="18">
        <v>1095</v>
      </c>
      <c r="G58" s="23"/>
      <c r="H58" s="22"/>
      <c r="I58" s="4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5" customHeight="1" thickBot="1">
      <c r="A59" s="12"/>
      <c r="B59" s="108"/>
      <c r="C59" s="106"/>
      <c r="D59" s="100" t="s">
        <v>74</v>
      </c>
      <c r="E59" s="17">
        <v>1017</v>
      </c>
      <c r="F59" s="18">
        <v>382</v>
      </c>
      <c r="G59" s="23"/>
      <c r="H59" s="22"/>
      <c r="I59" s="4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5" customHeight="1" thickBot="1">
      <c r="A60" s="12"/>
      <c r="B60" s="109" t="s">
        <v>85</v>
      </c>
      <c r="C60" s="107" t="s">
        <v>86</v>
      </c>
      <c r="D60" s="100" t="s">
        <v>18</v>
      </c>
      <c r="E60" s="17">
        <v>676</v>
      </c>
      <c r="F60" s="18">
        <v>720</v>
      </c>
      <c r="G60" s="23"/>
      <c r="H60" s="22"/>
      <c r="I60" s="4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 customHeight="1" thickBot="1">
      <c r="A61" s="12"/>
      <c r="B61" s="108"/>
      <c r="C61" s="107" t="s">
        <v>70</v>
      </c>
      <c r="D61" s="100" t="s">
        <v>20</v>
      </c>
      <c r="E61" s="17">
        <v>677</v>
      </c>
      <c r="F61" s="18">
        <v>1095</v>
      </c>
      <c r="G61" s="20" t="s">
        <v>47</v>
      </c>
      <c r="H61" s="22"/>
      <c r="I61" s="4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 customHeight="1" thickBot="1">
      <c r="A62" s="12"/>
      <c r="B62" s="108"/>
      <c r="C62" s="106"/>
      <c r="D62" s="100" t="s">
        <v>14</v>
      </c>
      <c r="E62" s="17">
        <v>678</v>
      </c>
      <c r="F62" s="18">
        <v>509</v>
      </c>
      <c r="G62" s="20" t="s">
        <v>47</v>
      </c>
      <c r="H62" s="22"/>
      <c r="I62" s="4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 customHeight="1" thickBot="1">
      <c r="A63" s="12"/>
      <c r="B63" s="109" t="s">
        <v>87</v>
      </c>
      <c r="C63" s="107" t="s">
        <v>83</v>
      </c>
      <c r="D63" s="100" t="s">
        <v>18</v>
      </c>
      <c r="E63" s="17">
        <v>1402</v>
      </c>
      <c r="F63" s="18">
        <v>764</v>
      </c>
      <c r="G63" s="20" t="s">
        <v>88</v>
      </c>
      <c r="H63" s="22"/>
      <c r="I63" s="4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 customHeight="1" thickBot="1">
      <c r="A64" s="12"/>
      <c r="B64" s="108"/>
      <c r="C64" s="107" t="s">
        <v>89</v>
      </c>
      <c r="D64" s="100" t="s">
        <v>20</v>
      </c>
      <c r="E64" s="17">
        <v>1403</v>
      </c>
      <c r="F64" s="18">
        <v>1195</v>
      </c>
      <c r="G64" s="20" t="s">
        <v>90</v>
      </c>
      <c r="H64" s="22"/>
      <c r="I64" s="4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 customHeight="1" thickBot="1">
      <c r="A65" s="12"/>
      <c r="B65" s="108"/>
      <c r="C65" s="106"/>
      <c r="D65" s="100" t="s">
        <v>14</v>
      </c>
      <c r="E65" s="17">
        <v>1404</v>
      </c>
      <c r="F65" s="18">
        <v>795</v>
      </c>
      <c r="G65" s="20" t="s">
        <v>91</v>
      </c>
      <c r="H65" s="22"/>
      <c r="I65" s="4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 customHeight="1" thickBot="1">
      <c r="A66" s="12"/>
      <c r="B66" s="108"/>
      <c r="C66" s="106"/>
      <c r="D66" s="100" t="s">
        <v>22</v>
      </c>
      <c r="E66" s="17">
        <v>1405</v>
      </c>
      <c r="F66" s="18">
        <v>425</v>
      </c>
      <c r="G66" s="20" t="s">
        <v>90</v>
      </c>
      <c r="H66" s="22"/>
      <c r="I66" s="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 customHeight="1" thickBot="1">
      <c r="A67" s="12"/>
      <c r="B67" s="109" t="s">
        <v>92</v>
      </c>
      <c r="C67" s="106"/>
      <c r="D67" s="100" t="s">
        <v>26</v>
      </c>
      <c r="E67" s="17">
        <v>3124</v>
      </c>
      <c r="F67" s="18">
        <v>1095</v>
      </c>
      <c r="G67" s="20" t="s">
        <v>93</v>
      </c>
      <c r="H67" s="22"/>
      <c r="I67" s="4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 customHeight="1" thickBot="1">
      <c r="A68" s="12"/>
      <c r="B68" s="109">
        <v>2019</v>
      </c>
      <c r="C68" s="106"/>
      <c r="D68" s="100" t="s">
        <v>29</v>
      </c>
      <c r="E68" s="17">
        <v>3125</v>
      </c>
      <c r="F68" s="18">
        <v>1295</v>
      </c>
      <c r="G68" s="23"/>
      <c r="H68" s="22"/>
      <c r="I68" s="4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 customHeight="1" thickBot="1">
      <c r="A69" s="12"/>
      <c r="B69" s="108"/>
      <c r="C69" s="106"/>
      <c r="D69" s="100" t="s">
        <v>94</v>
      </c>
      <c r="E69" s="17">
        <v>3080</v>
      </c>
      <c r="F69" s="18">
        <v>795</v>
      </c>
      <c r="G69" s="20" t="s">
        <v>95</v>
      </c>
      <c r="H69" s="22"/>
      <c r="I69" s="4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 customHeight="1" thickBot="1">
      <c r="A70" s="12"/>
      <c r="B70" s="108"/>
      <c r="C70" s="106"/>
      <c r="D70" s="100" t="s">
        <v>27</v>
      </c>
      <c r="E70" s="17">
        <v>3263</v>
      </c>
      <c r="F70" s="18">
        <v>995</v>
      </c>
      <c r="G70" s="20" t="s">
        <v>96</v>
      </c>
      <c r="H70" s="22"/>
      <c r="I70" s="4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 customHeight="1" thickBot="1">
      <c r="A71" s="12"/>
      <c r="B71" s="108"/>
      <c r="C71" s="106"/>
      <c r="D71" s="100" t="s">
        <v>29</v>
      </c>
      <c r="E71" s="17">
        <v>3264</v>
      </c>
      <c r="F71" s="18">
        <v>1295</v>
      </c>
      <c r="G71" s="23"/>
      <c r="H71" s="22"/>
      <c r="I71" s="4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 customHeight="1" thickBot="1">
      <c r="A72" s="12"/>
      <c r="B72" s="109" t="s">
        <v>97</v>
      </c>
      <c r="C72" s="107" t="s">
        <v>98</v>
      </c>
      <c r="D72" s="100" t="s">
        <v>18</v>
      </c>
      <c r="E72" s="17">
        <v>598</v>
      </c>
      <c r="F72" s="18">
        <v>720</v>
      </c>
      <c r="G72" s="23"/>
      <c r="H72" s="22"/>
      <c r="I72" s="4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 customHeight="1" thickBot="1">
      <c r="A73" s="12"/>
      <c r="B73" s="109" t="s">
        <v>99</v>
      </c>
      <c r="C73" s="107" t="s">
        <v>70</v>
      </c>
      <c r="D73" s="100" t="s">
        <v>20</v>
      </c>
      <c r="E73" s="17">
        <v>599</v>
      </c>
      <c r="F73" s="18">
        <v>720</v>
      </c>
      <c r="G73" s="23"/>
      <c r="H73" s="22"/>
      <c r="I73" s="4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 customHeight="1" thickBot="1">
      <c r="A74" s="12"/>
      <c r="B74" s="108"/>
      <c r="C74" s="106"/>
      <c r="D74" s="100" t="s">
        <v>14</v>
      </c>
      <c r="E74" s="17">
        <v>600</v>
      </c>
      <c r="F74" s="18">
        <v>509</v>
      </c>
      <c r="G74" s="23"/>
      <c r="H74" s="22"/>
      <c r="I74" s="4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 customHeight="1" thickBot="1">
      <c r="A75" s="12"/>
      <c r="B75" s="108"/>
      <c r="C75" s="106"/>
      <c r="D75" s="100" t="s">
        <v>60</v>
      </c>
      <c r="E75" s="17">
        <v>1428</v>
      </c>
      <c r="F75" s="18">
        <v>382</v>
      </c>
      <c r="G75" s="20" t="s">
        <v>100</v>
      </c>
      <c r="H75" s="22"/>
      <c r="I75" s="4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 customHeight="1" thickBot="1">
      <c r="A76" s="12"/>
      <c r="B76" s="109" t="s">
        <v>101</v>
      </c>
      <c r="C76" s="107" t="s">
        <v>102</v>
      </c>
      <c r="D76" s="100" t="s">
        <v>18</v>
      </c>
      <c r="E76" s="17">
        <v>1128</v>
      </c>
      <c r="F76" s="18">
        <v>955</v>
      </c>
      <c r="G76" s="23"/>
      <c r="H76" s="22"/>
      <c r="I76" s="4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 customHeight="1" thickBot="1">
      <c r="A77" s="12"/>
      <c r="B77" s="108"/>
      <c r="C77" s="106"/>
      <c r="D77" s="100" t="s">
        <v>103</v>
      </c>
      <c r="E77" s="17">
        <v>1129</v>
      </c>
      <c r="F77" s="18">
        <v>318</v>
      </c>
      <c r="G77" s="23"/>
      <c r="H77" s="22"/>
      <c r="I77" s="4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 customHeight="1" thickBot="1">
      <c r="A78" s="12"/>
      <c r="B78" s="109" t="s">
        <v>104</v>
      </c>
      <c r="C78" s="107" t="s">
        <v>105</v>
      </c>
      <c r="D78" s="100" t="s">
        <v>18</v>
      </c>
      <c r="E78" s="17">
        <v>3434</v>
      </c>
      <c r="F78" s="18">
        <v>1495</v>
      </c>
      <c r="G78" s="23"/>
      <c r="H78" s="22"/>
      <c r="I78" s="4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 customHeight="1" thickBot="1">
      <c r="A79" s="12"/>
      <c r="B79" s="108"/>
      <c r="C79" s="106"/>
      <c r="D79" s="100" t="s">
        <v>20</v>
      </c>
      <c r="E79" s="17">
        <v>3435</v>
      </c>
      <c r="F79" s="18">
        <v>1395</v>
      </c>
      <c r="G79" s="23"/>
      <c r="H79" s="22"/>
      <c r="I79" s="4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 customHeight="1" thickBot="1">
      <c r="A80" s="12"/>
      <c r="B80" s="108"/>
      <c r="C80" s="106"/>
      <c r="D80" s="100" t="s">
        <v>14</v>
      </c>
      <c r="E80" s="17">
        <v>3436</v>
      </c>
      <c r="F80" s="18">
        <v>895</v>
      </c>
      <c r="G80" s="23"/>
      <c r="H80" s="22"/>
      <c r="I80" s="4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 customHeight="1" thickBot="1">
      <c r="A81" s="12"/>
      <c r="B81" s="108"/>
      <c r="C81" s="106"/>
      <c r="D81" s="100" t="s">
        <v>60</v>
      </c>
      <c r="E81" s="17">
        <v>3437</v>
      </c>
      <c r="F81" s="18">
        <v>795</v>
      </c>
      <c r="G81" s="23"/>
      <c r="H81" s="22"/>
      <c r="I81" s="4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 customHeight="1" thickBot="1">
      <c r="A82" s="12"/>
      <c r="B82" s="108"/>
      <c r="C82" s="106"/>
      <c r="D82" s="100" t="s">
        <v>61</v>
      </c>
      <c r="E82" s="17">
        <v>3438</v>
      </c>
      <c r="F82" s="18">
        <v>795</v>
      </c>
      <c r="G82" s="23"/>
      <c r="H82" s="22"/>
      <c r="I82" s="4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 customHeight="1" thickBot="1">
      <c r="A83" s="12"/>
      <c r="B83" s="108"/>
      <c r="C83" s="106"/>
      <c r="D83" s="100" t="s">
        <v>106</v>
      </c>
      <c r="E83" s="17">
        <v>3439</v>
      </c>
      <c r="F83" s="18">
        <v>295</v>
      </c>
      <c r="G83" s="23"/>
      <c r="H83" s="22"/>
      <c r="I83" s="4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 customHeight="1" thickBot="1">
      <c r="A84" s="12"/>
      <c r="B84" s="108"/>
      <c r="C84" s="106"/>
      <c r="D84" s="100" t="s">
        <v>107</v>
      </c>
      <c r="E84" s="17">
        <v>3440</v>
      </c>
      <c r="F84" s="18">
        <v>1195</v>
      </c>
      <c r="G84" s="23"/>
      <c r="H84" s="22"/>
      <c r="I84" s="4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 customHeight="1" thickBot="1">
      <c r="A85" s="12"/>
      <c r="B85" s="109" t="s">
        <v>108</v>
      </c>
      <c r="C85" s="107" t="s">
        <v>109</v>
      </c>
      <c r="D85" s="100" t="s">
        <v>12</v>
      </c>
      <c r="E85" s="17">
        <v>2330</v>
      </c>
      <c r="F85" s="18">
        <v>1591</v>
      </c>
      <c r="G85" s="23"/>
      <c r="H85" s="22"/>
      <c r="I85" s="4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 customHeight="1" thickBot="1">
      <c r="A86" s="12"/>
      <c r="B86" s="109" t="s">
        <v>110</v>
      </c>
      <c r="C86" s="107" t="s">
        <v>111</v>
      </c>
      <c r="D86" s="100" t="s">
        <v>60</v>
      </c>
      <c r="E86" s="17">
        <v>2331</v>
      </c>
      <c r="F86" s="18">
        <v>764</v>
      </c>
      <c r="G86" s="23"/>
      <c r="H86" s="22"/>
      <c r="I86" s="4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 customHeight="1" thickBot="1">
      <c r="A87" s="12"/>
      <c r="B87" s="108"/>
      <c r="C87" s="106"/>
      <c r="D87" s="100" t="s">
        <v>61</v>
      </c>
      <c r="E87" s="17">
        <v>2332</v>
      </c>
      <c r="F87" s="18">
        <v>764</v>
      </c>
      <c r="G87" s="24">
        <v>43893</v>
      </c>
      <c r="H87" s="22"/>
      <c r="I87" s="4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 customHeight="1" thickBot="1">
      <c r="A88" s="12"/>
      <c r="B88" s="108"/>
      <c r="C88" s="106"/>
      <c r="D88" s="100" t="s">
        <v>14</v>
      </c>
      <c r="E88" s="17">
        <v>2333</v>
      </c>
      <c r="F88" s="18">
        <v>1591</v>
      </c>
      <c r="G88" s="23"/>
      <c r="H88" s="22"/>
      <c r="I88" s="4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 customHeight="1" thickBot="1">
      <c r="A89" s="12"/>
      <c r="B89" s="108"/>
      <c r="C89" s="106"/>
      <c r="D89" s="100" t="s">
        <v>33</v>
      </c>
      <c r="E89" s="17">
        <v>2334</v>
      </c>
      <c r="F89" s="18">
        <v>509</v>
      </c>
      <c r="G89" s="20" t="s">
        <v>112</v>
      </c>
      <c r="H89" s="22"/>
      <c r="I89" s="4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 customHeight="1" thickBot="1">
      <c r="A90" s="12"/>
      <c r="B90" s="108"/>
      <c r="C90" s="106"/>
      <c r="D90" s="100" t="s">
        <v>82</v>
      </c>
      <c r="E90" s="17">
        <v>2335</v>
      </c>
      <c r="F90" s="18">
        <v>509</v>
      </c>
      <c r="G90" s="23"/>
      <c r="H90" s="22"/>
      <c r="I90" s="4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 customHeight="1" thickBot="1">
      <c r="A91" s="12"/>
      <c r="B91" s="109" t="s">
        <v>108</v>
      </c>
      <c r="C91" s="107" t="s">
        <v>113</v>
      </c>
      <c r="D91" s="100" t="s">
        <v>18</v>
      </c>
      <c r="E91" s="17">
        <v>229</v>
      </c>
      <c r="F91" s="18">
        <v>720</v>
      </c>
      <c r="G91" s="23"/>
      <c r="H91" s="22"/>
      <c r="I91" s="4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 customHeight="1" thickBot="1">
      <c r="A92" s="12"/>
      <c r="B92" s="109" t="s">
        <v>114</v>
      </c>
      <c r="C92" s="107" t="s">
        <v>115</v>
      </c>
      <c r="D92" s="100" t="s">
        <v>20</v>
      </c>
      <c r="E92" s="17">
        <v>230</v>
      </c>
      <c r="F92" s="18">
        <v>720</v>
      </c>
      <c r="G92" s="23"/>
      <c r="H92" s="22"/>
      <c r="I92" s="4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 customHeight="1" thickBot="1">
      <c r="A93" s="12"/>
      <c r="B93" s="108"/>
      <c r="C93" s="106"/>
      <c r="D93" s="100" t="s">
        <v>14</v>
      </c>
      <c r="E93" s="17">
        <v>231</v>
      </c>
      <c r="F93" s="18">
        <v>445</v>
      </c>
      <c r="G93" s="23"/>
      <c r="H93" s="22"/>
      <c r="I93" s="4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 customHeight="1" thickBot="1">
      <c r="A94" s="12"/>
      <c r="B94" s="108"/>
      <c r="C94" s="106"/>
      <c r="D94" s="100" t="s">
        <v>22</v>
      </c>
      <c r="E94" s="17">
        <v>232</v>
      </c>
      <c r="F94" s="18">
        <v>191</v>
      </c>
      <c r="G94" s="20" t="s">
        <v>52</v>
      </c>
      <c r="H94" s="22"/>
      <c r="I94" s="4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 customHeight="1" thickBot="1">
      <c r="A95" s="12"/>
      <c r="B95" s="108"/>
      <c r="C95" s="106"/>
      <c r="D95" s="100" t="s">
        <v>12</v>
      </c>
      <c r="E95" s="17">
        <v>233</v>
      </c>
      <c r="F95" s="18">
        <v>382</v>
      </c>
      <c r="G95" s="20" t="s">
        <v>116</v>
      </c>
      <c r="H95" s="22"/>
      <c r="I95" s="4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 customHeight="1" thickBot="1">
      <c r="A96" s="12"/>
      <c r="B96" s="108"/>
      <c r="C96" s="107" t="s">
        <v>117</v>
      </c>
      <c r="D96" s="100" t="s">
        <v>18</v>
      </c>
      <c r="E96" s="17">
        <v>234</v>
      </c>
      <c r="F96" s="18">
        <v>720</v>
      </c>
      <c r="G96" s="20" t="s">
        <v>116</v>
      </c>
      <c r="H96" s="22"/>
      <c r="I96" s="4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 customHeight="1" thickBot="1">
      <c r="A97" s="12"/>
      <c r="B97" s="108"/>
      <c r="C97" s="107" t="s">
        <v>115</v>
      </c>
      <c r="D97" s="100" t="s">
        <v>20</v>
      </c>
      <c r="E97" s="17">
        <v>235</v>
      </c>
      <c r="F97" s="18">
        <v>720</v>
      </c>
      <c r="G97" s="20" t="s">
        <v>118</v>
      </c>
      <c r="H97" s="22"/>
      <c r="I97" s="4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 customHeight="1" thickBot="1">
      <c r="A98" s="12"/>
      <c r="B98" s="108"/>
      <c r="C98" s="106"/>
      <c r="D98" s="100" t="s">
        <v>14</v>
      </c>
      <c r="E98" s="17">
        <v>236</v>
      </c>
      <c r="F98" s="18">
        <v>445</v>
      </c>
      <c r="G98" s="20" t="s">
        <v>47</v>
      </c>
      <c r="H98" s="22"/>
      <c r="I98" s="4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 customHeight="1" thickBot="1">
      <c r="A99" s="12"/>
      <c r="B99" s="108"/>
      <c r="C99" s="106"/>
      <c r="D99" s="100" t="s">
        <v>22</v>
      </c>
      <c r="E99" s="17">
        <v>237</v>
      </c>
      <c r="F99" s="18">
        <v>191</v>
      </c>
      <c r="G99" s="20" t="s">
        <v>116</v>
      </c>
      <c r="H99" s="22"/>
      <c r="I99" s="4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 customHeight="1" thickBot="1">
      <c r="A100" s="12"/>
      <c r="B100" s="108"/>
      <c r="C100" s="106"/>
      <c r="D100" s="100" t="s">
        <v>12</v>
      </c>
      <c r="E100" s="17">
        <v>238</v>
      </c>
      <c r="F100" s="18">
        <v>382</v>
      </c>
      <c r="G100" s="20" t="s">
        <v>116</v>
      </c>
      <c r="H100" s="22"/>
      <c r="I100" s="4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 customHeight="1" thickBot="1">
      <c r="A101" s="12"/>
      <c r="B101" s="108"/>
      <c r="C101" s="107" t="s">
        <v>119</v>
      </c>
      <c r="D101" s="100" t="s">
        <v>18</v>
      </c>
      <c r="E101" s="17">
        <v>239</v>
      </c>
      <c r="F101" s="18">
        <v>720</v>
      </c>
      <c r="G101" s="20" t="s">
        <v>120</v>
      </c>
      <c r="H101" s="22"/>
      <c r="I101" s="4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 customHeight="1" thickBot="1">
      <c r="A102" s="12"/>
      <c r="B102" s="108"/>
      <c r="C102" s="107" t="s">
        <v>89</v>
      </c>
      <c r="D102" s="100" t="s">
        <v>20</v>
      </c>
      <c r="E102" s="17">
        <v>240</v>
      </c>
      <c r="F102" s="18">
        <v>720</v>
      </c>
      <c r="G102" s="20" t="s">
        <v>120</v>
      </c>
      <c r="H102" s="22"/>
      <c r="I102" s="4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 customHeight="1" thickBot="1">
      <c r="A103" s="12"/>
      <c r="B103" s="108"/>
      <c r="C103" s="106"/>
      <c r="D103" s="100" t="s">
        <v>14</v>
      </c>
      <c r="E103" s="17">
        <v>241</v>
      </c>
      <c r="F103" s="18">
        <v>445</v>
      </c>
      <c r="G103" s="20" t="s">
        <v>120</v>
      </c>
      <c r="H103" s="22"/>
      <c r="I103" s="4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 customHeight="1" thickBot="1">
      <c r="A104" s="12"/>
      <c r="B104" s="108"/>
      <c r="C104" s="106"/>
      <c r="D104" s="100" t="s">
        <v>22</v>
      </c>
      <c r="E104" s="17">
        <v>242</v>
      </c>
      <c r="F104" s="18">
        <v>382</v>
      </c>
      <c r="G104" s="20" t="s">
        <v>120</v>
      </c>
      <c r="H104" s="22"/>
      <c r="I104" s="4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 customHeight="1" thickBot="1">
      <c r="A105" s="12"/>
      <c r="B105" s="108"/>
      <c r="C105" s="106"/>
      <c r="D105" s="100" t="s">
        <v>121</v>
      </c>
      <c r="E105" s="17">
        <v>243</v>
      </c>
      <c r="F105" s="18">
        <v>286</v>
      </c>
      <c r="G105" s="20" t="s">
        <v>52</v>
      </c>
      <c r="H105" s="22"/>
      <c r="I105" s="4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 customHeight="1" thickBot="1">
      <c r="A106" s="12"/>
      <c r="B106" s="108"/>
      <c r="C106" s="107" t="s">
        <v>122</v>
      </c>
      <c r="D106" s="100" t="s">
        <v>18</v>
      </c>
      <c r="E106" s="17">
        <v>244</v>
      </c>
      <c r="F106" s="18">
        <v>720</v>
      </c>
      <c r="G106" s="20" t="s">
        <v>52</v>
      </c>
      <c r="H106" s="22"/>
      <c r="I106" s="4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 customHeight="1" thickBot="1">
      <c r="A107" s="12"/>
      <c r="B107" s="108"/>
      <c r="C107" s="107" t="s">
        <v>70</v>
      </c>
      <c r="D107" s="100" t="s">
        <v>20</v>
      </c>
      <c r="E107" s="17">
        <v>245</v>
      </c>
      <c r="F107" s="18">
        <v>720</v>
      </c>
      <c r="G107" s="20" t="s">
        <v>52</v>
      </c>
      <c r="H107" s="22"/>
      <c r="I107" s="4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 customHeight="1" thickBot="1">
      <c r="A108" s="12"/>
      <c r="B108" s="108"/>
      <c r="C108" s="106"/>
      <c r="D108" s="100" t="s">
        <v>14</v>
      </c>
      <c r="E108" s="17">
        <v>246</v>
      </c>
      <c r="F108" s="18">
        <v>445</v>
      </c>
      <c r="G108" s="20" t="s">
        <v>123</v>
      </c>
      <c r="H108" s="22"/>
      <c r="I108" s="4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 customHeight="1" thickBot="1">
      <c r="A109" s="12"/>
      <c r="B109" s="108"/>
      <c r="C109" s="106"/>
      <c r="D109" s="100" t="s">
        <v>124</v>
      </c>
      <c r="E109" s="13"/>
      <c r="F109" s="18">
        <v>382</v>
      </c>
      <c r="G109" s="20" t="s">
        <v>52</v>
      </c>
      <c r="H109" s="22"/>
      <c r="I109" s="4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 customHeight="1" thickBot="1">
      <c r="A110" s="12"/>
      <c r="B110" s="108"/>
      <c r="C110" s="107" t="s">
        <v>125</v>
      </c>
      <c r="D110" s="100" t="s">
        <v>12</v>
      </c>
      <c r="E110" s="17">
        <v>546</v>
      </c>
      <c r="F110" s="18">
        <v>318</v>
      </c>
      <c r="G110" s="20" t="s">
        <v>52</v>
      </c>
      <c r="H110" s="22"/>
      <c r="I110" s="4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 customHeight="1" thickBot="1">
      <c r="A111" s="12"/>
      <c r="B111" s="108"/>
      <c r="C111" s="107" t="s">
        <v>126</v>
      </c>
      <c r="D111" s="100" t="s">
        <v>82</v>
      </c>
      <c r="E111" s="17">
        <v>547</v>
      </c>
      <c r="F111" s="18">
        <v>318</v>
      </c>
      <c r="G111" s="20" t="s">
        <v>52</v>
      </c>
      <c r="H111" s="22"/>
      <c r="I111" s="4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 customHeight="1" thickBot="1">
      <c r="A112" s="12"/>
      <c r="B112" s="108"/>
      <c r="C112" s="106"/>
      <c r="D112" s="100" t="s">
        <v>14</v>
      </c>
      <c r="E112" s="17">
        <v>548</v>
      </c>
      <c r="F112" s="18">
        <v>445</v>
      </c>
      <c r="G112" s="20" t="s">
        <v>116</v>
      </c>
      <c r="H112" s="22"/>
      <c r="I112" s="4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 customHeight="1" thickBot="1">
      <c r="A113" s="12"/>
      <c r="B113" s="108"/>
      <c r="C113" s="106"/>
      <c r="D113" s="100" t="s">
        <v>22</v>
      </c>
      <c r="E113" s="17">
        <v>601</v>
      </c>
      <c r="F113" s="18">
        <v>318</v>
      </c>
      <c r="G113" s="20" t="s">
        <v>116</v>
      </c>
      <c r="H113" s="22"/>
      <c r="I113" s="4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 customHeight="1" thickBot="1">
      <c r="A114" s="12"/>
      <c r="B114" s="108"/>
      <c r="C114" s="106"/>
      <c r="D114" s="100" t="s">
        <v>121</v>
      </c>
      <c r="E114" s="17">
        <v>247</v>
      </c>
      <c r="F114" s="18">
        <v>223</v>
      </c>
      <c r="G114" s="20" t="s">
        <v>116</v>
      </c>
      <c r="H114" s="22"/>
      <c r="I114" s="4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 customHeight="1" thickBot="1">
      <c r="A115" s="12"/>
      <c r="B115" s="108"/>
      <c r="C115" s="107" t="s">
        <v>127</v>
      </c>
      <c r="D115" s="100" t="s">
        <v>12</v>
      </c>
      <c r="E115" s="17">
        <v>248</v>
      </c>
      <c r="F115" s="18">
        <v>382</v>
      </c>
      <c r="G115" s="20" t="s">
        <v>128</v>
      </c>
      <c r="H115" s="22"/>
      <c r="I115" s="4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 customHeight="1" thickBot="1">
      <c r="A116" s="12"/>
      <c r="B116" s="109" t="s">
        <v>108</v>
      </c>
      <c r="C116" s="106"/>
      <c r="D116" s="100" t="s">
        <v>26</v>
      </c>
      <c r="E116" s="17">
        <v>1071</v>
      </c>
      <c r="F116" s="18">
        <v>477</v>
      </c>
      <c r="G116" s="20" t="s">
        <v>129</v>
      </c>
      <c r="H116" s="22"/>
      <c r="I116" s="4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 customHeight="1" thickBot="1">
      <c r="A117" s="12"/>
      <c r="B117" s="109" t="s">
        <v>130</v>
      </c>
      <c r="C117" s="107" t="s">
        <v>131</v>
      </c>
      <c r="D117" s="100" t="s">
        <v>60</v>
      </c>
      <c r="E117" s="17">
        <v>1610</v>
      </c>
      <c r="F117" s="18">
        <v>895</v>
      </c>
      <c r="G117" s="20" t="s">
        <v>129</v>
      </c>
      <c r="H117" s="22"/>
      <c r="I117" s="4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 customHeight="1" thickBot="1">
      <c r="A118" s="12"/>
      <c r="B118" s="109" t="s">
        <v>108</v>
      </c>
      <c r="C118" s="107" t="s">
        <v>131</v>
      </c>
      <c r="D118" s="100" t="s">
        <v>18</v>
      </c>
      <c r="E118" s="17">
        <v>1555</v>
      </c>
      <c r="F118" s="18">
        <v>720</v>
      </c>
      <c r="G118" s="20" t="s">
        <v>132</v>
      </c>
      <c r="H118" s="22"/>
      <c r="I118" s="4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 customHeight="1" thickBot="1">
      <c r="A119" s="12"/>
      <c r="B119" s="109" t="s">
        <v>133</v>
      </c>
      <c r="C119" s="106"/>
      <c r="D119" s="100" t="s">
        <v>20</v>
      </c>
      <c r="E119" s="17">
        <v>1556</v>
      </c>
      <c r="F119" s="18">
        <v>720</v>
      </c>
      <c r="G119" s="20" t="s">
        <v>132</v>
      </c>
      <c r="H119" s="22"/>
      <c r="I119" s="4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 customHeight="1" thickBot="1">
      <c r="A120" s="12"/>
      <c r="B120" s="108"/>
      <c r="C120" s="106"/>
      <c r="D120" s="100" t="s">
        <v>14</v>
      </c>
      <c r="E120" s="17">
        <v>1557</v>
      </c>
      <c r="F120" s="18">
        <v>382</v>
      </c>
      <c r="G120" s="20" t="s">
        <v>132</v>
      </c>
      <c r="H120" s="22"/>
      <c r="I120" s="4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 customHeight="1" thickBot="1">
      <c r="A121" s="12"/>
      <c r="B121" s="108"/>
      <c r="C121" s="106"/>
      <c r="D121" s="100" t="s">
        <v>60</v>
      </c>
      <c r="E121" s="17">
        <v>1558</v>
      </c>
      <c r="F121" s="18">
        <v>895</v>
      </c>
      <c r="G121" s="20" t="s">
        <v>132</v>
      </c>
      <c r="H121" s="22"/>
      <c r="I121" s="4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 customHeight="1" thickBot="1">
      <c r="A122" s="12"/>
      <c r="B122" s="109" t="s">
        <v>134</v>
      </c>
      <c r="C122" s="107" t="s">
        <v>68</v>
      </c>
      <c r="D122" s="100" t="s">
        <v>18</v>
      </c>
      <c r="E122" s="17">
        <v>1559</v>
      </c>
      <c r="F122" s="18">
        <v>1495</v>
      </c>
      <c r="G122" s="20" t="s">
        <v>132</v>
      </c>
      <c r="H122" s="22"/>
      <c r="I122" s="4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 customHeight="1" thickBot="1">
      <c r="A123" s="12"/>
      <c r="B123" s="108"/>
      <c r="C123" s="107" t="s">
        <v>111</v>
      </c>
      <c r="D123" s="100" t="s">
        <v>26</v>
      </c>
      <c r="E123" s="17">
        <v>1563</v>
      </c>
      <c r="F123" s="18">
        <v>895</v>
      </c>
      <c r="G123" s="20" t="s">
        <v>132</v>
      </c>
      <c r="H123" s="22"/>
      <c r="I123" s="4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 customHeight="1" thickBot="1">
      <c r="A124" s="12"/>
      <c r="B124" s="108"/>
      <c r="C124" s="106"/>
      <c r="D124" s="100" t="s">
        <v>20</v>
      </c>
      <c r="E124" s="17">
        <v>1560</v>
      </c>
      <c r="F124" s="18">
        <v>1495</v>
      </c>
      <c r="G124" s="20" t="s">
        <v>59</v>
      </c>
      <c r="H124" s="22"/>
      <c r="I124" s="4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 customHeight="1" thickBot="1">
      <c r="A125" s="12"/>
      <c r="B125" s="108"/>
      <c r="C125" s="106"/>
      <c r="D125" s="100" t="s">
        <v>14</v>
      </c>
      <c r="E125" s="17">
        <v>1561</v>
      </c>
      <c r="F125" s="18">
        <v>995</v>
      </c>
      <c r="G125" s="20" t="s">
        <v>59</v>
      </c>
      <c r="H125" s="22"/>
      <c r="I125" s="4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 customHeight="1" thickBot="1">
      <c r="A126" s="12"/>
      <c r="B126" s="108"/>
      <c r="C126" s="106"/>
      <c r="D126" s="100" t="s">
        <v>60</v>
      </c>
      <c r="E126" s="17">
        <v>1562</v>
      </c>
      <c r="F126" s="18">
        <v>895</v>
      </c>
      <c r="G126" s="20" t="s">
        <v>59</v>
      </c>
      <c r="H126" s="22"/>
      <c r="I126" s="4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 customHeight="1" thickBot="1">
      <c r="A127" s="12"/>
      <c r="B127" s="108"/>
      <c r="C127" s="106"/>
      <c r="D127" s="100" t="s">
        <v>27</v>
      </c>
      <c r="E127" s="17">
        <v>1564</v>
      </c>
      <c r="F127" s="18">
        <v>695</v>
      </c>
      <c r="G127" s="20" t="s">
        <v>59</v>
      </c>
      <c r="H127" s="22"/>
      <c r="I127" s="4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 customHeight="1" thickBot="1">
      <c r="A128" s="12"/>
      <c r="B128" s="108"/>
      <c r="C128" s="106"/>
      <c r="D128" s="100" t="s">
        <v>29</v>
      </c>
      <c r="E128" s="17">
        <v>1565</v>
      </c>
      <c r="F128" s="18">
        <v>995</v>
      </c>
      <c r="G128" s="20" t="s">
        <v>59</v>
      </c>
      <c r="H128" s="22"/>
      <c r="I128" s="4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 customHeight="1" thickBot="1">
      <c r="A129" s="12"/>
      <c r="B129" s="108"/>
      <c r="C129" s="106"/>
      <c r="D129" s="100" t="s">
        <v>22</v>
      </c>
      <c r="E129" s="17">
        <v>1566</v>
      </c>
      <c r="F129" s="18">
        <v>795</v>
      </c>
      <c r="G129" s="20" t="s">
        <v>59</v>
      </c>
      <c r="H129" s="22"/>
      <c r="I129" s="4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 customHeight="1" thickBot="1">
      <c r="A130" s="12"/>
      <c r="B130" s="109" t="s">
        <v>134</v>
      </c>
      <c r="C130" s="106"/>
      <c r="D130" s="100" t="s">
        <v>26</v>
      </c>
      <c r="E130" s="17">
        <v>3511</v>
      </c>
      <c r="F130" s="18">
        <v>795</v>
      </c>
      <c r="G130" s="20" t="s">
        <v>59</v>
      </c>
      <c r="H130" s="22"/>
      <c r="I130" s="4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 customHeight="1" thickBot="1">
      <c r="A131" s="12"/>
      <c r="B131" s="109" t="s">
        <v>135</v>
      </c>
      <c r="C131" s="106"/>
      <c r="D131" s="100" t="s">
        <v>29</v>
      </c>
      <c r="E131" s="17">
        <v>3512</v>
      </c>
      <c r="F131" s="18">
        <v>895</v>
      </c>
      <c r="G131" s="20" t="s">
        <v>59</v>
      </c>
      <c r="H131" s="22"/>
      <c r="I131" s="4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 customHeight="1" thickBot="1">
      <c r="A132" s="12"/>
      <c r="B132" s="108"/>
      <c r="C132" s="106"/>
      <c r="D132" s="100" t="s">
        <v>29</v>
      </c>
      <c r="E132" s="17">
        <v>3513</v>
      </c>
      <c r="F132" s="18">
        <v>895</v>
      </c>
      <c r="G132" s="20" t="s">
        <v>59</v>
      </c>
      <c r="H132" s="22"/>
      <c r="I132" s="4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 customHeight="1" thickBot="1">
      <c r="A133" s="12"/>
      <c r="B133" s="108"/>
      <c r="C133" s="106"/>
      <c r="D133" s="100" t="s">
        <v>27</v>
      </c>
      <c r="E133" s="17">
        <v>3514</v>
      </c>
      <c r="F133" s="18">
        <v>595</v>
      </c>
      <c r="G133" s="20" t="s">
        <v>100</v>
      </c>
      <c r="H133" s="22"/>
      <c r="I133" s="4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 customHeight="1" thickBot="1">
      <c r="A134" s="12"/>
      <c r="B134" s="109" t="s">
        <v>108</v>
      </c>
      <c r="C134" s="107" t="s">
        <v>136</v>
      </c>
      <c r="D134" s="100" t="s">
        <v>18</v>
      </c>
      <c r="E134" s="17">
        <v>1598</v>
      </c>
      <c r="F134" s="18">
        <v>720</v>
      </c>
      <c r="G134" s="20" t="s">
        <v>100</v>
      </c>
      <c r="H134" s="22"/>
      <c r="I134" s="4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 customHeight="1" thickBot="1">
      <c r="A135" s="12"/>
      <c r="B135" s="109" t="s">
        <v>137</v>
      </c>
      <c r="C135" s="106"/>
      <c r="D135" s="100" t="s">
        <v>26</v>
      </c>
      <c r="E135" s="17">
        <v>1599</v>
      </c>
      <c r="F135" s="18">
        <v>445</v>
      </c>
      <c r="G135" s="20" t="s">
        <v>100</v>
      </c>
      <c r="H135" s="22"/>
      <c r="I135" s="4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 customHeight="1" thickBot="1">
      <c r="A136" s="12"/>
      <c r="B136" s="108"/>
      <c r="C136" s="106"/>
      <c r="D136" s="100" t="s">
        <v>20</v>
      </c>
      <c r="E136" s="17">
        <v>1600</v>
      </c>
      <c r="F136" s="18">
        <v>1495</v>
      </c>
      <c r="G136" s="20" t="s">
        <v>100</v>
      </c>
      <c r="H136" s="22"/>
      <c r="I136" s="4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 customHeight="1" thickBot="1">
      <c r="A137" s="12"/>
      <c r="B137" s="108"/>
      <c r="C137" s="106"/>
      <c r="D137" s="100" t="s">
        <v>29</v>
      </c>
      <c r="E137" s="17">
        <v>1601</v>
      </c>
      <c r="F137" s="18">
        <v>895</v>
      </c>
      <c r="G137" s="20" t="s">
        <v>100</v>
      </c>
      <c r="H137" s="22"/>
      <c r="I137" s="4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 customHeight="1" thickBot="1">
      <c r="A138" s="12"/>
      <c r="B138" s="108"/>
      <c r="C138" s="106"/>
      <c r="D138" s="100" t="s">
        <v>138</v>
      </c>
      <c r="E138" s="17" t="s">
        <v>139</v>
      </c>
      <c r="F138" s="18">
        <v>595</v>
      </c>
      <c r="G138" s="20" t="s">
        <v>140</v>
      </c>
      <c r="H138" s="22"/>
      <c r="I138" s="4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 customHeight="1" thickBot="1">
      <c r="A139" s="12"/>
      <c r="B139" s="108"/>
      <c r="C139" s="106"/>
      <c r="D139" s="100" t="s">
        <v>22</v>
      </c>
      <c r="E139" s="17">
        <v>1602</v>
      </c>
      <c r="F139" s="18">
        <v>795</v>
      </c>
      <c r="G139" s="20" t="s">
        <v>141</v>
      </c>
      <c r="H139" s="22"/>
      <c r="I139" s="4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 customHeight="1" thickBot="1">
      <c r="A140" s="12"/>
      <c r="B140" s="109" t="s">
        <v>142</v>
      </c>
      <c r="C140" s="107" t="s">
        <v>143</v>
      </c>
      <c r="D140" s="100" t="s">
        <v>29</v>
      </c>
      <c r="E140" s="17">
        <v>3415</v>
      </c>
      <c r="F140" s="18">
        <v>1695</v>
      </c>
      <c r="G140" s="20" t="s">
        <v>144</v>
      </c>
      <c r="H140" s="22"/>
      <c r="I140" s="4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 customHeight="1" thickBot="1">
      <c r="A141" s="12"/>
      <c r="B141" s="109" t="s">
        <v>145</v>
      </c>
      <c r="C141" s="107" t="s">
        <v>146</v>
      </c>
      <c r="D141" s="100" t="s">
        <v>26</v>
      </c>
      <c r="E141" s="17">
        <v>1237</v>
      </c>
      <c r="F141" s="18">
        <v>764</v>
      </c>
      <c r="G141" s="20" t="s">
        <v>147</v>
      </c>
      <c r="H141" s="22"/>
      <c r="I141" s="4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 customHeight="1" thickBot="1">
      <c r="A142" s="12"/>
      <c r="B142" s="109" t="s">
        <v>148</v>
      </c>
      <c r="C142" s="107" t="s">
        <v>149</v>
      </c>
      <c r="D142" s="100" t="s">
        <v>29</v>
      </c>
      <c r="E142" s="17">
        <v>1238</v>
      </c>
      <c r="F142" s="18">
        <v>636</v>
      </c>
      <c r="G142" s="20" t="s">
        <v>147</v>
      </c>
      <c r="H142" s="22"/>
      <c r="I142" s="4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 customHeight="1" thickBot="1">
      <c r="A143" s="12"/>
      <c r="B143" s="109" t="s">
        <v>148</v>
      </c>
      <c r="C143" s="107" t="s">
        <v>125</v>
      </c>
      <c r="D143" s="100" t="s">
        <v>22</v>
      </c>
      <c r="E143" s="17">
        <v>1239</v>
      </c>
      <c r="F143" s="18">
        <v>255</v>
      </c>
      <c r="G143" s="20" t="s">
        <v>147</v>
      </c>
      <c r="H143" s="22"/>
      <c r="I143" s="4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 customHeight="1" thickBot="1">
      <c r="A144" s="12"/>
      <c r="B144" s="109" t="s">
        <v>148</v>
      </c>
      <c r="C144" s="107" t="s">
        <v>68</v>
      </c>
      <c r="D144" s="100" t="s">
        <v>18</v>
      </c>
      <c r="E144" s="17">
        <v>1286</v>
      </c>
      <c r="F144" s="18">
        <v>720</v>
      </c>
      <c r="G144" s="20" t="s">
        <v>23</v>
      </c>
      <c r="H144" s="22"/>
      <c r="I144" s="4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 customHeight="1" thickBot="1">
      <c r="A145" s="12"/>
      <c r="B145" s="108"/>
      <c r="C145" s="107" t="s">
        <v>111</v>
      </c>
      <c r="D145" s="100" t="s">
        <v>20</v>
      </c>
      <c r="E145" s="17">
        <v>1287</v>
      </c>
      <c r="F145" s="18">
        <v>720</v>
      </c>
      <c r="G145" s="23"/>
      <c r="H145" s="22"/>
      <c r="I145" s="4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 customHeight="1" thickBot="1">
      <c r="A146" s="12"/>
      <c r="B146" s="108"/>
      <c r="C146" s="106"/>
      <c r="D146" s="100" t="s">
        <v>14</v>
      </c>
      <c r="E146" s="17">
        <v>1288</v>
      </c>
      <c r="F146" s="18">
        <v>573</v>
      </c>
      <c r="G146" s="20" t="s">
        <v>150</v>
      </c>
      <c r="H146" s="22"/>
      <c r="I146" s="4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 customHeight="1" thickBot="1">
      <c r="A147" s="12"/>
      <c r="B147" s="108"/>
      <c r="C147" s="106"/>
      <c r="D147" s="100" t="s">
        <v>60</v>
      </c>
      <c r="E147" s="17">
        <v>1289</v>
      </c>
      <c r="F147" s="18">
        <v>955</v>
      </c>
      <c r="G147" s="20" t="s">
        <v>150</v>
      </c>
      <c r="H147" s="22"/>
      <c r="I147" s="4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 customHeight="1" thickBot="1">
      <c r="A148" s="12"/>
      <c r="B148" s="108"/>
      <c r="C148" s="106"/>
      <c r="D148" s="100" t="s">
        <v>151</v>
      </c>
      <c r="E148" s="17">
        <v>1290</v>
      </c>
      <c r="F148" s="18">
        <v>764</v>
      </c>
      <c r="G148" s="20" t="s">
        <v>47</v>
      </c>
      <c r="H148" s="22"/>
      <c r="I148" s="4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 customHeight="1" thickBot="1">
      <c r="A149" s="12"/>
      <c r="B149" s="108"/>
      <c r="C149" s="106"/>
      <c r="D149" s="100" t="s">
        <v>54</v>
      </c>
      <c r="E149" s="17">
        <v>1291</v>
      </c>
      <c r="F149" s="18">
        <v>95</v>
      </c>
      <c r="G149" s="23"/>
      <c r="H149" s="22"/>
      <c r="I149" s="4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 customHeight="1" thickBot="1">
      <c r="A150" s="12"/>
      <c r="B150" s="108"/>
      <c r="C150" s="106"/>
      <c r="D150" s="100" t="s">
        <v>54</v>
      </c>
      <c r="E150" s="17">
        <v>1292</v>
      </c>
      <c r="F150" s="18">
        <v>191</v>
      </c>
      <c r="G150" s="23"/>
      <c r="H150" s="22"/>
      <c r="I150" s="4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 customHeight="1" thickBot="1">
      <c r="A151" s="12"/>
      <c r="B151" s="108"/>
      <c r="C151" s="106"/>
      <c r="D151" s="100" t="s">
        <v>152</v>
      </c>
      <c r="E151" s="17">
        <v>1293</v>
      </c>
      <c r="F151" s="18">
        <v>191</v>
      </c>
      <c r="G151" s="20" t="s">
        <v>153</v>
      </c>
      <c r="H151" s="22"/>
      <c r="I151" s="4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 customHeight="1" thickBot="1">
      <c r="A152" s="12"/>
      <c r="B152" s="108"/>
      <c r="C152" s="107" t="s">
        <v>154</v>
      </c>
      <c r="D152" s="100" t="s">
        <v>26</v>
      </c>
      <c r="E152" s="17">
        <v>1294</v>
      </c>
      <c r="F152" s="18">
        <v>764</v>
      </c>
      <c r="G152" s="23"/>
      <c r="H152" s="22"/>
      <c r="I152" s="4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 customHeight="1" thickBot="1">
      <c r="A153" s="12"/>
      <c r="B153" s="108"/>
      <c r="C153" s="106"/>
      <c r="D153" s="100" t="s">
        <v>29</v>
      </c>
      <c r="E153" s="17">
        <v>1295</v>
      </c>
      <c r="F153" s="18">
        <v>955</v>
      </c>
      <c r="G153" s="20" t="s">
        <v>155</v>
      </c>
      <c r="H153" s="22"/>
      <c r="I153" s="4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 customHeight="1" thickBot="1">
      <c r="A154" s="12"/>
      <c r="B154" s="108"/>
      <c r="C154" s="106"/>
      <c r="D154" s="100" t="s">
        <v>27</v>
      </c>
      <c r="E154" s="17">
        <v>1296</v>
      </c>
      <c r="F154" s="18">
        <v>764</v>
      </c>
      <c r="G154" s="20" t="s">
        <v>155</v>
      </c>
      <c r="H154" s="22"/>
      <c r="I154" s="4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 customHeight="1" thickBot="1">
      <c r="A155" s="12"/>
      <c r="B155" s="108"/>
      <c r="C155" s="106"/>
      <c r="D155" s="100" t="s">
        <v>156</v>
      </c>
      <c r="E155" s="17">
        <v>1370</v>
      </c>
      <c r="F155" s="18">
        <v>477</v>
      </c>
      <c r="G155" s="20" t="s">
        <v>157</v>
      </c>
      <c r="H155" s="22"/>
      <c r="I155" s="4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 customHeight="1" thickBot="1">
      <c r="A156" s="12"/>
      <c r="B156" s="109" t="s">
        <v>145</v>
      </c>
      <c r="C156" s="107" t="s">
        <v>158</v>
      </c>
      <c r="D156" s="100" t="s">
        <v>18</v>
      </c>
      <c r="E156" s="17">
        <v>3090</v>
      </c>
      <c r="F156" s="18">
        <v>1695</v>
      </c>
      <c r="G156" s="20" t="s">
        <v>157</v>
      </c>
      <c r="H156" s="22"/>
      <c r="I156" s="4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 customHeight="1" thickBot="1">
      <c r="A157" s="12"/>
      <c r="B157" s="109" t="s">
        <v>159</v>
      </c>
      <c r="C157" s="106"/>
      <c r="D157" s="100" t="s">
        <v>20</v>
      </c>
      <c r="E157" s="17">
        <v>3091</v>
      </c>
      <c r="F157" s="18">
        <v>1595</v>
      </c>
      <c r="G157" s="23"/>
      <c r="H157" s="22"/>
      <c r="I157" s="4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 customHeight="1" thickBot="1">
      <c r="A158" s="12"/>
      <c r="B158" s="108"/>
      <c r="C158" s="106"/>
      <c r="D158" s="100" t="s">
        <v>14</v>
      </c>
      <c r="E158" s="17">
        <v>3092</v>
      </c>
      <c r="F158" s="18">
        <v>995</v>
      </c>
      <c r="G158" s="20" t="s">
        <v>160</v>
      </c>
      <c r="H158" s="22"/>
      <c r="I158" s="4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 customHeight="1" thickBot="1">
      <c r="A159" s="12"/>
      <c r="B159" s="108"/>
      <c r="C159" s="106"/>
      <c r="D159" s="100" t="s">
        <v>161</v>
      </c>
      <c r="E159" s="17">
        <v>3093</v>
      </c>
      <c r="F159" s="18">
        <v>295</v>
      </c>
      <c r="G159" s="23"/>
      <c r="H159" s="22"/>
      <c r="I159" s="4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 customHeight="1" thickBot="1">
      <c r="A160" s="12"/>
      <c r="B160" s="108"/>
      <c r="C160" s="106"/>
      <c r="D160" s="100" t="s">
        <v>162</v>
      </c>
      <c r="E160" s="17">
        <v>3094</v>
      </c>
      <c r="F160" s="18">
        <v>195</v>
      </c>
      <c r="G160" s="20" t="s">
        <v>163</v>
      </c>
      <c r="H160" s="22"/>
      <c r="I160" s="4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 customHeight="1" thickBot="1">
      <c r="A161" s="12"/>
      <c r="B161" s="108"/>
      <c r="C161" s="106"/>
      <c r="D161" s="100" t="s">
        <v>164</v>
      </c>
      <c r="E161" s="17">
        <v>3095</v>
      </c>
      <c r="F161" s="18">
        <v>3995</v>
      </c>
      <c r="G161" s="23"/>
      <c r="H161" s="22"/>
      <c r="I161" s="4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 customHeight="1" thickBot="1">
      <c r="A162" s="12"/>
      <c r="B162" s="108"/>
      <c r="C162" s="106"/>
      <c r="D162" s="100" t="s">
        <v>165</v>
      </c>
      <c r="E162" s="17">
        <v>3096</v>
      </c>
      <c r="F162" s="18">
        <v>295</v>
      </c>
      <c r="G162" s="20" t="s">
        <v>48</v>
      </c>
      <c r="H162" s="22"/>
      <c r="I162" s="4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 customHeight="1" thickBot="1">
      <c r="A163" s="12"/>
      <c r="B163" s="108"/>
      <c r="C163" s="106"/>
      <c r="D163" s="100" t="s">
        <v>166</v>
      </c>
      <c r="E163" s="17">
        <v>3097</v>
      </c>
      <c r="F163" s="18">
        <v>195</v>
      </c>
      <c r="G163" s="20" t="s">
        <v>167</v>
      </c>
      <c r="H163" s="22"/>
      <c r="I163" s="4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 customHeight="1" thickBot="1">
      <c r="A164" s="12"/>
      <c r="B164" s="108"/>
      <c r="C164" s="106"/>
      <c r="D164" s="100" t="s">
        <v>168</v>
      </c>
      <c r="E164" s="17">
        <v>3098</v>
      </c>
      <c r="F164" s="18">
        <v>245</v>
      </c>
      <c r="G164" s="20" t="s">
        <v>167</v>
      </c>
      <c r="H164" s="22"/>
      <c r="I164" s="4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 customHeight="1" thickBot="1">
      <c r="A165" s="12"/>
      <c r="B165" s="108"/>
      <c r="C165" s="106"/>
      <c r="D165" s="100" t="s">
        <v>169</v>
      </c>
      <c r="E165" s="17">
        <v>3099</v>
      </c>
      <c r="F165" s="18">
        <v>245</v>
      </c>
      <c r="G165" s="23"/>
      <c r="H165" s="22"/>
      <c r="I165" s="4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 customHeight="1" thickBot="1">
      <c r="A166" s="12"/>
      <c r="B166" s="108"/>
      <c r="C166" s="106"/>
      <c r="D166" s="100" t="s">
        <v>170</v>
      </c>
      <c r="E166" s="17">
        <v>3100</v>
      </c>
      <c r="F166" s="18">
        <v>1795</v>
      </c>
      <c r="G166" s="23"/>
      <c r="H166" s="22"/>
      <c r="I166" s="4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 customHeight="1" thickBot="1">
      <c r="A167" s="12"/>
      <c r="B167" s="108"/>
      <c r="C167" s="106"/>
      <c r="D167" s="100" t="s">
        <v>26</v>
      </c>
      <c r="E167" s="17">
        <v>3101</v>
      </c>
      <c r="F167" s="18">
        <v>895</v>
      </c>
      <c r="G167" s="23"/>
      <c r="H167" s="22"/>
      <c r="I167" s="4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 customHeight="1" thickBot="1">
      <c r="A168" s="12"/>
      <c r="B168" s="108"/>
      <c r="C168" s="106"/>
      <c r="D168" s="100" t="s">
        <v>27</v>
      </c>
      <c r="E168" s="17">
        <v>3102</v>
      </c>
      <c r="F168" s="18">
        <v>695</v>
      </c>
      <c r="G168" s="23"/>
      <c r="H168" s="22"/>
      <c r="I168" s="4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 customHeight="1" thickBot="1">
      <c r="A169" s="12"/>
      <c r="B169" s="108"/>
      <c r="C169" s="106"/>
      <c r="D169" s="100" t="s">
        <v>27</v>
      </c>
      <c r="E169" s="17">
        <v>3103</v>
      </c>
      <c r="F169" s="18">
        <v>695</v>
      </c>
      <c r="G169" s="23"/>
      <c r="H169" s="22"/>
      <c r="I169" s="4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 customHeight="1" thickBot="1">
      <c r="A170" s="12"/>
      <c r="B170" s="108"/>
      <c r="C170" s="106"/>
      <c r="D170" s="100" t="s">
        <v>29</v>
      </c>
      <c r="E170" s="17">
        <v>3104</v>
      </c>
      <c r="F170" s="18">
        <v>995</v>
      </c>
      <c r="G170" s="23"/>
      <c r="H170" s="22"/>
      <c r="I170" s="4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 customHeight="1" thickBot="1">
      <c r="A171" s="12"/>
      <c r="B171" s="109" t="s">
        <v>171</v>
      </c>
      <c r="C171" s="107" t="s">
        <v>172</v>
      </c>
      <c r="D171" s="100" t="s">
        <v>26</v>
      </c>
      <c r="E171" s="17">
        <v>3143</v>
      </c>
      <c r="F171" s="18">
        <v>895</v>
      </c>
      <c r="G171" s="23"/>
      <c r="H171" s="22"/>
      <c r="I171" s="4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 customHeight="1" thickBot="1">
      <c r="A172" s="12"/>
      <c r="B172" s="109" t="s">
        <v>159</v>
      </c>
      <c r="C172" s="107" t="s">
        <v>173</v>
      </c>
      <c r="D172" s="100" t="s">
        <v>29</v>
      </c>
      <c r="E172" s="17">
        <v>1648</v>
      </c>
      <c r="F172" s="18">
        <v>764</v>
      </c>
      <c r="G172" s="23"/>
      <c r="H172" s="22"/>
      <c r="I172" s="4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 customHeight="1" thickBot="1">
      <c r="A173" s="12"/>
      <c r="B173" s="108"/>
      <c r="C173" s="106"/>
      <c r="D173" s="100" t="s">
        <v>174</v>
      </c>
      <c r="E173" s="13"/>
      <c r="F173" s="18">
        <v>295</v>
      </c>
      <c r="G173" s="20" t="s">
        <v>175</v>
      </c>
      <c r="H173" s="22"/>
      <c r="I173" s="4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 customHeight="1" thickBot="1">
      <c r="A174" s="12"/>
      <c r="B174" s="108"/>
      <c r="C174" s="106"/>
      <c r="D174" s="100" t="s">
        <v>26</v>
      </c>
      <c r="E174" s="17">
        <v>3110</v>
      </c>
      <c r="F174" s="18">
        <v>895</v>
      </c>
      <c r="G174" s="20" t="s">
        <v>175</v>
      </c>
      <c r="H174" s="22"/>
      <c r="I174" s="4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 customHeight="1" thickBot="1">
      <c r="A175" s="12"/>
      <c r="B175" s="108"/>
      <c r="C175" s="106"/>
      <c r="D175" s="100" t="s">
        <v>27</v>
      </c>
      <c r="E175" s="17">
        <v>3111</v>
      </c>
      <c r="F175" s="18">
        <v>695</v>
      </c>
      <c r="G175" s="23"/>
      <c r="H175" s="22"/>
      <c r="I175" s="4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 customHeight="1" thickBot="1">
      <c r="A176" s="12"/>
      <c r="B176" s="108"/>
      <c r="C176" s="106"/>
      <c r="D176" s="100" t="s">
        <v>29</v>
      </c>
      <c r="E176" s="17">
        <v>3112</v>
      </c>
      <c r="F176" s="18">
        <v>995</v>
      </c>
      <c r="G176" s="23"/>
      <c r="H176" s="22"/>
      <c r="I176" s="4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 customHeight="1" thickBot="1">
      <c r="A177" s="12"/>
      <c r="B177" s="109" t="s">
        <v>159</v>
      </c>
      <c r="C177" s="107" t="s">
        <v>68</v>
      </c>
      <c r="D177" s="100" t="s">
        <v>176</v>
      </c>
      <c r="E177" s="17">
        <v>3133</v>
      </c>
      <c r="F177" s="18">
        <v>1495</v>
      </c>
      <c r="G177" s="23"/>
      <c r="H177" s="22"/>
      <c r="I177" s="4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customHeight="1" thickBot="1">
      <c r="A178" s="12"/>
      <c r="B178" s="109" t="s">
        <v>159</v>
      </c>
      <c r="C178" s="107" t="s">
        <v>177</v>
      </c>
      <c r="D178" s="100" t="s">
        <v>178</v>
      </c>
      <c r="E178" s="17">
        <v>3267</v>
      </c>
      <c r="F178" s="18">
        <v>1295</v>
      </c>
      <c r="G178" s="23"/>
      <c r="H178" s="22"/>
      <c r="I178" s="4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 customHeight="1" thickBot="1">
      <c r="A179" s="12"/>
      <c r="B179" s="108"/>
      <c r="C179" s="106"/>
      <c r="D179" s="100" t="s">
        <v>103</v>
      </c>
      <c r="E179" s="17">
        <v>3268</v>
      </c>
      <c r="F179" s="18">
        <v>995</v>
      </c>
      <c r="G179" s="23"/>
      <c r="H179" s="22"/>
      <c r="I179" s="4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 customHeight="1" thickBot="1">
      <c r="A180" s="12"/>
      <c r="B180" s="109" t="s">
        <v>159</v>
      </c>
      <c r="C180" s="107" t="s">
        <v>179</v>
      </c>
      <c r="D180" s="100" t="s">
        <v>180</v>
      </c>
      <c r="E180" s="17">
        <v>3555</v>
      </c>
      <c r="F180" s="18">
        <v>595</v>
      </c>
      <c r="G180" s="23"/>
      <c r="H180" s="22"/>
      <c r="I180" s="4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 customHeight="1" thickBot="1">
      <c r="A181" s="12"/>
      <c r="B181" s="108"/>
      <c r="C181" s="106"/>
      <c r="D181" s="100" t="s">
        <v>181</v>
      </c>
      <c r="E181" s="17">
        <v>3556</v>
      </c>
      <c r="F181" s="18">
        <v>595</v>
      </c>
      <c r="G181" s="23"/>
      <c r="H181" s="22"/>
      <c r="I181" s="4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 customHeight="1" thickBot="1">
      <c r="A182" s="12"/>
      <c r="B182" s="109" t="s">
        <v>182</v>
      </c>
      <c r="C182" s="107" t="s">
        <v>125</v>
      </c>
      <c r="D182" s="100" t="s">
        <v>12</v>
      </c>
      <c r="E182" s="17">
        <v>977</v>
      </c>
      <c r="F182" s="18">
        <v>382</v>
      </c>
      <c r="G182" s="20" t="s">
        <v>183</v>
      </c>
      <c r="H182" s="22"/>
      <c r="I182" s="4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 customHeight="1" thickBot="1">
      <c r="A183" s="12"/>
      <c r="B183" s="109" t="s">
        <v>184</v>
      </c>
      <c r="C183" s="107" t="s">
        <v>126</v>
      </c>
      <c r="D183" s="100" t="s">
        <v>82</v>
      </c>
      <c r="E183" s="17">
        <v>978</v>
      </c>
      <c r="F183" s="18">
        <v>382</v>
      </c>
      <c r="G183" s="23"/>
      <c r="H183" s="22"/>
      <c r="I183" s="4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 customHeight="1" thickBot="1">
      <c r="A184" s="12"/>
      <c r="B184" s="108"/>
      <c r="C184" s="106"/>
      <c r="D184" s="100" t="s">
        <v>14</v>
      </c>
      <c r="E184" s="17">
        <v>979</v>
      </c>
      <c r="F184" s="18">
        <v>509</v>
      </c>
      <c r="G184" s="20" t="s">
        <v>140</v>
      </c>
      <c r="H184" s="22"/>
      <c r="I184" s="4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 customHeight="1" thickBot="1">
      <c r="A185" s="12"/>
      <c r="B185" s="109" t="s">
        <v>182</v>
      </c>
      <c r="C185" s="107" t="s">
        <v>146</v>
      </c>
      <c r="D185" s="100" t="s">
        <v>12</v>
      </c>
      <c r="E185" s="17">
        <v>603</v>
      </c>
      <c r="F185" s="18">
        <v>414</v>
      </c>
      <c r="G185" s="20" t="s">
        <v>141</v>
      </c>
      <c r="H185" s="22"/>
      <c r="I185" s="4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 customHeight="1" thickBot="1">
      <c r="A186" s="12"/>
      <c r="B186" s="109" t="s">
        <v>185</v>
      </c>
      <c r="C186" s="107" t="s">
        <v>186</v>
      </c>
      <c r="D186" s="100" t="s">
        <v>82</v>
      </c>
      <c r="E186" s="17">
        <v>604</v>
      </c>
      <c r="F186" s="18">
        <v>414</v>
      </c>
      <c r="G186" s="20" t="s">
        <v>141</v>
      </c>
      <c r="H186" s="22"/>
      <c r="I186" s="4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 customHeight="1" thickBot="1">
      <c r="A187" s="12"/>
      <c r="B187" s="108"/>
      <c r="C187" s="106"/>
      <c r="D187" s="100" t="s">
        <v>14</v>
      </c>
      <c r="E187" s="17">
        <v>605</v>
      </c>
      <c r="F187" s="18">
        <v>573</v>
      </c>
      <c r="G187" s="20" t="s">
        <v>187</v>
      </c>
      <c r="H187" s="22"/>
      <c r="I187" s="4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 customHeight="1" thickBot="1">
      <c r="A188" s="12"/>
      <c r="B188" s="108"/>
      <c r="C188" s="106"/>
      <c r="D188" s="100" t="s">
        <v>22</v>
      </c>
      <c r="E188" s="17">
        <v>606</v>
      </c>
      <c r="F188" s="18">
        <v>318</v>
      </c>
      <c r="G188" s="20" t="s">
        <v>23</v>
      </c>
      <c r="H188" s="22"/>
      <c r="I188" s="4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 customHeight="1" thickBot="1">
      <c r="A189" s="12"/>
      <c r="B189" s="108"/>
      <c r="C189" s="106"/>
      <c r="D189" s="100" t="s">
        <v>121</v>
      </c>
      <c r="E189" s="17">
        <v>607</v>
      </c>
      <c r="F189" s="18">
        <v>318</v>
      </c>
      <c r="G189" s="23"/>
      <c r="H189" s="22"/>
      <c r="I189" s="4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 customHeight="1" thickBot="1">
      <c r="A190" s="12"/>
      <c r="B190" s="108"/>
      <c r="C190" s="106"/>
      <c r="D190" s="100" t="s">
        <v>188</v>
      </c>
      <c r="E190" s="17">
        <v>608</v>
      </c>
      <c r="F190" s="18">
        <v>445</v>
      </c>
      <c r="G190" s="23"/>
      <c r="H190" s="22"/>
      <c r="I190" s="4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 customHeight="1" thickBot="1">
      <c r="A191" s="12"/>
      <c r="B191" s="109" t="s">
        <v>182</v>
      </c>
      <c r="C191" s="107" t="s">
        <v>189</v>
      </c>
      <c r="D191" s="100" t="s">
        <v>12</v>
      </c>
      <c r="E191" s="17">
        <v>3064</v>
      </c>
      <c r="F191" s="18">
        <v>414</v>
      </c>
      <c r="G191" s="20" t="s">
        <v>160</v>
      </c>
      <c r="H191" s="22"/>
      <c r="I191" s="4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 customHeight="1" thickBot="1">
      <c r="A192" s="12"/>
      <c r="B192" s="109" t="s">
        <v>190</v>
      </c>
      <c r="C192" s="106"/>
      <c r="D192" s="100" t="s">
        <v>22</v>
      </c>
      <c r="E192" s="17">
        <v>3065</v>
      </c>
      <c r="F192" s="18">
        <v>318</v>
      </c>
      <c r="G192" s="20" t="s">
        <v>191</v>
      </c>
      <c r="H192" s="22"/>
      <c r="I192" s="4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 customHeight="1" thickBot="1">
      <c r="A193" s="12"/>
      <c r="B193" s="109" t="s">
        <v>145</v>
      </c>
      <c r="C193" s="107" t="s">
        <v>146</v>
      </c>
      <c r="D193" s="100" t="s">
        <v>29</v>
      </c>
      <c r="E193" s="17">
        <v>685</v>
      </c>
      <c r="F193" s="18">
        <v>1295</v>
      </c>
      <c r="G193" s="23"/>
      <c r="H193" s="22"/>
      <c r="I193" s="4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 customHeight="1" thickBot="1">
      <c r="A194" s="12"/>
      <c r="B194" s="109" t="s">
        <v>148</v>
      </c>
      <c r="C194" s="107" t="s">
        <v>192</v>
      </c>
      <c r="D194" s="100" t="s">
        <v>29</v>
      </c>
      <c r="E194" s="17">
        <v>754</v>
      </c>
      <c r="F194" s="18">
        <v>1295</v>
      </c>
      <c r="G194" s="23"/>
      <c r="H194" s="22"/>
      <c r="I194" s="4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 customHeight="1" thickBot="1">
      <c r="A195" s="12"/>
      <c r="B195" s="109" t="s">
        <v>193</v>
      </c>
      <c r="C195" s="107" t="s">
        <v>194</v>
      </c>
      <c r="D195" s="100" t="s">
        <v>18</v>
      </c>
      <c r="E195" s="17">
        <v>2302</v>
      </c>
      <c r="F195" s="18">
        <v>1695</v>
      </c>
      <c r="G195" s="20" t="s">
        <v>47</v>
      </c>
      <c r="H195" s="22"/>
      <c r="I195" s="4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 customHeight="1" thickBot="1">
      <c r="A196" s="12"/>
      <c r="B196" s="109" t="s">
        <v>195</v>
      </c>
      <c r="C196" s="106"/>
      <c r="D196" s="100" t="s">
        <v>20</v>
      </c>
      <c r="E196" s="17">
        <v>2303</v>
      </c>
      <c r="F196" s="18">
        <v>1595</v>
      </c>
      <c r="G196" s="23"/>
      <c r="H196" s="22"/>
      <c r="I196" s="4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 customHeight="1" thickBot="1">
      <c r="A197" s="12"/>
      <c r="B197" s="108"/>
      <c r="C197" s="106"/>
      <c r="D197" s="100" t="s">
        <v>14</v>
      </c>
      <c r="E197" s="17">
        <v>2304</v>
      </c>
      <c r="F197" s="18">
        <v>995</v>
      </c>
      <c r="G197" s="25">
        <v>44258</v>
      </c>
      <c r="H197" s="22"/>
      <c r="I197" s="4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 customHeight="1" thickBot="1">
      <c r="A198" s="12"/>
      <c r="B198" s="108"/>
      <c r="C198" s="106"/>
      <c r="D198" s="100" t="s">
        <v>60</v>
      </c>
      <c r="E198" s="17">
        <v>2305</v>
      </c>
      <c r="F198" s="18">
        <v>895</v>
      </c>
      <c r="G198" s="25">
        <v>44396</v>
      </c>
      <c r="H198" s="22"/>
      <c r="I198" s="4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 customHeight="1" thickBot="1">
      <c r="A199" s="12"/>
      <c r="B199" s="108"/>
      <c r="C199" s="106"/>
      <c r="D199" s="100" t="s">
        <v>61</v>
      </c>
      <c r="E199" s="17">
        <v>2306</v>
      </c>
      <c r="F199" s="18">
        <v>895</v>
      </c>
      <c r="G199" s="23"/>
      <c r="H199" s="22"/>
      <c r="I199" s="4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5" customHeight="1" thickBot="1">
      <c r="A200" s="12"/>
      <c r="B200" s="108"/>
      <c r="C200" s="106"/>
      <c r="D200" s="100" t="s">
        <v>26</v>
      </c>
      <c r="E200" s="17">
        <v>2301</v>
      </c>
      <c r="F200" s="18">
        <v>1095</v>
      </c>
      <c r="G200" s="20" t="s">
        <v>39</v>
      </c>
      <c r="H200" s="22"/>
      <c r="I200" s="4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5" customHeight="1" thickBot="1">
      <c r="A201" s="12"/>
      <c r="B201" s="109" t="s">
        <v>108</v>
      </c>
      <c r="C201" s="107" t="s">
        <v>192</v>
      </c>
      <c r="D201" s="100" t="s">
        <v>33</v>
      </c>
      <c r="E201" s="17">
        <v>755</v>
      </c>
      <c r="F201" s="18">
        <v>414</v>
      </c>
      <c r="G201" s="20" t="s">
        <v>39</v>
      </c>
      <c r="H201" s="22"/>
      <c r="I201" s="4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5" customHeight="1" thickBot="1">
      <c r="A202" s="12"/>
      <c r="B202" s="109" t="s">
        <v>196</v>
      </c>
      <c r="C202" s="107" t="s">
        <v>197</v>
      </c>
      <c r="D202" s="100" t="s">
        <v>18</v>
      </c>
      <c r="E202" s="17">
        <v>2256</v>
      </c>
      <c r="F202" s="18">
        <v>1595</v>
      </c>
      <c r="G202" s="20" t="s">
        <v>198</v>
      </c>
      <c r="H202" s="22"/>
      <c r="I202" s="4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5" customHeight="1" thickBot="1">
      <c r="A203" s="12"/>
      <c r="B203" s="108"/>
      <c r="C203" s="106"/>
      <c r="D203" s="100" t="s">
        <v>20</v>
      </c>
      <c r="E203" s="17">
        <v>2257</v>
      </c>
      <c r="F203" s="18">
        <v>1495</v>
      </c>
      <c r="G203" s="20" t="s">
        <v>199</v>
      </c>
      <c r="H203" s="22"/>
      <c r="I203" s="4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5" customHeight="1" thickBot="1">
      <c r="A204" s="12"/>
      <c r="B204" s="108"/>
      <c r="C204" s="106"/>
      <c r="D204" s="100" t="s">
        <v>14</v>
      </c>
      <c r="E204" s="17">
        <v>2258</v>
      </c>
      <c r="F204" s="18">
        <v>995</v>
      </c>
      <c r="G204" s="23"/>
      <c r="H204" s="22"/>
      <c r="I204" s="4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5" customHeight="1" thickBot="1">
      <c r="A205" s="12"/>
      <c r="B205" s="108"/>
      <c r="C205" s="106"/>
      <c r="D205" s="100" t="s">
        <v>60</v>
      </c>
      <c r="E205" s="17">
        <v>2259</v>
      </c>
      <c r="F205" s="18">
        <v>895</v>
      </c>
      <c r="G205" s="23"/>
      <c r="H205" s="22"/>
      <c r="I205" s="4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5" customHeight="1" thickBot="1">
      <c r="A206" s="12"/>
      <c r="B206" s="108"/>
      <c r="C206" s="106"/>
      <c r="D206" s="100" t="s">
        <v>61</v>
      </c>
      <c r="E206" s="17">
        <v>2260</v>
      </c>
      <c r="F206" s="18">
        <v>895</v>
      </c>
      <c r="G206" s="23"/>
      <c r="H206" s="22"/>
      <c r="I206" s="4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5" customHeight="1" thickBot="1">
      <c r="A207" s="12"/>
      <c r="B207" s="108"/>
      <c r="C207" s="106"/>
      <c r="D207" s="100" t="s">
        <v>26</v>
      </c>
      <c r="E207" s="17">
        <v>2261</v>
      </c>
      <c r="F207" s="18">
        <v>1095</v>
      </c>
      <c r="G207" s="23"/>
      <c r="H207" s="22"/>
      <c r="I207" s="4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5" customHeight="1" thickBot="1">
      <c r="A208" s="12"/>
      <c r="B208" s="108"/>
      <c r="C208" s="106"/>
      <c r="D208" s="100" t="s">
        <v>26</v>
      </c>
      <c r="E208" s="17">
        <v>3135</v>
      </c>
      <c r="F208" s="18">
        <v>1095</v>
      </c>
      <c r="G208" s="25">
        <v>44001</v>
      </c>
      <c r="H208" s="22"/>
      <c r="I208" s="4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5" customHeight="1" thickBot="1">
      <c r="A209" s="12"/>
      <c r="B209" s="108"/>
      <c r="C209" s="106"/>
      <c r="D209" s="100" t="s">
        <v>29</v>
      </c>
      <c r="E209" s="17">
        <v>2262</v>
      </c>
      <c r="F209" s="18">
        <v>1395</v>
      </c>
      <c r="G209" s="23"/>
      <c r="H209" s="22"/>
      <c r="I209" s="4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5" customHeight="1" thickBot="1">
      <c r="A210" s="12"/>
      <c r="B210" s="108"/>
      <c r="C210" s="106"/>
      <c r="D210" s="100" t="s">
        <v>200</v>
      </c>
      <c r="E210" s="17">
        <v>2263</v>
      </c>
      <c r="F210" s="18">
        <v>2495</v>
      </c>
      <c r="G210" s="23"/>
      <c r="H210" s="22"/>
      <c r="I210" s="4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5" customHeight="1" thickBot="1">
      <c r="A211" s="12"/>
      <c r="B211" s="108"/>
      <c r="C211" s="106"/>
      <c r="D211" s="100" t="s">
        <v>201</v>
      </c>
      <c r="E211" s="17">
        <v>3066</v>
      </c>
      <c r="F211" s="18">
        <v>395</v>
      </c>
      <c r="G211" s="23"/>
      <c r="H211" s="22"/>
      <c r="I211" s="4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5" customHeight="1" thickBot="1">
      <c r="A212" s="12"/>
      <c r="B212" s="109" t="s">
        <v>196</v>
      </c>
      <c r="C212" s="107" t="s">
        <v>202</v>
      </c>
      <c r="D212" s="100" t="s">
        <v>18</v>
      </c>
      <c r="E212" s="17">
        <v>3071</v>
      </c>
      <c r="F212" s="18">
        <v>955</v>
      </c>
      <c r="G212" s="20" t="s">
        <v>44</v>
      </c>
      <c r="H212" s="22"/>
      <c r="I212" s="4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5" customHeight="1" thickBot="1">
      <c r="A213" s="12"/>
      <c r="B213" s="108"/>
      <c r="C213" s="106"/>
      <c r="D213" s="100" t="s">
        <v>20</v>
      </c>
      <c r="E213" s="17">
        <v>3072</v>
      </c>
      <c r="F213" s="18">
        <v>955</v>
      </c>
      <c r="G213" s="20" t="s">
        <v>44</v>
      </c>
      <c r="H213" s="22"/>
      <c r="I213" s="4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5" customHeight="1" thickBot="1">
      <c r="A214" s="12"/>
      <c r="B214" s="108"/>
      <c r="C214" s="106"/>
      <c r="D214" s="100" t="s">
        <v>14</v>
      </c>
      <c r="E214" s="17">
        <v>3073</v>
      </c>
      <c r="F214" s="18">
        <v>1145</v>
      </c>
      <c r="G214" s="20" t="s">
        <v>59</v>
      </c>
      <c r="H214" s="22"/>
      <c r="I214" s="4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5" customHeight="1" thickBot="1">
      <c r="A215" s="12"/>
      <c r="B215" s="109" t="s">
        <v>196</v>
      </c>
      <c r="C215" s="107" t="s">
        <v>203</v>
      </c>
      <c r="D215" s="100" t="s">
        <v>53</v>
      </c>
      <c r="E215" s="17">
        <v>3231</v>
      </c>
      <c r="F215" s="18">
        <v>895</v>
      </c>
      <c r="G215" s="20" t="s">
        <v>204</v>
      </c>
      <c r="H215" s="22"/>
      <c r="I215" s="4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5" customHeight="1" thickBot="1">
      <c r="A216" s="12"/>
      <c r="B216" s="108"/>
      <c r="C216" s="106"/>
      <c r="D216" s="100" t="s">
        <v>201</v>
      </c>
      <c r="E216" s="17">
        <v>3248</v>
      </c>
      <c r="F216" s="18">
        <v>295</v>
      </c>
      <c r="G216" s="20" t="s">
        <v>204</v>
      </c>
      <c r="H216" s="22"/>
      <c r="I216" s="4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5" customHeight="1" thickBot="1">
      <c r="A217" s="12"/>
      <c r="B217" s="109" t="s">
        <v>205</v>
      </c>
      <c r="C217" s="107" t="s">
        <v>125</v>
      </c>
      <c r="D217" s="100" t="s">
        <v>26</v>
      </c>
      <c r="E217" s="17">
        <v>3444</v>
      </c>
      <c r="F217" s="18">
        <v>1095</v>
      </c>
      <c r="G217" s="23"/>
      <c r="H217" s="22"/>
      <c r="I217" s="4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5" customHeight="1" thickBot="1">
      <c r="A218" s="12"/>
      <c r="B218" s="108"/>
      <c r="C218" s="106"/>
      <c r="D218" s="100" t="s">
        <v>27</v>
      </c>
      <c r="E218" s="17">
        <v>3445</v>
      </c>
      <c r="F218" s="18">
        <v>895</v>
      </c>
      <c r="G218" s="23"/>
      <c r="H218" s="22"/>
      <c r="I218" s="4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5" customHeight="1" thickBot="1">
      <c r="A219" s="12"/>
      <c r="B219" s="108"/>
      <c r="C219" s="106"/>
      <c r="D219" s="100" t="s">
        <v>29</v>
      </c>
      <c r="E219" s="17">
        <v>3446</v>
      </c>
      <c r="F219" s="18">
        <v>1395</v>
      </c>
      <c r="G219" s="23"/>
      <c r="H219" s="22"/>
      <c r="I219" s="4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5" customHeight="1" thickBot="1">
      <c r="A220" s="12"/>
      <c r="B220" s="108"/>
      <c r="C220" s="106"/>
      <c r="D220" s="100" t="s">
        <v>200</v>
      </c>
      <c r="E220" s="17">
        <v>3121</v>
      </c>
      <c r="F220" s="18">
        <v>2995</v>
      </c>
      <c r="G220" s="23"/>
      <c r="H220" s="22"/>
      <c r="I220" s="4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5" customHeight="1" thickBot="1">
      <c r="A221" s="12"/>
      <c r="B221" s="108"/>
      <c r="C221" s="106"/>
      <c r="D221" s="100" t="s">
        <v>201</v>
      </c>
      <c r="E221" s="17">
        <v>3122</v>
      </c>
      <c r="F221" s="18">
        <v>395</v>
      </c>
      <c r="G221" s="23"/>
      <c r="H221" s="22"/>
      <c r="I221" s="4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5" customHeight="1" thickBot="1">
      <c r="A222" s="12"/>
      <c r="B222" s="108"/>
      <c r="C222" s="106"/>
      <c r="D222" s="100" t="s">
        <v>206</v>
      </c>
      <c r="E222" s="17">
        <v>3123</v>
      </c>
      <c r="F222" s="18">
        <v>595</v>
      </c>
      <c r="G222" s="23"/>
      <c r="H222" s="22"/>
      <c r="I222" s="4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5" customHeight="1" thickBot="1">
      <c r="A223" s="12"/>
      <c r="B223" s="109" t="s">
        <v>205</v>
      </c>
      <c r="C223" s="107" t="s">
        <v>207</v>
      </c>
      <c r="D223" s="100" t="s">
        <v>29</v>
      </c>
      <c r="E223" s="17">
        <v>3447</v>
      </c>
      <c r="F223" s="18">
        <v>1495</v>
      </c>
      <c r="G223" s="20" t="s">
        <v>21</v>
      </c>
      <c r="H223" s="22"/>
      <c r="I223" s="4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5" customHeight="1" thickBot="1">
      <c r="A224" s="12"/>
      <c r="B224" s="109" t="s">
        <v>142</v>
      </c>
      <c r="C224" s="107" t="s">
        <v>208</v>
      </c>
      <c r="D224" s="100" t="s">
        <v>18</v>
      </c>
      <c r="E224" s="17">
        <v>3147</v>
      </c>
      <c r="F224" s="18">
        <v>1695</v>
      </c>
      <c r="G224" s="23"/>
      <c r="H224" s="22"/>
      <c r="I224" s="4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5" customHeight="1" thickBot="1">
      <c r="A225" s="12"/>
      <c r="B225" s="109" t="s">
        <v>209</v>
      </c>
      <c r="C225" s="106"/>
      <c r="D225" s="100" t="s">
        <v>20</v>
      </c>
      <c r="E225" s="17">
        <v>3148</v>
      </c>
      <c r="F225" s="18">
        <v>1595</v>
      </c>
      <c r="G225" s="23"/>
      <c r="H225" s="22"/>
      <c r="I225" s="4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5" customHeight="1" thickBot="1">
      <c r="A226" s="12"/>
      <c r="B226" s="108"/>
      <c r="C226" s="106"/>
      <c r="D226" s="100" t="s">
        <v>14</v>
      </c>
      <c r="E226" s="17">
        <v>3149</v>
      </c>
      <c r="F226" s="18">
        <v>995</v>
      </c>
      <c r="G226" s="20" t="s">
        <v>210</v>
      </c>
      <c r="H226" s="22"/>
      <c r="I226" s="4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5" customHeight="1" thickBot="1">
      <c r="A227" s="12"/>
      <c r="B227" s="108"/>
      <c r="C227" s="106"/>
      <c r="D227" s="100" t="s">
        <v>211</v>
      </c>
      <c r="E227" s="17">
        <v>3150</v>
      </c>
      <c r="F227" s="18">
        <v>2995</v>
      </c>
      <c r="G227" s="23"/>
      <c r="H227" s="22"/>
      <c r="I227" s="4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5" customHeight="1" thickBot="1">
      <c r="A228" s="12"/>
      <c r="B228" s="108"/>
      <c r="C228" s="106"/>
      <c r="D228" s="100" t="s">
        <v>212</v>
      </c>
      <c r="E228" s="17">
        <v>3151</v>
      </c>
      <c r="F228" s="18">
        <v>2495</v>
      </c>
      <c r="G228" s="23"/>
      <c r="H228" s="22"/>
      <c r="I228" s="4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5" customHeight="1" thickBot="1">
      <c r="A229" s="12"/>
      <c r="B229" s="108"/>
      <c r="C229" s="106"/>
      <c r="D229" s="100" t="s">
        <v>60</v>
      </c>
      <c r="E229" s="17">
        <v>3152</v>
      </c>
      <c r="F229" s="18">
        <v>1295</v>
      </c>
      <c r="G229" s="23"/>
      <c r="H229" s="22"/>
      <c r="I229" s="4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5" customHeight="1" thickBot="1">
      <c r="A230" s="12"/>
      <c r="B230" s="108"/>
      <c r="C230" s="106"/>
      <c r="D230" s="100" t="s">
        <v>61</v>
      </c>
      <c r="E230" s="17">
        <v>3153</v>
      </c>
      <c r="F230" s="18">
        <v>1295</v>
      </c>
      <c r="G230" s="23"/>
      <c r="H230" s="22"/>
      <c r="I230" s="4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5" customHeight="1" thickBot="1">
      <c r="A231" s="12"/>
      <c r="B231" s="108"/>
      <c r="C231" s="106"/>
      <c r="D231" s="100" t="s">
        <v>213</v>
      </c>
      <c r="E231" s="17">
        <v>3154</v>
      </c>
      <c r="F231" s="18">
        <v>3495</v>
      </c>
      <c r="G231" s="23"/>
      <c r="H231" s="22"/>
      <c r="I231" s="4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5" customHeight="1" thickBot="1">
      <c r="A232" s="12"/>
      <c r="B232" s="108"/>
      <c r="C232" s="106"/>
      <c r="D232" s="100" t="s">
        <v>201</v>
      </c>
      <c r="E232" s="17">
        <v>3158</v>
      </c>
      <c r="F232" s="18">
        <v>395</v>
      </c>
      <c r="G232" s="23"/>
      <c r="H232" s="22"/>
      <c r="I232" s="4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5" customHeight="1" thickBot="1">
      <c r="A233" s="12"/>
      <c r="B233" s="108"/>
      <c r="C233" s="106"/>
      <c r="D233" s="100" t="s">
        <v>63</v>
      </c>
      <c r="E233" s="17">
        <v>3415</v>
      </c>
      <c r="F233" s="18">
        <v>1395</v>
      </c>
      <c r="G233" s="20" t="s">
        <v>214</v>
      </c>
      <c r="H233" s="22"/>
      <c r="I233" s="4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5" customHeight="1" thickBot="1">
      <c r="A234" s="12"/>
      <c r="B234" s="109" t="s">
        <v>215</v>
      </c>
      <c r="C234" s="107"/>
      <c r="D234" s="100" t="s">
        <v>26</v>
      </c>
      <c r="E234" s="17">
        <v>3138</v>
      </c>
      <c r="F234" s="18">
        <v>1495</v>
      </c>
      <c r="G234" s="20" t="s">
        <v>216</v>
      </c>
      <c r="H234" s="22"/>
      <c r="I234" s="4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" customHeight="1" thickBot="1">
      <c r="A235" s="156" t="s">
        <v>217</v>
      </c>
      <c r="B235" s="134"/>
      <c r="C235" s="134"/>
      <c r="D235" s="134"/>
      <c r="E235" s="135"/>
      <c r="F235" s="135"/>
      <c r="G235" s="135"/>
      <c r="H235" s="4"/>
      <c r="I235" s="4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5" customHeight="1" thickBot="1">
      <c r="A236" s="12"/>
      <c r="B236" s="109" t="s">
        <v>218</v>
      </c>
      <c r="C236" s="107" t="s">
        <v>219</v>
      </c>
      <c r="D236" s="100" t="s">
        <v>12</v>
      </c>
      <c r="E236" s="17">
        <v>287</v>
      </c>
      <c r="F236" s="18">
        <v>223</v>
      </c>
      <c r="G236" s="20" t="s">
        <v>220</v>
      </c>
      <c r="H236" s="22"/>
      <c r="I236" s="4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5" customHeight="1" thickBot="1">
      <c r="A237" s="12"/>
      <c r="B237" s="109" t="s">
        <v>221</v>
      </c>
      <c r="C237" s="107" t="s">
        <v>222</v>
      </c>
      <c r="D237" s="100" t="s">
        <v>82</v>
      </c>
      <c r="E237" s="17">
        <v>288</v>
      </c>
      <c r="F237" s="18">
        <v>223</v>
      </c>
      <c r="G237" s="23"/>
      <c r="H237" s="22"/>
      <c r="I237" s="4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5" customHeight="1" thickBot="1">
      <c r="A238" s="12"/>
      <c r="B238" s="108"/>
      <c r="C238" s="106"/>
      <c r="D238" s="100" t="s">
        <v>14</v>
      </c>
      <c r="E238" s="17">
        <v>289</v>
      </c>
      <c r="F238" s="18">
        <v>445</v>
      </c>
      <c r="G238" s="20" t="s">
        <v>223</v>
      </c>
      <c r="H238" s="22"/>
      <c r="I238" s="4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5" customHeight="1" thickBot="1">
      <c r="A239" s="12"/>
      <c r="B239" s="108"/>
      <c r="C239" s="106"/>
      <c r="D239" s="100" t="s">
        <v>22</v>
      </c>
      <c r="E239" s="17">
        <v>290</v>
      </c>
      <c r="F239" s="18">
        <v>223</v>
      </c>
      <c r="G239" s="20" t="s">
        <v>120</v>
      </c>
      <c r="H239" s="22"/>
      <c r="I239" s="4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5" customHeight="1" thickBot="1">
      <c r="A240" s="12"/>
      <c r="B240" s="108"/>
      <c r="C240" s="106"/>
      <c r="D240" s="100" t="s">
        <v>224</v>
      </c>
      <c r="E240" s="17">
        <v>291</v>
      </c>
      <c r="F240" s="18">
        <v>95</v>
      </c>
      <c r="G240" s="23"/>
      <c r="H240" s="22"/>
      <c r="I240" s="4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5" customHeight="1" thickBot="1">
      <c r="A241" s="12"/>
      <c r="B241" s="108"/>
      <c r="C241" s="107" t="s">
        <v>225</v>
      </c>
      <c r="D241" s="100" t="s">
        <v>18</v>
      </c>
      <c r="E241" s="17">
        <v>292</v>
      </c>
      <c r="F241" s="18">
        <v>720</v>
      </c>
      <c r="G241" s="23"/>
      <c r="H241" s="22"/>
      <c r="I241" s="4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5" customHeight="1" thickBot="1">
      <c r="A242" s="12"/>
      <c r="B242" s="108"/>
      <c r="C242" s="107" t="s">
        <v>89</v>
      </c>
      <c r="D242" s="100" t="s">
        <v>82</v>
      </c>
      <c r="E242" s="17">
        <v>303</v>
      </c>
      <c r="F242" s="18">
        <v>255</v>
      </c>
      <c r="G242" s="23"/>
      <c r="H242" s="22"/>
      <c r="I242" s="4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5" customHeight="1" thickBot="1">
      <c r="A243" s="12"/>
      <c r="B243" s="108"/>
      <c r="C243" s="107" t="s">
        <v>226</v>
      </c>
      <c r="D243" s="100" t="s">
        <v>14</v>
      </c>
      <c r="E243" s="17">
        <v>294</v>
      </c>
      <c r="F243" s="18">
        <v>445</v>
      </c>
      <c r="G243" s="23"/>
      <c r="H243" s="22"/>
      <c r="I243" s="4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5" customHeight="1" thickBot="1">
      <c r="A244" s="12"/>
      <c r="B244" s="108"/>
      <c r="C244" s="106"/>
      <c r="D244" s="100" t="s">
        <v>22</v>
      </c>
      <c r="E244" s="17">
        <v>295</v>
      </c>
      <c r="F244" s="18">
        <v>223</v>
      </c>
      <c r="G244" s="20" t="s">
        <v>227</v>
      </c>
      <c r="H244" s="22"/>
      <c r="I244" s="4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5" customHeight="1" thickBot="1">
      <c r="A245" s="12"/>
      <c r="B245" s="108"/>
      <c r="C245" s="107" t="s">
        <v>225</v>
      </c>
      <c r="D245" s="100" t="s">
        <v>12</v>
      </c>
      <c r="E245" s="17">
        <v>296</v>
      </c>
      <c r="F245" s="18">
        <v>223</v>
      </c>
      <c r="G245" s="20" t="s">
        <v>228</v>
      </c>
      <c r="H245" s="22"/>
      <c r="I245" s="4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5" customHeight="1" thickBot="1">
      <c r="A246" s="12"/>
      <c r="B246" s="108"/>
      <c r="C246" s="107" t="s">
        <v>229</v>
      </c>
      <c r="D246" s="100" t="s">
        <v>18</v>
      </c>
      <c r="E246" s="17">
        <v>300</v>
      </c>
      <c r="F246" s="18">
        <v>720</v>
      </c>
      <c r="G246" s="20" t="s">
        <v>230</v>
      </c>
      <c r="H246" s="22"/>
      <c r="I246" s="4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5" customHeight="1" thickBot="1">
      <c r="A247" s="12"/>
      <c r="B247" s="108"/>
      <c r="C247" s="107" t="s">
        <v>231</v>
      </c>
      <c r="D247" s="100" t="s">
        <v>18</v>
      </c>
      <c r="E247" s="17">
        <v>301</v>
      </c>
      <c r="F247" s="18">
        <v>720</v>
      </c>
      <c r="G247" s="23"/>
      <c r="H247" s="22"/>
      <c r="I247" s="4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5" customHeight="1" thickBot="1">
      <c r="A248" s="12"/>
      <c r="B248" s="109" t="s">
        <v>232</v>
      </c>
      <c r="C248" s="107" t="s">
        <v>219</v>
      </c>
      <c r="D248" s="100" t="s">
        <v>82</v>
      </c>
      <c r="E248" s="17">
        <v>293</v>
      </c>
      <c r="F248" s="18">
        <v>255</v>
      </c>
      <c r="G248" s="23"/>
      <c r="H248" s="22"/>
      <c r="I248" s="4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5" customHeight="1" thickBot="1">
      <c r="A249" s="12"/>
      <c r="B249" s="108"/>
      <c r="C249" s="106"/>
      <c r="D249" s="100" t="s">
        <v>22</v>
      </c>
      <c r="E249" s="17">
        <v>297</v>
      </c>
      <c r="F249" s="18">
        <v>318</v>
      </c>
      <c r="G249" s="23"/>
      <c r="H249" s="22"/>
      <c r="I249" s="4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5" customHeight="1" thickBot="1">
      <c r="A250" s="12"/>
      <c r="B250" s="109" t="s">
        <v>218</v>
      </c>
      <c r="C250" s="107" t="s">
        <v>225</v>
      </c>
      <c r="D250" s="100" t="s">
        <v>12</v>
      </c>
      <c r="E250" s="17">
        <v>302</v>
      </c>
      <c r="F250" s="18">
        <v>223</v>
      </c>
      <c r="G250" s="23"/>
      <c r="H250" s="22"/>
      <c r="I250" s="4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5" customHeight="1" thickBot="1">
      <c r="A251" s="12"/>
      <c r="B251" s="109" t="s">
        <v>233</v>
      </c>
      <c r="C251" s="107" t="s">
        <v>222</v>
      </c>
      <c r="D251" s="100" t="s">
        <v>82</v>
      </c>
      <c r="E251" s="17">
        <v>303</v>
      </c>
      <c r="F251" s="18">
        <v>255</v>
      </c>
      <c r="G251" s="23"/>
      <c r="H251" s="22"/>
      <c r="I251" s="4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5" customHeight="1" thickBot="1">
      <c r="A252" s="12"/>
      <c r="B252" s="108"/>
      <c r="C252" s="107" t="s">
        <v>234</v>
      </c>
      <c r="D252" s="100" t="s">
        <v>14</v>
      </c>
      <c r="E252" s="17">
        <v>304</v>
      </c>
      <c r="F252" s="18">
        <v>445</v>
      </c>
      <c r="G252" s="20" t="s">
        <v>235</v>
      </c>
      <c r="H252" s="22"/>
      <c r="I252" s="4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5" customHeight="1" thickBot="1">
      <c r="A253" s="12"/>
      <c r="B253" s="108"/>
      <c r="C253" s="106"/>
      <c r="D253" s="100" t="s">
        <v>22</v>
      </c>
      <c r="E253" s="17">
        <v>295</v>
      </c>
      <c r="F253" s="18">
        <v>223</v>
      </c>
      <c r="G253" s="20" t="s">
        <v>236</v>
      </c>
      <c r="H253" s="22"/>
      <c r="I253" s="4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5" customHeight="1" thickBot="1">
      <c r="A254" s="12"/>
      <c r="B254" s="108"/>
      <c r="C254" s="106"/>
      <c r="D254" s="100" t="s">
        <v>237</v>
      </c>
      <c r="E254" s="17">
        <v>306</v>
      </c>
      <c r="F254" s="18">
        <v>95</v>
      </c>
      <c r="G254" s="23"/>
      <c r="H254" s="22"/>
      <c r="I254" s="4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5" customHeight="1" thickBot="1">
      <c r="A255" s="12"/>
      <c r="B255" s="108"/>
      <c r="C255" s="107" t="s">
        <v>238</v>
      </c>
      <c r="D255" s="100" t="s">
        <v>18</v>
      </c>
      <c r="E255" s="17">
        <v>307</v>
      </c>
      <c r="F255" s="18">
        <v>720</v>
      </c>
      <c r="G255" s="23"/>
      <c r="H255" s="22"/>
      <c r="I255" s="4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5" customHeight="1" thickBot="1">
      <c r="A256" s="12"/>
      <c r="B256" s="108"/>
      <c r="C256" s="107" t="s">
        <v>70</v>
      </c>
      <c r="D256" s="100" t="s">
        <v>82</v>
      </c>
      <c r="E256" s="17">
        <v>308</v>
      </c>
      <c r="F256" s="18">
        <v>255</v>
      </c>
      <c r="G256" s="23"/>
      <c r="H256" s="22"/>
      <c r="I256" s="4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5" customHeight="1" thickBot="1">
      <c r="A257" s="12"/>
      <c r="B257" s="108"/>
      <c r="C257" s="107" t="s">
        <v>234</v>
      </c>
      <c r="D257" s="100" t="s">
        <v>14</v>
      </c>
      <c r="E257" s="17">
        <v>309</v>
      </c>
      <c r="F257" s="18">
        <v>445</v>
      </c>
      <c r="G257" s="23"/>
      <c r="H257" s="22"/>
      <c r="I257" s="4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5" customHeight="1" thickBot="1">
      <c r="A258" s="12"/>
      <c r="B258" s="108"/>
      <c r="C258" s="107" t="s">
        <v>229</v>
      </c>
      <c r="D258" s="100" t="s">
        <v>18</v>
      </c>
      <c r="E258" s="17">
        <v>715</v>
      </c>
      <c r="F258" s="18">
        <v>720</v>
      </c>
      <c r="G258" s="20" t="s">
        <v>239</v>
      </c>
      <c r="H258" s="22"/>
      <c r="I258" s="4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5" customHeight="1" thickBot="1">
      <c r="A259" s="12"/>
      <c r="B259" s="109" t="s">
        <v>240</v>
      </c>
      <c r="C259" s="107" t="s">
        <v>68</v>
      </c>
      <c r="D259" s="100" t="s">
        <v>12</v>
      </c>
      <c r="E259" s="17">
        <v>310</v>
      </c>
      <c r="F259" s="18">
        <v>255</v>
      </c>
      <c r="G259" s="20" t="s">
        <v>241</v>
      </c>
      <c r="H259" s="22"/>
      <c r="I259" s="4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5" customHeight="1" thickBot="1">
      <c r="A260" s="12"/>
      <c r="B260" s="109" t="s">
        <v>242</v>
      </c>
      <c r="C260" s="107" t="s">
        <v>89</v>
      </c>
      <c r="D260" s="100" t="s">
        <v>82</v>
      </c>
      <c r="E260" s="17">
        <v>311</v>
      </c>
      <c r="F260" s="18">
        <v>255</v>
      </c>
      <c r="G260" s="20" t="s">
        <v>243</v>
      </c>
      <c r="H260" s="22"/>
      <c r="I260" s="4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5" customHeight="1" thickBot="1">
      <c r="A261" s="12"/>
      <c r="B261" s="108"/>
      <c r="C261" s="106"/>
      <c r="D261" s="100" t="s">
        <v>14</v>
      </c>
      <c r="E261" s="17">
        <v>312</v>
      </c>
      <c r="F261" s="18">
        <v>382</v>
      </c>
      <c r="G261" s="20" t="s">
        <v>244</v>
      </c>
      <c r="H261" s="22"/>
      <c r="I261" s="4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5" customHeight="1" thickBot="1">
      <c r="A262" s="12"/>
      <c r="B262" s="108"/>
      <c r="C262" s="106"/>
      <c r="D262" s="100" t="s">
        <v>22</v>
      </c>
      <c r="E262" s="17">
        <v>762</v>
      </c>
      <c r="F262" s="18">
        <v>286</v>
      </c>
      <c r="G262" s="20" t="s">
        <v>245</v>
      </c>
      <c r="H262" s="22"/>
      <c r="I262" s="4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5" customHeight="1" thickBot="1">
      <c r="A263" s="12"/>
      <c r="B263" s="108"/>
      <c r="C263" s="107" t="s">
        <v>246</v>
      </c>
      <c r="D263" s="100" t="s">
        <v>22</v>
      </c>
      <c r="E263" s="17">
        <v>1476</v>
      </c>
      <c r="F263" s="18">
        <v>382</v>
      </c>
      <c r="G263" s="20" t="s">
        <v>247</v>
      </c>
      <c r="H263" s="22"/>
      <c r="I263" s="4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5" customHeight="1" thickBot="1">
      <c r="A264" s="12"/>
      <c r="B264" s="108"/>
      <c r="C264" s="107" t="s">
        <v>248</v>
      </c>
      <c r="D264" s="100" t="s">
        <v>103</v>
      </c>
      <c r="E264" s="17">
        <v>915</v>
      </c>
      <c r="F264" s="18">
        <v>223</v>
      </c>
      <c r="G264" s="20" t="s">
        <v>249</v>
      </c>
      <c r="H264" s="22"/>
      <c r="I264" s="4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5" customHeight="1" thickBot="1">
      <c r="A265" s="12"/>
      <c r="B265" s="108"/>
      <c r="C265" s="107" t="s">
        <v>225</v>
      </c>
      <c r="D265" s="100" t="s">
        <v>12</v>
      </c>
      <c r="E265" s="17">
        <v>298</v>
      </c>
      <c r="F265" s="18">
        <v>255</v>
      </c>
      <c r="G265" s="23"/>
      <c r="H265" s="22"/>
      <c r="I265" s="4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5" customHeight="1" thickBot="1">
      <c r="A266" s="12"/>
      <c r="B266" s="108"/>
      <c r="C266" s="107" t="s">
        <v>126</v>
      </c>
      <c r="D266" s="100" t="s">
        <v>82</v>
      </c>
      <c r="E266" s="17">
        <v>305</v>
      </c>
      <c r="F266" s="18">
        <v>255</v>
      </c>
      <c r="G266" s="20" t="s">
        <v>250</v>
      </c>
      <c r="H266" s="22"/>
      <c r="I266" s="4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5" customHeight="1" thickBot="1">
      <c r="A267" s="12"/>
      <c r="B267" s="108"/>
      <c r="C267" s="106"/>
      <c r="D267" s="100" t="s">
        <v>14</v>
      </c>
      <c r="E267" s="17">
        <v>609</v>
      </c>
      <c r="F267" s="18">
        <v>382</v>
      </c>
      <c r="G267" s="20" t="s">
        <v>250</v>
      </c>
      <c r="H267" s="22"/>
      <c r="I267" s="4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5" customHeight="1" thickBot="1">
      <c r="A268" s="12"/>
      <c r="B268" s="109" t="s">
        <v>251</v>
      </c>
      <c r="C268" s="107" t="s">
        <v>238</v>
      </c>
      <c r="D268" s="100" t="s">
        <v>18</v>
      </c>
      <c r="E268" s="17">
        <v>555</v>
      </c>
      <c r="F268" s="18">
        <v>720</v>
      </c>
      <c r="G268" s="20" t="s">
        <v>252</v>
      </c>
      <c r="H268" s="22"/>
      <c r="I268" s="4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5" customHeight="1" thickBot="1">
      <c r="A269" s="12"/>
      <c r="B269" s="108"/>
      <c r="C269" s="107" t="s">
        <v>89</v>
      </c>
      <c r="D269" s="100" t="s">
        <v>20</v>
      </c>
      <c r="E269" s="17">
        <v>556</v>
      </c>
      <c r="F269" s="18">
        <v>720</v>
      </c>
      <c r="G269" s="20" t="s">
        <v>253</v>
      </c>
      <c r="H269" s="22"/>
      <c r="I269" s="4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5" customHeight="1" thickBot="1">
      <c r="A270" s="12"/>
      <c r="B270" s="108"/>
      <c r="C270" s="106"/>
      <c r="D270" s="100" t="s">
        <v>14</v>
      </c>
      <c r="E270" s="17">
        <v>557</v>
      </c>
      <c r="F270" s="18">
        <v>445</v>
      </c>
      <c r="G270" s="20" t="s">
        <v>254</v>
      </c>
      <c r="H270" s="22"/>
      <c r="I270" s="4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5" customHeight="1" thickBot="1">
      <c r="A271" s="12"/>
      <c r="B271" s="108"/>
      <c r="C271" s="106"/>
      <c r="D271" s="100" t="s">
        <v>22</v>
      </c>
      <c r="E271" s="17">
        <v>558</v>
      </c>
      <c r="F271" s="18">
        <v>286</v>
      </c>
      <c r="G271" s="23"/>
      <c r="H271" s="22"/>
      <c r="I271" s="4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5" customHeight="1" thickBot="1">
      <c r="A272" s="12"/>
      <c r="B272" s="109" t="s">
        <v>255</v>
      </c>
      <c r="C272" s="107" t="s">
        <v>225</v>
      </c>
      <c r="D272" s="100" t="s">
        <v>12</v>
      </c>
      <c r="E272" s="17">
        <v>322</v>
      </c>
      <c r="F272" s="18">
        <v>382</v>
      </c>
      <c r="G272" s="23"/>
      <c r="H272" s="22"/>
      <c r="I272" s="4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5" customHeight="1" thickBot="1">
      <c r="A273" s="12"/>
      <c r="B273" s="109">
        <v>2003</v>
      </c>
      <c r="C273" s="107" t="s">
        <v>222</v>
      </c>
      <c r="D273" s="100" t="s">
        <v>82</v>
      </c>
      <c r="E273" s="17">
        <v>323</v>
      </c>
      <c r="F273" s="18">
        <v>382</v>
      </c>
      <c r="G273" s="20" t="s">
        <v>256</v>
      </c>
      <c r="H273" s="22"/>
      <c r="I273" s="4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5" customHeight="1" thickBot="1">
      <c r="A274" s="12"/>
      <c r="B274" s="108"/>
      <c r="C274" s="106"/>
      <c r="D274" s="100" t="s">
        <v>14</v>
      </c>
      <c r="E274" s="17">
        <v>324</v>
      </c>
      <c r="F274" s="18">
        <v>509</v>
      </c>
      <c r="G274" s="20" t="s">
        <v>13</v>
      </c>
      <c r="H274" s="22"/>
      <c r="I274" s="4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5" customHeight="1" thickBot="1">
      <c r="A275" s="12"/>
      <c r="B275" s="108"/>
      <c r="C275" s="106"/>
      <c r="D275" s="100" t="s">
        <v>22</v>
      </c>
      <c r="E275" s="17">
        <v>325</v>
      </c>
      <c r="F275" s="18">
        <v>318</v>
      </c>
      <c r="G275" s="23"/>
      <c r="H275" s="22"/>
      <c r="I275" s="4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5" customHeight="1" thickBot="1">
      <c r="A276" s="12"/>
      <c r="B276" s="108"/>
      <c r="C276" s="106"/>
      <c r="D276" s="100" t="s">
        <v>65</v>
      </c>
      <c r="E276" s="17" t="s">
        <v>257</v>
      </c>
      <c r="F276" s="18">
        <v>636</v>
      </c>
      <c r="G276" s="20" t="s">
        <v>258</v>
      </c>
      <c r="H276" s="22"/>
      <c r="I276" s="4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5" customHeight="1" thickBot="1">
      <c r="A277" s="12"/>
      <c r="B277" s="108"/>
      <c r="C277" s="106"/>
      <c r="D277" s="100" t="s">
        <v>259</v>
      </c>
      <c r="E277" s="17">
        <v>326</v>
      </c>
      <c r="F277" s="18">
        <v>223</v>
      </c>
      <c r="G277" s="20" t="s">
        <v>260</v>
      </c>
      <c r="H277" s="22"/>
      <c r="I277" s="4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5" customHeight="1" thickBot="1">
      <c r="A278" s="12"/>
      <c r="B278" s="108"/>
      <c r="C278" s="107" t="s">
        <v>261</v>
      </c>
      <c r="D278" s="100" t="s">
        <v>12</v>
      </c>
      <c r="E278" s="17">
        <v>610</v>
      </c>
      <c r="F278" s="18">
        <v>286</v>
      </c>
      <c r="G278" s="20" t="s">
        <v>262</v>
      </c>
      <c r="H278" s="22"/>
      <c r="I278" s="4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5" customHeight="1" thickBot="1">
      <c r="A279" s="12"/>
      <c r="B279" s="108"/>
      <c r="C279" s="106"/>
      <c r="D279" s="100" t="s">
        <v>22</v>
      </c>
      <c r="E279" s="17">
        <v>611</v>
      </c>
      <c r="F279" s="18">
        <v>223</v>
      </c>
      <c r="G279" s="20" t="s">
        <v>263</v>
      </c>
      <c r="H279" s="22"/>
      <c r="I279" s="4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5" customHeight="1" thickBot="1">
      <c r="A280" s="12"/>
      <c r="B280" s="108"/>
      <c r="C280" s="106"/>
      <c r="D280" s="100" t="s">
        <v>259</v>
      </c>
      <c r="E280" s="17">
        <v>612</v>
      </c>
      <c r="F280" s="18">
        <v>127</v>
      </c>
      <c r="G280" s="23"/>
      <c r="H280" s="22"/>
      <c r="I280" s="4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5" customHeight="1" thickBot="1">
      <c r="A281" s="12"/>
      <c r="B281" s="109" t="s">
        <v>255</v>
      </c>
      <c r="C281" s="107" t="s">
        <v>68</v>
      </c>
      <c r="D281" s="100" t="s">
        <v>26</v>
      </c>
      <c r="E281" s="17">
        <v>705</v>
      </c>
      <c r="F281" s="18">
        <v>286</v>
      </c>
      <c r="G281" s="20" t="s">
        <v>264</v>
      </c>
      <c r="H281" s="22"/>
      <c r="I281" s="4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5" customHeight="1" thickBot="1">
      <c r="A282" s="12"/>
      <c r="B282" s="109">
        <v>2003</v>
      </c>
      <c r="C282" s="106"/>
      <c r="D282" s="100" t="s">
        <v>103</v>
      </c>
      <c r="E282" s="17">
        <v>706</v>
      </c>
      <c r="F282" s="18">
        <v>286</v>
      </c>
      <c r="G282" s="23"/>
      <c r="H282" s="22"/>
      <c r="I282" s="4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5" customHeight="1" thickBot="1">
      <c r="A283" s="12"/>
      <c r="B283" s="108"/>
      <c r="C283" s="107" t="s">
        <v>83</v>
      </c>
      <c r="D283" s="100" t="s">
        <v>26</v>
      </c>
      <c r="E283" s="17">
        <v>792</v>
      </c>
      <c r="F283" s="18">
        <v>382</v>
      </c>
      <c r="G283" s="20" t="s">
        <v>265</v>
      </c>
      <c r="H283" s="22"/>
      <c r="I283" s="4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5" customHeight="1" thickBot="1">
      <c r="A284" s="12"/>
      <c r="B284" s="108"/>
      <c r="C284" s="107" t="s">
        <v>126</v>
      </c>
      <c r="D284" s="100" t="s">
        <v>29</v>
      </c>
      <c r="E284" s="17">
        <v>793</v>
      </c>
      <c r="F284" s="18">
        <v>382</v>
      </c>
      <c r="G284" s="20" t="s">
        <v>266</v>
      </c>
      <c r="H284" s="22"/>
      <c r="I284" s="4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5" customHeight="1" thickBot="1">
      <c r="A285" s="12"/>
      <c r="B285" s="108"/>
      <c r="C285" s="106"/>
      <c r="D285" s="100" t="s">
        <v>14</v>
      </c>
      <c r="E285" s="17">
        <v>794</v>
      </c>
      <c r="F285" s="18">
        <v>509</v>
      </c>
      <c r="G285" s="23"/>
      <c r="H285" s="22"/>
      <c r="I285" s="4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5" customHeight="1" thickBot="1">
      <c r="A286" s="12"/>
      <c r="B286" s="108"/>
      <c r="C286" s="107" t="s">
        <v>267</v>
      </c>
      <c r="D286" s="100" t="s">
        <v>26</v>
      </c>
      <c r="E286" s="17">
        <v>806</v>
      </c>
      <c r="F286" s="18">
        <v>382</v>
      </c>
      <c r="G286" s="23"/>
      <c r="H286" s="22"/>
      <c r="I286" s="4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5" customHeight="1" thickBot="1">
      <c r="A287" s="12"/>
      <c r="B287" s="109" t="s">
        <v>255</v>
      </c>
      <c r="C287" s="107" t="s">
        <v>68</v>
      </c>
      <c r="D287" s="100" t="s">
        <v>60</v>
      </c>
      <c r="E287" s="17">
        <v>1030</v>
      </c>
      <c r="F287" s="18">
        <v>955</v>
      </c>
      <c r="G287" s="20" t="s">
        <v>268</v>
      </c>
      <c r="H287" s="22"/>
      <c r="I287" s="4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5" customHeight="1" thickBot="1">
      <c r="A288" s="12"/>
      <c r="B288" s="109">
        <v>2003</v>
      </c>
      <c r="C288" s="107" t="s">
        <v>111</v>
      </c>
      <c r="D288" s="100" t="s">
        <v>61</v>
      </c>
      <c r="E288" s="17">
        <v>1031</v>
      </c>
      <c r="F288" s="18">
        <v>764</v>
      </c>
      <c r="G288" s="20" t="s">
        <v>120</v>
      </c>
      <c r="H288" s="22"/>
      <c r="I288" s="4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5" customHeight="1" thickBot="1">
      <c r="A289" s="12"/>
      <c r="B289" s="108"/>
      <c r="C289" s="106"/>
      <c r="D289" s="100" t="s">
        <v>61</v>
      </c>
      <c r="E289" s="17">
        <v>1032</v>
      </c>
      <c r="F289" s="18">
        <v>191</v>
      </c>
      <c r="G289" s="20" t="s">
        <v>269</v>
      </c>
      <c r="H289" s="22"/>
      <c r="I289" s="4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5" customHeight="1" thickBot="1">
      <c r="A290" s="12"/>
      <c r="B290" s="108"/>
      <c r="C290" s="106"/>
      <c r="D290" s="100" t="s">
        <v>18</v>
      </c>
      <c r="E290" s="17">
        <v>1033</v>
      </c>
      <c r="F290" s="18">
        <v>720</v>
      </c>
      <c r="G290" s="23"/>
      <c r="H290" s="22"/>
      <c r="I290" s="4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5" customHeight="1" thickBot="1">
      <c r="A291" s="12"/>
      <c r="B291" s="108"/>
      <c r="C291" s="106"/>
      <c r="D291" s="100" t="s">
        <v>26</v>
      </c>
      <c r="E291" s="17">
        <v>1034</v>
      </c>
      <c r="F291" s="18">
        <v>382</v>
      </c>
      <c r="G291" s="23"/>
      <c r="H291" s="22"/>
      <c r="I291" s="4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5" customHeight="1" thickBot="1">
      <c r="A292" s="12"/>
      <c r="B292" s="108"/>
      <c r="C292" s="106"/>
      <c r="D292" s="100" t="s">
        <v>20</v>
      </c>
      <c r="E292" s="17">
        <v>1035</v>
      </c>
      <c r="F292" s="18">
        <v>720</v>
      </c>
      <c r="G292" s="23"/>
      <c r="H292" s="22"/>
      <c r="I292" s="4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5" customHeight="1" thickBot="1">
      <c r="A293" s="12"/>
      <c r="B293" s="108"/>
      <c r="C293" s="106"/>
      <c r="D293" s="100" t="s">
        <v>14</v>
      </c>
      <c r="E293" s="17">
        <v>1036</v>
      </c>
      <c r="F293" s="18">
        <v>573</v>
      </c>
      <c r="G293" s="23"/>
      <c r="H293" s="22"/>
      <c r="I293" s="4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5" customHeight="1" thickBot="1">
      <c r="A294" s="12"/>
      <c r="B294" s="108"/>
      <c r="C294" s="106"/>
      <c r="D294" s="100" t="s">
        <v>22</v>
      </c>
      <c r="E294" s="17">
        <v>1037</v>
      </c>
      <c r="F294" s="18">
        <v>414</v>
      </c>
      <c r="G294" s="20" t="s">
        <v>270</v>
      </c>
      <c r="H294" s="22"/>
      <c r="I294" s="4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5" customHeight="1" thickBot="1">
      <c r="A295" s="12"/>
      <c r="B295" s="109" t="s">
        <v>255</v>
      </c>
      <c r="C295" s="107" t="s">
        <v>271</v>
      </c>
      <c r="D295" s="100" t="s">
        <v>18</v>
      </c>
      <c r="E295" s="17">
        <v>1413</v>
      </c>
      <c r="F295" s="18">
        <v>720</v>
      </c>
      <c r="G295" s="20" t="s">
        <v>270</v>
      </c>
      <c r="H295" s="22"/>
      <c r="I295" s="4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5" customHeight="1" thickBot="1">
      <c r="A296" s="12"/>
      <c r="B296" s="109">
        <v>2003</v>
      </c>
      <c r="C296" s="107" t="s">
        <v>70</v>
      </c>
      <c r="D296" s="100" t="s">
        <v>20</v>
      </c>
      <c r="E296" s="17">
        <v>1414</v>
      </c>
      <c r="F296" s="18">
        <v>720</v>
      </c>
      <c r="G296" s="23"/>
      <c r="H296" s="22"/>
      <c r="I296" s="4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5" customHeight="1" thickBot="1">
      <c r="A297" s="12"/>
      <c r="B297" s="108"/>
      <c r="C297" s="106"/>
      <c r="D297" s="100" t="s">
        <v>14</v>
      </c>
      <c r="E297" s="17">
        <v>1415</v>
      </c>
      <c r="F297" s="18">
        <v>445</v>
      </c>
      <c r="G297" s="23"/>
      <c r="H297" s="22"/>
      <c r="I297" s="4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5" customHeight="1" thickBot="1">
      <c r="A298" s="12"/>
      <c r="B298" s="109" t="s">
        <v>255</v>
      </c>
      <c r="C298" s="107" t="s">
        <v>225</v>
      </c>
      <c r="D298" s="100" t="s">
        <v>26</v>
      </c>
      <c r="E298" s="17">
        <v>1003</v>
      </c>
      <c r="F298" s="18">
        <v>382</v>
      </c>
      <c r="G298" s="20" t="s">
        <v>264</v>
      </c>
      <c r="H298" s="22"/>
      <c r="I298" s="4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5" customHeight="1" thickBot="1">
      <c r="A299" s="12"/>
      <c r="B299" s="109">
        <v>2008</v>
      </c>
      <c r="C299" s="106"/>
      <c r="D299" s="100" t="s">
        <v>29</v>
      </c>
      <c r="E299" s="17">
        <v>1004</v>
      </c>
      <c r="F299" s="18">
        <v>382</v>
      </c>
      <c r="G299" s="20" t="s">
        <v>41</v>
      </c>
      <c r="H299" s="22"/>
      <c r="I299" s="4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5" customHeight="1" thickBot="1">
      <c r="A300" s="12"/>
      <c r="B300" s="108"/>
      <c r="C300" s="106"/>
      <c r="D300" s="100" t="s">
        <v>14</v>
      </c>
      <c r="E300" s="17">
        <v>1005</v>
      </c>
      <c r="F300" s="18">
        <v>509</v>
      </c>
      <c r="G300" s="23"/>
      <c r="H300" s="22"/>
      <c r="I300" s="4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5" customHeight="1" thickBot="1">
      <c r="A301" s="12"/>
      <c r="B301" s="108"/>
      <c r="C301" s="106"/>
      <c r="D301" s="100" t="s">
        <v>22</v>
      </c>
      <c r="E301" s="17">
        <v>1006</v>
      </c>
      <c r="F301" s="18">
        <v>509</v>
      </c>
      <c r="G301" s="20" t="s">
        <v>272</v>
      </c>
      <c r="H301" s="22"/>
      <c r="I301" s="4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5" customHeight="1" thickBot="1">
      <c r="A302" s="12"/>
      <c r="B302" s="108"/>
      <c r="C302" s="106"/>
      <c r="D302" s="100" t="s">
        <v>273</v>
      </c>
      <c r="E302" s="17">
        <v>1007</v>
      </c>
      <c r="F302" s="18">
        <v>286</v>
      </c>
      <c r="G302" s="23"/>
      <c r="H302" s="22"/>
      <c r="I302" s="4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5" customHeight="1" thickBot="1">
      <c r="A303" s="12"/>
      <c r="B303" s="109" t="s">
        <v>255</v>
      </c>
      <c r="C303" s="107" t="s">
        <v>274</v>
      </c>
      <c r="D303" s="100" t="s">
        <v>18</v>
      </c>
      <c r="E303" s="17">
        <v>1661</v>
      </c>
      <c r="F303" s="18">
        <v>720</v>
      </c>
      <c r="G303" s="23"/>
      <c r="H303" s="22"/>
      <c r="I303" s="4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5" customHeight="1" thickBot="1">
      <c r="A304" s="12"/>
      <c r="B304" s="109">
        <v>2008</v>
      </c>
      <c r="C304" s="106"/>
      <c r="D304" s="100" t="s">
        <v>20</v>
      </c>
      <c r="E304" s="17">
        <v>1662</v>
      </c>
      <c r="F304" s="18">
        <v>720</v>
      </c>
      <c r="G304" s="20" t="s">
        <v>275</v>
      </c>
      <c r="H304" s="22"/>
      <c r="I304" s="4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5" customHeight="1" thickBot="1">
      <c r="A305" s="12"/>
      <c r="B305" s="108"/>
      <c r="C305" s="106"/>
      <c r="D305" s="100" t="s">
        <v>14</v>
      </c>
      <c r="E305" s="17">
        <v>1663</v>
      </c>
      <c r="F305" s="18">
        <v>445</v>
      </c>
      <c r="G305" s="20" t="s">
        <v>276</v>
      </c>
      <c r="H305" s="22"/>
      <c r="I305" s="4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5" customHeight="1" thickBot="1">
      <c r="A306" s="12"/>
      <c r="B306" s="108"/>
      <c r="C306" s="106"/>
      <c r="D306" s="100" t="s">
        <v>26</v>
      </c>
      <c r="E306" s="17">
        <v>1664</v>
      </c>
      <c r="F306" s="18">
        <v>764</v>
      </c>
      <c r="G306" s="20" t="s">
        <v>277</v>
      </c>
      <c r="H306" s="22"/>
      <c r="I306" s="4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5" customHeight="1" thickBot="1">
      <c r="A307" s="12"/>
      <c r="B307" s="108"/>
      <c r="C307" s="106"/>
      <c r="D307" s="100" t="s">
        <v>29</v>
      </c>
      <c r="E307" s="17">
        <v>1666</v>
      </c>
      <c r="F307" s="18">
        <v>955</v>
      </c>
      <c r="G307" s="23"/>
      <c r="H307" s="22"/>
      <c r="I307" s="4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5" customHeight="1" thickBot="1">
      <c r="A308" s="12"/>
      <c r="B308" s="109" t="s">
        <v>278</v>
      </c>
      <c r="C308" s="107" t="s">
        <v>219</v>
      </c>
      <c r="D308" s="100" t="s">
        <v>22</v>
      </c>
      <c r="E308" s="17">
        <v>559</v>
      </c>
      <c r="F308" s="18">
        <v>382</v>
      </c>
      <c r="G308" s="20" t="s">
        <v>279</v>
      </c>
      <c r="H308" s="22"/>
      <c r="I308" s="4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5" customHeight="1" thickBot="1">
      <c r="A309" s="12"/>
      <c r="B309" s="109" t="s">
        <v>280</v>
      </c>
      <c r="C309" s="107" t="s">
        <v>225</v>
      </c>
      <c r="D309" s="100" t="s">
        <v>18</v>
      </c>
      <c r="E309" s="17">
        <v>833</v>
      </c>
      <c r="F309" s="18">
        <v>720</v>
      </c>
      <c r="G309" s="20" t="s">
        <v>281</v>
      </c>
      <c r="H309" s="22"/>
      <c r="I309" s="4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5" customHeight="1" thickBot="1">
      <c r="A310" s="12"/>
      <c r="B310" s="108"/>
      <c r="C310" s="106"/>
      <c r="D310" s="100" t="s">
        <v>29</v>
      </c>
      <c r="E310" s="17">
        <v>834</v>
      </c>
      <c r="F310" s="18">
        <v>382</v>
      </c>
      <c r="G310" s="23"/>
      <c r="H310" s="22"/>
      <c r="I310" s="4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5" customHeight="1" thickBot="1">
      <c r="A311" s="12"/>
      <c r="B311" s="108"/>
      <c r="C311" s="106"/>
      <c r="D311" s="100" t="s">
        <v>14</v>
      </c>
      <c r="E311" s="17">
        <v>835</v>
      </c>
      <c r="F311" s="18">
        <v>509</v>
      </c>
      <c r="G311" s="23"/>
      <c r="H311" s="22"/>
      <c r="I311" s="4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5" customHeight="1" thickBot="1">
      <c r="A312" s="12"/>
      <c r="B312" s="108"/>
      <c r="C312" s="106"/>
      <c r="D312" s="100" t="s">
        <v>22</v>
      </c>
      <c r="E312" s="17">
        <v>560</v>
      </c>
      <c r="F312" s="18">
        <v>382</v>
      </c>
      <c r="G312" s="23"/>
      <c r="H312" s="22"/>
      <c r="I312" s="4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5" customHeight="1" thickBot="1">
      <c r="A313" s="12"/>
      <c r="B313" s="108"/>
      <c r="C313" s="107" t="s">
        <v>238</v>
      </c>
      <c r="D313" s="100" t="s">
        <v>18</v>
      </c>
      <c r="E313" s="17">
        <v>1637</v>
      </c>
      <c r="F313" s="18">
        <v>720</v>
      </c>
      <c r="G313" s="23"/>
      <c r="H313" s="22"/>
      <c r="I313" s="4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5" customHeight="1" thickBot="1">
      <c r="A314" s="12"/>
      <c r="B314" s="108"/>
      <c r="C314" s="107" t="s">
        <v>111</v>
      </c>
      <c r="D314" s="100" t="s">
        <v>20</v>
      </c>
      <c r="E314" s="17">
        <v>1638</v>
      </c>
      <c r="F314" s="18">
        <v>720</v>
      </c>
      <c r="G314" s="20" t="s">
        <v>282</v>
      </c>
      <c r="H314" s="22"/>
      <c r="I314" s="4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5" customHeight="1" thickBot="1">
      <c r="A315" s="12"/>
      <c r="B315" s="108"/>
      <c r="C315" s="106"/>
      <c r="D315" s="100" t="s">
        <v>14</v>
      </c>
      <c r="E315" s="17">
        <v>1639</v>
      </c>
      <c r="F315" s="18">
        <v>509</v>
      </c>
      <c r="G315" s="20" t="s">
        <v>283</v>
      </c>
      <c r="H315" s="22"/>
      <c r="I315" s="4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5" customHeight="1" thickBot="1">
      <c r="A316" s="12"/>
      <c r="B316" s="108"/>
      <c r="C316" s="106"/>
      <c r="D316" s="100" t="s">
        <v>60</v>
      </c>
      <c r="E316" s="17">
        <v>1640</v>
      </c>
      <c r="F316" s="18">
        <v>955</v>
      </c>
      <c r="G316" s="20" t="s">
        <v>282</v>
      </c>
      <c r="H316" s="22"/>
      <c r="I316" s="4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5" customHeight="1" thickBot="1">
      <c r="A317" s="12"/>
      <c r="B317" s="108"/>
      <c r="C317" s="106"/>
      <c r="D317" s="100" t="s">
        <v>61</v>
      </c>
      <c r="E317" s="17">
        <v>1641</v>
      </c>
      <c r="F317" s="18">
        <v>573</v>
      </c>
      <c r="G317" s="20" t="s">
        <v>284</v>
      </c>
      <c r="H317" s="22"/>
      <c r="I317" s="4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5" customHeight="1" thickBot="1">
      <c r="A318" s="12"/>
      <c r="B318" s="108"/>
      <c r="C318" s="107" t="s">
        <v>285</v>
      </c>
      <c r="D318" s="100" t="s">
        <v>18</v>
      </c>
      <c r="E318" s="17">
        <v>345</v>
      </c>
      <c r="F318" s="18">
        <v>720</v>
      </c>
      <c r="G318" s="20" t="s">
        <v>286</v>
      </c>
      <c r="H318" s="22"/>
      <c r="I318" s="4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5" customHeight="1" thickBot="1">
      <c r="A319" s="12"/>
      <c r="B319" s="108"/>
      <c r="C319" s="107" t="s">
        <v>287</v>
      </c>
      <c r="D319" s="100" t="s">
        <v>20</v>
      </c>
      <c r="E319" s="17">
        <v>346</v>
      </c>
      <c r="F319" s="18">
        <v>720</v>
      </c>
      <c r="G319" s="20" t="s">
        <v>288</v>
      </c>
      <c r="H319" s="22"/>
      <c r="I319" s="4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5" customHeight="1" thickBot="1">
      <c r="A320" s="12"/>
      <c r="B320" s="108"/>
      <c r="C320" s="106"/>
      <c r="D320" s="100" t="s">
        <v>14</v>
      </c>
      <c r="E320" s="17">
        <v>347</v>
      </c>
      <c r="F320" s="18">
        <v>509</v>
      </c>
      <c r="G320" s="20" t="s">
        <v>288</v>
      </c>
      <c r="H320" s="22"/>
      <c r="I320" s="4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5" customHeight="1" thickBot="1">
      <c r="A321" s="12"/>
      <c r="B321" s="108"/>
      <c r="C321" s="106"/>
      <c r="D321" s="100" t="s">
        <v>22</v>
      </c>
      <c r="E321" s="17">
        <v>348</v>
      </c>
      <c r="F321" s="18">
        <v>382</v>
      </c>
      <c r="G321" s="20" t="s">
        <v>289</v>
      </c>
      <c r="H321" s="22"/>
      <c r="I321" s="4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5" customHeight="1" thickBot="1">
      <c r="A322" s="12"/>
      <c r="B322" s="108"/>
      <c r="C322" s="106"/>
      <c r="D322" s="100" t="s">
        <v>65</v>
      </c>
      <c r="E322" s="17">
        <v>341</v>
      </c>
      <c r="F322" s="18">
        <v>223</v>
      </c>
      <c r="G322" s="23"/>
      <c r="H322" s="22"/>
      <c r="I322" s="4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5" customHeight="1" thickBot="1">
      <c r="A323" s="12"/>
      <c r="B323" s="108"/>
      <c r="C323" s="106"/>
      <c r="D323" s="100" t="s">
        <v>60</v>
      </c>
      <c r="E323" s="17">
        <v>349</v>
      </c>
      <c r="F323" s="18">
        <v>955</v>
      </c>
      <c r="G323" s="20" t="s">
        <v>290</v>
      </c>
      <c r="H323" s="22"/>
      <c r="I323" s="4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5" customHeight="1" thickBot="1">
      <c r="A324" s="12"/>
      <c r="B324" s="108"/>
      <c r="C324" s="106"/>
      <c r="D324" s="100" t="s">
        <v>61</v>
      </c>
      <c r="E324" s="17">
        <v>350</v>
      </c>
      <c r="F324" s="18">
        <v>955</v>
      </c>
      <c r="G324" s="20" t="s">
        <v>291</v>
      </c>
      <c r="H324" s="22"/>
      <c r="I324" s="4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5" customHeight="1" thickBot="1">
      <c r="A325" s="12"/>
      <c r="B325" s="108"/>
      <c r="C325" s="106"/>
      <c r="D325" s="100" t="s">
        <v>292</v>
      </c>
      <c r="E325" s="17">
        <v>351</v>
      </c>
      <c r="F325" s="18">
        <v>1145</v>
      </c>
      <c r="G325" s="20" t="s">
        <v>293</v>
      </c>
      <c r="H325" s="22"/>
      <c r="I325" s="4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5" customHeight="1" thickBot="1">
      <c r="A326" s="12"/>
      <c r="B326" s="108"/>
      <c r="C326" s="106"/>
      <c r="D326" s="100" t="s">
        <v>63</v>
      </c>
      <c r="E326" s="17">
        <v>352</v>
      </c>
      <c r="F326" s="18">
        <v>255</v>
      </c>
      <c r="G326" s="20" t="s">
        <v>294</v>
      </c>
      <c r="H326" s="22"/>
      <c r="I326" s="4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5" customHeight="1" thickBot="1">
      <c r="A327" s="12"/>
      <c r="B327" s="108"/>
      <c r="C327" s="107" t="s">
        <v>295</v>
      </c>
      <c r="D327" s="100" t="s">
        <v>18</v>
      </c>
      <c r="E327" s="17">
        <v>353</v>
      </c>
      <c r="F327" s="18">
        <v>720</v>
      </c>
      <c r="G327" s="23"/>
      <c r="H327" s="22"/>
      <c r="I327" s="4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5" customHeight="1" thickBot="1">
      <c r="A328" s="12"/>
      <c r="B328" s="108"/>
      <c r="C328" s="107" t="s">
        <v>70</v>
      </c>
      <c r="D328" s="100" t="s">
        <v>20</v>
      </c>
      <c r="E328" s="17">
        <v>354</v>
      </c>
      <c r="F328" s="18">
        <v>720</v>
      </c>
      <c r="G328" s="23"/>
      <c r="H328" s="22"/>
      <c r="I328" s="4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5" customHeight="1" thickBot="1">
      <c r="A329" s="12"/>
      <c r="B329" s="108"/>
      <c r="C329" s="106"/>
      <c r="D329" s="100" t="s">
        <v>14</v>
      </c>
      <c r="E329" s="17">
        <v>355</v>
      </c>
      <c r="F329" s="18">
        <v>445</v>
      </c>
      <c r="G329" s="20" t="s">
        <v>296</v>
      </c>
      <c r="H329" s="22"/>
      <c r="I329" s="4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5" customHeight="1" thickBot="1">
      <c r="A330" s="12"/>
      <c r="B330" s="108"/>
      <c r="C330" s="107" t="s">
        <v>297</v>
      </c>
      <c r="D330" s="100" t="s">
        <v>18</v>
      </c>
      <c r="E330" s="17">
        <v>356</v>
      </c>
      <c r="F330" s="18">
        <v>720</v>
      </c>
      <c r="G330" s="23"/>
      <c r="H330" s="22"/>
      <c r="I330" s="4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5" customHeight="1" thickBot="1">
      <c r="A331" s="12"/>
      <c r="B331" s="108"/>
      <c r="C331" s="107" t="s">
        <v>70</v>
      </c>
      <c r="D331" s="100" t="s">
        <v>20</v>
      </c>
      <c r="E331" s="17">
        <v>357</v>
      </c>
      <c r="F331" s="18">
        <v>720</v>
      </c>
      <c r="G331" s="23"/>
      <c r="H331" s="22"/>
      <c r="I331" s="4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5" customHeight="1" thickBot="1">
      <c r="A332" s="12"/>
      <c r="B332" s="108"/>
      <c r="C332" s="106"/>
      <c r="D332" s="100" t="s">
        <v>14</v>
      </c>
      <c r="E332" s="17">
        <v>358</v>
      </c>
      <c r="F332" s="18">
        <v>445</v>
      </c>
      <c r="G332" s="23"/>
      <c r="H332" s="22"/>
      <c r="I332" s="4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5" customHeight="1" thickBot="1">
      <c r="A333" s="12"/>
      <c r="B333" s="108"/>
      <c r="C333" s="107" t="s">
        <v>267</v>
      </c>
      <c r="D333" s="100" t="s">
        <v>22</v>
      </c>
      <c r="E333" s="17" t="s">
        <v>298</v>
      </c>
      <c r="F333" s="18">
        <v>382</v>
      </c>
      <c r="G333" s="23"/>
      <c r="H333" s="22"/>
      <c r="I333" s="4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23" customHeight="1" thickBot="1">
      <c r="A334" s="12"/>
      <c r="B334" s="108"/>
      <c r="C334" s="107" t="s">
        <v>299</v>
      </c>
      <c r="D334" s="100" t="s">
        <v>22</v>
      </c>
      <c r="E334" s="17" t="s">
        <v>300</v>
      </c>
      <c r="F334" s="18">
        <v>382</v>
      </c>
      <c r="G334" s="20" t="s">
        <v>301</v>
      </c>
      <c r="H334" s="22"/>
      <c r="I334" s="4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5" customHeight="1" thickBot="1">
      <c r="A335" s="12"/>
      <c r="B335" s="109" t="s">
        <v>302</v>
      </c>
      <c r="C335" s="107" t="s">
        <v>303</v>
      </c>
      <c r="D335" s="100" t="s">
        <v>12</v>
      </c>
      <c r="E335" s="17">
        <v>359</v>
      </c>
      <c r="F335" s="18">
        <v>286</v>
      </c>
      <c r="G335" s="23"/>
      <c r="H335" s="22"/>
      <c r="I335" s="4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5" customHeight="1" thickBot="1">
      <c r="A336" s="12"/>
      <c r="B336" s="108"/>
      <c r="C336" s="107" t="s">
        <v>126</v>
      </c>
      <c r="D336" s="100" t="s">
        <v>82</v>
      </c>
      <c r="E336" s="17">
        <v>360</v>
      </c>
      <c r="F336" s="18">
        <v>286</v>
      </c>
      <c r="G336" s="20" t="s">
        <v>304</v>
      </c>
      <c r="H336" s="22"/>
      <c r="I336" s="4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5" customHeight="1" thickBot="1">
      <c r="A337" s="12"/>
      <c r="B337" s="108"/>
      <c r="C337" s="106"/>
      <c r="D337" s="100" t="s">
        <v>14</v>
      </c>
      <c r="E337" s="17">
        <v>361</v>
      </c>
      <c r="F337" s="18">
        <v>445</v>
      </c>
      <c r="G337" s="20" t="s">
        <v>305</v>
      </c>
      <c r="H337" s="22"/>
      <c r="I337" s="4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5" customHeight="1" thickBot="1">
      <c r="A338" s="12"/>
      <c r="B338" s="108"/>
      <c r="C338" s="107" t="s">
        <v>306</v>
      </c>
      <c r="D338" s="100" t="s">
        <v>103</v>
      </c>
      <c r="E338" s="17">
        <v>916</v>
      </c>
      <c r="F338" s="18">
        <v>255</v>
      </c>
      <c r="G338" s="23"/>
      <c r="H338" s="22"/>
      <c r="I338" s="4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5" customHeight="1" thickBot="1">
      <c r="A339" s="12"/>
      <c r="B339" s="108"/>
      <c r="C339" s="107" t="s">
        <v>261</v>
      </c>
      <c r="D339" s="100" t="s">
        <v>103</v>
      </c>
      <c r="E339" s="17">
        <v>1025</v>
      </c>
      <c r="F339" s="18">
        <v>255</v>
      </c>
      <c r="G339" s="23"/>
      <c r="H339" s="22"/>
      <c r="I339" s="4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5" customHeight="1" thickBot="1">
      <c r="A340" s="12"/>
      <c r="B340" s="108"/>
      <c r="C340" s="106"/>
      <c r="D340" s="100" t="s">
        <v>259</v>
      </c>
      <c r="E340" s="17">
        <v>1024</v>
      </c>
      <c r="F340" s="18">
        <v>159</v>
      </c>
      <c r="G340" s="23"/>
      <c r="H340" s="22"/>
      <c r="I340" s="4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5" customHeight="1" thickBot="1">
      <c r="A341" s="12"/>
      <c r="B341" s="109" t="s">
        <v>307</v>
      </c>
      <c r="C341" s="107" t="s">
        <v>308</v>
      </c>
      <c r="D341" s="100" t="s">
        <v>18</v>
      </c>
      <c r="E341" s="17">
        <v>935</v>
      </c>
      <c r="F341" s="18">
        <v>720</v>
      </c>
      <c r="G341" s="23"/>
      <c r="H341" s="22"/>
      <c r="I341" s="4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5" customHeight="1" thickBot="1">
      <c r="A342" s="12"/>
      <c r="B342" s="108"/>
      <c r="C342" s="107" t="s">
        <v>287</v>
      </c>
      <c r="D342" s="100" t="s">
        <v>20</v>
      </c>
      <c r="E342" s="17">
        <v>937</v>
      </c>
      <c r="F342" s="18">
        <v>720</v>
      </c>
      <c r="G342" s="23"/>
      <c r="H342" s="22"/>
      <c r="I342" s="4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5" customHeight="1" thickBot="1">
      <c r="A343" s="12"/>
      <c r="B343" s="108"/>
      <c r="C343" s="106"/>
      <c r="D343" s="100" t="s">
        <v>14</v>
      </c>
      <c r="E343" s="17">
        <v>936</v>
      </c>
      <c r="F343" s="18">
        <v>509</v>
      </c>
      <c r="G343" s="23"/>
      <c r="H343" s="22"/>
      <c r="I343" s="4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5" customHeight="1" thickBot="1">
      <c r="A344" s="12"/>
      <c r="B344" s="108"/>
      <c r="C344" s="106"/>
      <c r="D344" s="100" t="s">
        <v>22</v>
      </c>
      <c r="E344" s="17">
        <v>942</v>
      </c>
      <c r="F344" s="18">
        <v>955</v>
      </c>
      <c r="G344" s="23"/>
      <c r="H344" s="22"/>
      <c r="I344" s="4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5" customHeight="1" thickBot="1">
      <c r="A345" s="12"/>
      <c r="B345" s="108"/>
      <c r="C345" s="106"/>
      <c r="D345" s="100" t="s">
        <v>60</v>
      </c>
      <c r="E345" s="17">
        <v>938</v>
      </c>
      <c r="F345" s="18">
        <v>955</v>
      </c>
      <c r="G345" s="23"/>
      <c r="H345" s="22"/>
      <c r="I345" s="4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5" customHeight="1" thickBot="1">
      <c r="A346" s="12"/>
      <c r="B346" s="108"/>
      <c r="C346" s="106"/>
      <c r="D346" s="100" t="s">
        <v>61</v>
      </c>
      <c r="E346" s="17">
        <v>939</v>
      </c>
      <c r="F346" s="18">
        <v>764</v>
      </c>
      <c r="G346" s="23"/>
      <c r="H346" s="22"/>
      <c r="I346" s="4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5" customHeight="1" thickBot="1">
      <c r="A347" s="12"/>
      <c r="B347" s="108"/>
      <c r="C347" s="106"/>
      <c r="D347" s="100" t="s">
        <v>60</v>
      </c>
      <c r="E347" s="17">
        <v>940</v>
      </c>
      <c r="F347" s="18">
        <v>764</v>
      </c>
      <c r="G347" s="23"/>
      <c r="H347" s="22"/>
      <c r="I347" s="4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5" customHeight="1" thickBot="1">
      <c r="A348" s="12"/>
      <c r="B348" s="108"/>
      <c r="C348" s="106"/>
      <c r="D348" s="100" t="s">
        <v>61</v>
      </c>
      <c r="E348" s="17">
        <v>941</v>
      </c>
      <c r="F348" s="18">
        <v>1145</v>
      </c>
      <c r="G348" s="23"/>
      <c r="H348" s="22"/>
      <c r="I348" s="4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5" customHeight="1" thickBot="1">
      <c r="A349" s="12"/>
      <c r="B349" s="108"/>
      <c r="C349" s="106"/>
      <c r="D349" s="100" t="s">
        <v>63</v>
      </c>
      <c r="E349" s="17">
        <v>943</v>
      </c>
      <c r="F349" s="18">
        <v>382</v>
      </c>
      <c r="G349" s="20" t="s">
        <v>309</v>
      </c>
      <c r="H349" s="22"/>
      <c r="I349" s="4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5" customHeight="1" thickBot="1">
      <c r="A350" s="12"/>
      <c r="B350" s="109" t="s">
        <v>307</v>
      </c>
      <c r="C350" s="107" t="s">
        <v>306</v>
      </c>
      <c r="D350" s="100" t="s">
        <v>12</v>
      </c>
      <c r="E350" s="17">
        <v>1368</v>
      </c>
      <c r="F350" s="18">
        <v>286</v>
      </c>
      <c r="G350" s="23"/>
      <c r="H350" s="22"/>
      <c r="I350" s="4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5" customHeight="1" thickBot="1">
      <c r="A351" s="12"/>
      <c r="B351" s="108"/>
      <c r="C351" s="106"/>
      <c r="D351" s="100" t="s">
        <v>55</v>
      </c>
      <c r="E351" s="17">
        <v>1369</v>
      </c>
      <c r="F351" s="18">
        <v>159</v>
      </c>
      <c r="G351" s="20" t="s">
        <v>310</v>
      </c>
      <c r="H351" s="22"/>
      <c r="I351" s="4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5" customHeight="1" thickBot="1">
      <c r="A352" s="12"/>
      <c r="B352" s="109" t="s">
        <v>307</v>
      </c>
      <c r="C352" s="107" t="s">
        <v>297</v>
      </c>
      <c r="D352" s="100" t="s">
        <v>18</v>
      </c>
      <c r="E352" s="17">
        <v>3374</v>
      </c>
      <c r="F352" s="18">
        <v>720</v>
      </c>
      <c r="G352" s="20" t="s">
        <v>311</v>
      </c>
      <c r="H352" s="22"/>
      <c r="I352" s="4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5" customHeight="1" thickBot="1">
      <c r="A353" s="12"/>
      <c r="B353" s="108"/>
      <c r="C353" s="106"/>
      <c r="D353" s="100" t="s">
        <v>20</v>
      </c>
      <c r="E353" s="17">
        <v>1720</v>
      </c>
      <c r="F353" s="18">
        <v>720</v>
      </c>
      <c r="G353" s="20" t="s">
        <v>312</v>
      </c>
      <c r="H353" s="22"/>
      <c r="I353" s="4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5" customHeight="1" thickBot="1">
      <c r="A354" s="12"/>
      <c r="B354" s="108"/>
      <c r="C354" s="106"/>
      <c r="D354" s="100" t="s">
        <v>14</v>
      </c>
      <c r="E354" s="17">
        <v>1721</v>
      </c>
      <c r="F354" s="18">
        <v>509</v>
      </c>
      <c r="G354" s="20" t="s">
        <v>313</v>
      </c>
      <c r="H354" s="22"/>
      <c r="I354" s="4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5" customHeight="1" thickBot="1">
      <c r="A355" s="12"/>
      <c r="B355" s="109" t="s">
        <v>314</v>
      </c>
      <c r="C355" s="107" t="s">
        <v>261</v>
      </c>
      <c r="D355" s="100" t="s">
        <v>12</v>
      </c>
      <c r="E355" s="17">
        <v>362</v>
      </c>
      <c r="F355" s="18">
        <v>286</v>
      </c>
      <c r="G355" s="20" t="s">
        <v>315</v>
      </c>
      <c r="H355" s="22"/>
      <c r="I355" s="4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5" customHeight="1" thickBot="1">
      <c r="A356" s="12"/>
      <c r="B356" s="108"/>
      <c r="C356" s="107" t="s">
        <v>126</v>
      </c>
      <c r="D356" s="100" t="s">
        <v>82</v>
      </c>
      <c r="E356" s="17">
        <v>363</v>
      </c>
      <c r="F356" s="18">
        <v>286</v>
      </c>
      <c r="G356" s="23"/>
      <c r="H356" s="22"/>
      <c r="I356" s="4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5" customHeight="1" thickBot="1">
      <c r="A357" s="12"/>
      <c r="B357" s="108"/>
      <c r="C357" s="106"/>
      <c r="D357" s="100" t="s">
        <v>14</v>
      </c>
      <c r="E357" s="17">
        <v>364</v>
      </c>
      <c r="F357" s="18">
        <v>445</v>
      </c>
      <c r="G357" s="23"/>
      <c r="H357" s="22"/>
      <c r="I357" s="4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5" customHeight="1" thickBot="1">
      <c r="A358" s="12"/>
      <c r="B358" s="109" t="s">
        <v>314</v>
      </c>
      <c r="C358" s="107" t="s">
        <v>225</v>
      </c>
      <c r="D358" s="100" t="s">
        <v>12</v>
      </c>
      <c r="E358" s="17">
        <v>365</v>
      </c>
      <c r="F358" s="18">
        <v>286</v>
      </c>
      <c r="G358" s="20" t="s">
        <v>316</v>
      </c>
      <c r="H358" s="22"/>
      <c r="I358" s="4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5" customHeight="1" thickBot="1">
      <c r="A359" s="12"/>
      <c r="B359" s="108"/>
      <c r="C359" s="107" t="s">
        <v>317</v>
      </c>
      <c r="D359" s="100" t="s">
        <v>82</v>
      </c>
      <c r="E359" s="17">
        <v>366</v>
      </c>
      <c r="F359" s="18">
        <v>286</v>
      </c>
      <c r="G359" s="20" t="s">
        <v>310</v>
      </c>
      <c r="H359" s="22"/>
      <c r="I359" s="4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5" customHeight="1" thickBot="1">
      <c r="A360" s="12"/>
      <c r="B360" s="108"/>
      <c r="C360" s="106"/>
      <c r="D360" s="100" t="s">
        <v>14</v>
      </c>
      <c r="E360" s="17">
        <v>367</v>
      </c>
      <c r="F360" s="18">
        <v>445</v>
      </c>
      <c r="G360" s="23"/>
      <c r="H360" s="22"/>
      <c r="I360" s="4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5" customHeight="1" thickBot="1">
      <c r="A361" s="12"/>
      <c r="B361" s="108"/>
      <c r="C361" s="106"/>
      <c r="D361" s="100" t="s">
        <v>22</v>
      </c>
      <c r="E361" s="17">
        <v>368</v>
      </c>
      <c r="F361" s="18">
        <v>382</v>
      </c>
      <c r="G361" s="23"/>
      <c r="H361" s="22"/>
      <c r="I361" s="4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5" customHeight="1" thickBot="1">
      <c r="A362" s="12"/>
      <c r="B362" s="108"/>
      <c r="C362" s="106"/>
      <c r="D362" s="100" t="s">
        <v>259</v>
      </c>
      <c r="E362" s="17">
        <v>369</v>
      </c>
      <c r="F362" s="18">
        <v>95</v>
      </c>
      <c r="G362" s="23"/>
      <c r="H362" s="22"/>
      <c r="I362" s="4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5" customHeight="1" thickBot="1">
      <c r="A363" s="12"/>
      <c r="B363" s="109" t="s">
        <v>314</v>
      </c>
      <c r="C363" s="107" t="s">
        <v>219</v>
      </c>
      <c r="D363" s="100" t="s">
        <v>18</v>
      </c>
      <c r="E363" s="17">
        <v>811</v>
      </c>
      <c r="F363" s="18">
        <v>720</v>
      </c>
      <c r="G363" s="23"/>
      <c r="H363" s="22"/>
      <c r="I363" s="4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5" customHeight="1" thickBot="1">
      <c r="A364" s="12"/>
      <c r="B364" s="108"/>
      <c r="C364" s="106"/>
      <c r="D364" s="100" t="s">
        <v>20</v>
      </c>
      <c r="E364" s="17">
        <v>812</v>
      </c>
      <c r="F364" s="18">
        <v>720</v>
      </c>
      <c r="G364" s="23"/>
      <c r="H364" s="22"/>
      <c r="I364" s="4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5" customHeight="1" thickBot="1">
      <c r="A365" s="12"/>
      <c r="B365" s="108"/>
      <c r="C365" s="106"/>
      <c r="D365" s="100" t="s">
        <v>14</v>
      </c>
      <c r="E365" s="17">
        <v>813</v>
      </c>
      <c r="F365" s="18">
        <v>445</v>
      </c>
      <c r="G365" s="23"/>
      <c r="H365" s="22"/>
      <c r="I365" s="4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5" customHeight="1" thickBot="1">
      <c r="A366" s="12"/>
      <c r="B366" s="108"/>
      <c r="C366" s="106"/>
      <c r="D366" s="100" t="s">
        <v>22</v>
      </c>
      <c r="E366" s="17">
        <v>814</v>
      </c>
      <c r="F366" s="18">
        <v>414</v>
      </c>
      <c r="G366" s="23"/>
      <c r="H366" s="22"/>
      <c r="I366" s="4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5" customHeight="1" thickBot="1">
      <c r="A367" s="12"/>
      <c r="B367" s="108"/>
      <c r="C367" s="107" t="s">
        <v>318</v>
      </c>
      <c r="D367" s="100" t="s">
        <v>29</v>
      </c>
      <c r="E367" s="17">
        <v>815</v>
      </c>
      <c r="F367" s="18">
        <v>255</v>
      </c>
      <c r="G367" s="23"/>
      <c r="H367" s="22"/>
      <c r="I367" s="4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5" customHeight="1" thickBot="1">
      <c r="A368" s="12"/>
      <c r="B368" s="108"/>
      <c r="C368" s="107" t="s">
        <v>319</v>
      </c>
      <c r="D368" s="100" t="s">
        <v>29</v>
      </c>
      <c r="E368" s="17">
        <v>816</v>
      </c>
      <c r="F368" s="18">
        <v>255</v>
      </c>
      <c r="G368" s="23"/>
      <c r="H368" s="22"/>
      <c r="I368" s="4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5" customHeight="1" thickBot="1">
      <c r="A369" s="12"/>
      <c r="B369" s="108"/>
      <c r="C369" s="106"/>
      <c r="D369" s="100" t="s">
        <v>259</v>
      </c>
      <c r="E369" s="17">
        <v>817</v>
      </c>
      <c r="F369" s="18">
        <v>95</v>
      </c>
      <c r="G369" s="23"/>
      <c r="H369" s="22"/>
      <c r="I369" s="4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5" customHeight="1" thickBot="1">
      <c r="A370" s="12"/>
      <c r="B370" s="108"/>
      <c r="C370" s="106"/>
      <c r="D370" s="100" t="s">
        <v>55</v>
      </c>
      <c r="E370" s="17">
        <v>1266</v>
      </c>
      <c r="F370" s="18">
        <v>191</v>
      </c>
      <c r="G370" s="23"/>
      <c r="H370" s="22"/>
      <c r="I370" s="4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5" customHeight="1" thickBot="1">
      <c r="A371" s="12"/>
      <c r="B371" s="108"/>
      <c r="C371" s="107" t="s">
        <v>219</v>
      </c>
      <c r="D371" s="100" t="s">
        <v>18</v>
      </c>
      <c r="E371" s="17">
        <v>1581</v>
      </c>
      <c r="F371" s="18">
        <v>720</v>
      </c>
      <c r="G371" s="23"/>
      <c r="H371" s="22"/>
      <c r="I371" s="4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5" customHeight="1" thickBot="1">
      <c r="A372" s="12"/>
      <c r="B372" s="108"/>
      <c r="C372" s="106"/>
      <c r="D372" s="100" t="s">
        <v>60</v>
      </c>
      <c r="E372" s="17">
        <v>1582</v>
      </c>
      <c r="F372" s="18">
        <v>0</v>
      </c>
      <c r="G372" s="23"/>
      <c r="H372" s="22"/>
      <c r="I372" s="4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5" customHeight="1" thickBot="1">
      <c r="A373" s="12"/>
      <c r="B373" s="109" t="s">
        <v>314</v>
      </c>
      <c r="C373" s="107" t="s">
        <v>320</v>
      </c>
      <c r="D373" s="100" t="s">
        <v>18</v>
      </c>
      <c r="E373" s="17">
        <v>841</v>
      </c>
      <c r="F373" s="18">
        <v>720</v>
      </c>
      <c r="G373" s="23"/>
      <c r="H373" s="22"/>
      <c r="I373" s="4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5" customHeight="1" thickBot="1">
      <c r="A374" s="12"/>
      <c r="B374" s="108"/>
      <c r="C374" s="106"/>
      <c r="D374" s="100" t="s">
        <v>321</v>
      </c>
      <c r="E374" s="17">
        <v>842</v>
      </c>
      <c r="F374" s="18">
        <v>191</v>
      </c>
      <c r="G374" s="23"/>
      <c r="H374" s="22"/>
      <c r="I374" s="4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5" customHeight="1" thickBot="1">
      <c r="A375" s="12"/>
      <c r="B375" s="108"/>
      <c r="C375" s="106"/>
      <c r="D375" s="100" t="s">
        <v>259</v>
      </c>
      <c r="E375" s="17">
        <v>843</v>
      </c>
      <c r="F375" s="18">
        <v>286</v>
      </c>
      <c r="G375" s="23"/>
      <c r="H375" s="22"/>
      <c r="I375" s="4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5" customHeight="1" thickBot="1">
      <c r="A376" s="12"/>
      <c r="B376" s="108"/>
      <c r="C376" s="106"/>
      <c r="D376" s="100" t="s">
        <v>14</v>
      </c>
      <c r="E376" s="17">
        <v>844</v>
      </c>
      <c r="F376" s="18">
        <v>509</v>
      </c>
      <c r="G376" s="23"/>
      <c r="H376" s="22"/>
      <c r="I376" s="4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5" customHeight="1" thickBot="1">
      <c r="A377" s="12"/>
      <c r="B377" s="108"/>
      <c r="C377" s="106"/>
      <c r="D377" s="100" t="s">
        <v>82</v>
      </c>
      <c r="E377" s="17">
        <v>845</v>
      </c>
      <c r="F377" s="18">
        <v>414</v>
      </c>
      <c r="G377" s="23"/>
      <c r="H377" s="22"/>
      <c r="I377" s="4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5" customHeight="1" thickBot="1">
      <c r="A378" s="12"/>
      <c r="B378" s="108"/>
      <c r="C378" s="106"/>
      <c r="D378" s="100" t="s">
        <v>22</v>
      </c>
      <c r="E378" s="17">
        <v>846</v>
      </c>
      <c r="F378" s="18">
        <v>764</v>
      </c>
      <c r="G378" s="23"/>
      <c r="H378" s="22"/>
      <c r="I378" s="4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5" customHeight="1" thickBot="1">
      <c r="A379" s="12"/>
      <c r="B379" s="108"/>
      <c r="C379" s="106"/>
      <c r="D379" s="100" t="s">
        <v>212</v>
      </c>
      <c r="E379" s="17">
        <v>847</v>
      </c>
      <c r="F379" s="18">
        <v>286</v>
      </c>
      <c r="G379" s="23"/>
      <c r="H379" s="22"/>
      <c r="I379" s="4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5" customHeight="1" thickBot="1">
      <c r="A380" s="12"/>
      <c r="B380" s="108"/>
      <c r="C380" s="106"/>
      <c r="D380" s="100" t="s">
        <v>60</v>
      </c>
      <c r="E380" s="17">
        <v>848</v>
      </c>
      <c r="F380" s="18">
        <v>286</v>
      </c>
      <c r="G380" s="23"/>
      <c r="H380" s="22"/>
      <c r="I380" s="4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5" customHeight="1" thickBot="1">
      <c r="A381" s="12"/>
      <c r="B381" s="108"/>
      <c r="C381" s="106"/>
      <c r="D381" s="100" t="s">
        <v>61</v>
      </c>
      <c r="E381" s="17">
        <v>849</v>
      </c>
      <c r="F381" s="18">
        <v>286</v>
      </c>
      <c r="G381" s="23"/>
      <c r="H381" s="22"/>
      <c r="I381" s="4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5" customHeight="1" thickBot="1">
      <c r="A382" s="12"/>
      <c r="B382" s="109" t="s">
        <v>322</v>
      </c>
      <c r="C382" s="107" t="s">
        <v>323</v>
      </c>
      <c r="D382" s="100" t="s">
        <v>18</v>
      </c>
      <c r="E382" s="17">
        <v>1509</v>
      </c>
      <c r="F382" s="18">
        <v>1495</v>
      </c>
      <c r="G382" s="23"/>
      <c r="H382" s="22"/>
      <c r="I382" s="4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5" customHeight="1" thickBot="1">
      <c r="A383" s="12"/>
      <c r="B383" s="108"/>
      <c r="C383" s="106"/>
      <c r="D383" s="100" t="s">
        <v>26</v>
      </c>
      <c r="E383" s="17">
        <v>1510</v>
      </c>
      <c r="F383" s="18">
        <v>1095</v>
      </c>
      <c r="G383" s="23"/>
      <c r="H383" s="22"/>
      <c r="I383" s="4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5" customHeight="1" thickBot="1">
      <c r="A384" s="12"/>
      <c r="B384" s="108"/>
      <c r="C384" s="106"/>
      <c r="D384" s="100" t="s">
        <v>18</v>
      </c>
      <c r="E384" s="17">
        <v>1538</v>
      </c>
      <c r="F384" s="18">
        <v>1495</v>
      </c>
      <c r="G384" s="23"/>
      <c r="H384" s="22"/>
      <c r="I384" s="4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27.5" customHeight="1" thickBot="1">
      <c r="A385" s="12"/>
      <c r="B385" s="108"/>
      <c r="C385" s="106"/>
      <c r="D385" s="100" t="s">
        <v>55</v>
      </c>
      <c r="E385" s="17" t="s">
        <v>324</v>
      </c>
      <c r="F385" s="18">
        <v>895</v>
      </c>
      <c r="G385" s="20" t="s">
        <v>47</v>
      </c>
      <c r="H385" s="22"/>
      <c r="I385" s="4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5" customHeight="1" thickBot="1">
      <c r="A386" s="12"/>
      <c r="B386" s="108"/>
      <c r="C386" s="106"/>
      <c r="D386" s="100" t="s">
        <v>20</v>
      </c>
      <c r="E386" s="17">
        <v>1540</v>
      </c>
      <c r="F386" s="18">
        <v>1495</v>
      </c>
      <c r="G386" s="23"/>
      <c r="H386" s="22"/>
      <c r="I386" s="4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5" customHeight="1" thickBot="1">
      <c r="A387" s="12"/>
      <c r="B387" s="108"/>
      <c r="C387" s="106"/>
      <c r="D387" s="100" t="s">
        <v>14</v>
      </c>
      <c r="E387" s="17">
        <v>1543</v>
      </c>
      <c r="F387" s="18">
        <v>995</v>
      </c>
      <c r="G387" s="23"/>
      <c r="H387" s="22"/>
      <c r="I387" s="4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5" customHeight="1" thickBot="1">
      <c r="A388" s="12"/>
      <c r="B388" s="108"/>
      <c r="C388" s="106"/>
      <c r="D388" s="100" t="s">
        <v>60</v>
      </c>
      <c r="E388" s="17">
        <v>1537</v>
      </c>
      <c r="F388" s="18">
        <v>895</v>
      </c>
      <c r="G388" s="23"/>
      <c r="H388" s="22"/>
      <c r="I388" s="4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5" customHeight="1" thickBot="1">
      <c r="A389" s="12"/>
      <c r="B389" s="108"/>
      <c r="C389" s="106"/>
      <c r="D389" s="100" t="s">
        <v>325</v>
      </c>
      <c r="E389" s="17">
        <v>1539</v>
      </c>
      <c r="F389" s="18">
        <v>795</v>
      </c>
      <c r="G389" s="23"/>
      <c r="H389" s="22"/>
      <c r="I389" s="4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5" customHeight="1" thickBot="1">
      <c r="A390" s="12"/>
      <c r="B390" s="108"/>
      <c r="C390" s="106"/>
      <c r="D390" s="100" t="s">
        <v>326</v>
      </c>
      <c r="E390" s="17">
        <v>1541</v>
      </c>
      <c r="F390" s="18">
        <v>1095</v>
      </c>
      <c r="G390" s="23"/>
      <c r="H390" s="22"/>
      <c r="I390" s="4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5" customHeight="1" thickBot="1">
      <c r="A391" s="12"/>
      <c r="B391" s="108"/>
      <c r="C391" s="106"/>
      <c r="D391" s="100" t="s">
        <v>327</v>
      </c>
      <c r="E391" s="17">
        <v>1542</v>
      </c>
      <c r="F391" s="18">
        <v>1095</v>
      </c>
      <c r="G391" s="23"/>
      <c r="H391" s="22"/>
      <c r="I391" s="4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5" customHeight="1" thickBot="1">
      <c r="A392" s="12"/>
      <c r="B392" s="108"/>
      <c r="C392" s="106"/>
      <c r="D392" s="100" t="s">
        <v>60</v>
      </c>
      <c r="E392" s="17">
        <v>1512</v>
      </c>
      <c r="F392" s="18">
        <v>895</v>
      </c>
      <c r="G392" s="23"/>
      <c r="H392" s="22"/>
      <c r="I392" s="4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thickBot="1">
      <c r="A393" s="157" t="s">
        <v>328</v>
      </c>
      <c r="B393" s="134"/>
      <c r="C393" s="134"/>
      <c r="D393" s="134"/>
      <c r="E393" s="135"/>
      <c r="F393" s="135"/>
      <c r="G393" s="158"/>
      <c r="H393" s="4"/>
      <c r="I393" s="4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5" customHeight="1" thickBot="1">
      <c r="A394" s="12"/>
      <c r="B394" s="109" t="s">
        <v>329</v>
      </c>
      <c r="C394" s="107" t="s">
        <v>330</v>
      </c>
      <c r="D394" s="100" t="s">
        <v>18</v>
      </c>
      <c r="E394" s="17">
        <v>371</v>
      </c>
      <c r="F394" s="18">
        <v>720</v>
      </c>
      <c r="G394" s="23"/>
      <c r="H394" s="22"/>
      <c r="I394" s="4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5" customHeight="1" thickBot="1">
      <c r="A395" s="12"/>
      <c r="B395" s="108"/>
      <c r="C395" s="107" t="s">
        <v>331</v>
      </c>
      <c r="D395" s="100" t="s">
        <v>29</v>
      </c>
      <c r="E395" s="17">
        <v>372</v>
      </c>
      <c r="F395" s="18">
        <v>1295</v>
      </c>
      <c r="G395" s="23"/>
      <c r="H395" s="22"/>
      <c r="I395" s="4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5" customHeight="1" thickBot="1">
      <c r="A396" s="12"/>
      <c r="B396" s="108"/>
      <c r="C396" s="106"/>
      <c r="D396" s="100" t="s">
        <v>14</v>
      </c>
      <c r="E396" s="17">
        <v>373</v>
      </c>
      <c r="F396" s="18">
        <v>995</v>
      </c>
      <c r="G396" s="23"/>
      <c r="H396" s="22"/>
      <c r="I396" s="4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5" customHeight="1" thickBot="1">
      <c r="A397" s="12"/>
      <c r="B397" s="108"/>
      <c r="C397" s="106"/>
      <c r="D397" s="100" t="s">
        <v>22</v>
      </c>
      <c r="E397" s="17">
        <v>374</v>
      </c>
      <c r="F397" s="18">
        <v>895</v>
      </c>
      <c r="G397" s="23"/>
      <c r="H397" s="22"/>
      <c r="I397" s="4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5" customHeight="1" thickBot="1">
      <c r="A398" s="12"/>
      <c r="B398" s="108"/>
      <c r="C398" s="106"/>
      <c r="D398" s="100" t="s">
        <v>332</v>
      </c>
      <c r="E398" s="13"/>
      <c r="F398" s="18">
        <v>695</v>
      </c>
      <c r="G398" s="23"/>
      <c r="H398" s="22"/>
      <c r="I398" s="4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5" customHeight="1" thickBot="1">
      <c r="A399" s="12"/>
      <c r="B399" s="108"/>
      <c r="C399" s="106"/>
      <c r="D399" s="100" t="s">
        <v>333</v>
      </c>
      <c r="E399" s="13"/>
      <c r="F399" s="18">
        <v>695</v>
      </c>
      <c r="G399" s="23"/>
      <c r="H399" s="22"/>
      <c r="I399" s="4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5" customHeight="1" thickBot="1">
      <c r="A400" s="12"/>
      <c r="B400" s="108"/>
      <c r="C400" s="107" t="s">
        <v>334</v>
      </c>
      <c r="D400" s="100" t="s">
        <v>18</v>
      </c>
      <c r="E400" s="17">
        <v>375</v>
      </c>
      <c r="F400" s="18">
        <v>720</v>
      </c>
      <c r="G400" s="23"/>
      <c r="H400" s="22"/>
      <c r="I400" s="4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5" customHeight="1" thickBot="1">
      <c r="A401" s="12"/>
      <c r="B401" s="108"/>
      <c r="C401" s="107" t="s">
        <v>331</v>
      </c>
      <c r="D401" s="100" t="s">
        <v>29</v>
      </c>
      <c r="E401" s="17">
        <v>376</v>
      </c>
      <c r="F401" s="18">
        <v>1195</v>
      </c>
      <c r="G401" s="23"/>
      <c r="H401" s="22"/>
      <c r="I401" s="4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5" customHeight="1" thickBot="1">
      <c r="A402" s="12"/>
      <c r="B402" s="108"/>
      <c r="C402" s="106"/>
      <c r="D402" s="100" t="s">
        <v>14</v>
      </c>
      <c r="E402" s="17">
        <v>377</v>
      </c>
      <c r="F402" s="18">
        <v>895</v>
      </c>
      <c r="G402" s="23"/>
      <c r="H402" s="22"/>
      <c r="I402" s="4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5" customHeight="1" thickBot="1">
      <c r="A403" s="12"/>
      <c r="B403" s="108"/>
      <c r="C403" s="106"/>
      <c r="D403" s="100" t="s">
        <v>22</v>
      </c>
      <c r="E403" s="17">
        <v>378</v>
      </c>
      <c r="F403" s="18">
        <v>795</v>
      </c>
      <c r="G403" s="23"/>
      <c r="H403" s="22"/>
      <c r="I403" s="4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5" customHeight="1" thickBot="1">
      <c r="A404" s="12"/>
      <c r="B404" s="108"/>
      <c r="C404" s="107" t="s">
        <v>335</v>
      </c>
      <c r="D404" s="100" t="s">
        <v>22</v>
      </c>
      <c r="E404" s="17">
        <v>379</v>
      </c>
      <c r="F404" s="18">
        <v>895</v>
      </c>
      <c r="G404" s="23"/>
      <c r="H404" s="22"/>
      <c r="I404" s="4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5" customHeight="1" thickBot="1">
      <c r="A405" s="12"/>
      <c r="B405" s="108"/>
      <c r="C405" s="106"/>
      <c r="D405" s="100" t="s">
        <v>124</v>
      </c>
      <c r="E405" s="13"/>
      <c r="F405" s="18">
        <v>695</v>
      </c>
      <c r="G405" s="23"/>
      <c r="H405" s="22"/>
      <c r="I405" s="4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30.5" customHeight="1" thickBot="1">
      <c r="A406" s="12"/>
      <c r="B406" s="108"/>
      <c r="C406" s="107" t="s">
        <v>336</v>
      </c>
      <c r="D406" s="100" t="s">
        <v>18</v>
      </c>
      <c r="E406" s="17">
        <v>380</v>
      </c>
      <c r="F406" s="18">
        <v>720</v>
      </c>
      <c r="G406" s="23"/>
      <c r="H406" s="22"/>
      <c r="I406" s="4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5" customHeight="1" thickBot="1">
      <c r="A407" s="12"/>
      <c r="B407" s="108"/>
      <c r="C407" s="107" t="s">
        <v>331</v>
      </c>
      <c r="D407" s="100" t="s">
        <v>29</v>
      </c>
      <c r="E407" s="17">
        <v>381</v>
      </c>
      <c r="F407" s="18">
        <v>1195</v>
      </c>
      <c r="G407" s="23"/>
      <c r="H407" s="22"/>
      <c r="I407" s="4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5" customHeight="1" thickBot="1">
      <c r="A408" s="12"/>
      <c r="B408" s="108"/>
      <c r="C408" s="106"/>
      <c r="D408" s="100" t="s">
        <v>14</v>
      </c>
      <c r="E408" s="17">
        <v>382</v>
      </c>
      <c r="F408" s="18">
        <v>895</v>
      </c>
      <c r="G408" s="23"/>
      <c r="H408" s="22"/>
      <c r="I408" s="4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5" customHeight="1" thickBot="1">
      <c r="A409" s="12"/>
      <c r="B409" s="108"/>
      <c r="C409" s="106"/>
      <c r="D409" s="100" t="s">
        <v>22</v>
      </c>
      <c r="E409" s="17">
        <v>383</v>
      </c>
      <c r="F409" s="18">
        <v>795</v>
      </c>
      <c r="G409" s="23"/>
      <c r="H409" s="22"/>
      <c r="I409" s="4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5" customHeight="1" thickBot="1">
      <c r="A410" s="12"/>
      <c r="B410" s="108"/>
      <c r="C410" s="107" t="s">
        <v>337</v>
      </c>
      <c r="D410" s="100" t="s">
        <v>18</v>
      </c>
      <c r="E410" s="17">
        <v>795</v>
      </c>
      <c r="F410" s="18">
        <v>720</v>
      </c>
      <c r="G410" s="23"/>
      <c r="H410" s="22"/>
      <c r="I410" s="4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5" customHeight="1" thickBot="1">
      <c r="A411" s="12"/>
      <c r="B411" s="108"/>
      <c r="C411" s="107" t="s">
        <v>70</v>
      </c>
      <c r="D411" s="100" t="s">
        <v>20</v>
      </c>
      <c r="E411" s="17">
        <v>796</v>
      </c>
      <c r="F411" s="18">
        <v>720</v>
      </c>
      <c r="G411" s="23"/>
      <c r="H411" s="22"/>
      <c r="I411" s="4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5" customHeight="1" thickBot="1">
      <c r="A412" s="12"/>
      <c r="B412" s="108"/>
      <c r="C412" s="106"/>
      <c r="D412" s="100" t="s">
        <v>14</v>
      </c>
      <c r="E412" s="17">
        <v>797</v>
      </c>
      <c r="F412" s="18">
        <v>895</v>
      </c>
      <c r="G412" s="23"/>
      <c r="H412" s="22"/>
      <c r="I412" s="4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5" customHeight="1" thickBot="1">
      <c r="A413" s="12"/>
      <c r="B413" s="108"/>
      <c r="C413" s="106"/>
      <c r="D413" s="100" t="s">
        <v>55</v>
      </c>
      <c r="E413" s="17">
        <v>798</v>
      </c>
      <c r="F413" s="18">
        <v>795</v>
      </c>
      <c r="G413" s="23"/>
      <c r="H413" s="22"/>
      <c r="I413" s="4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8.75" customHeight="1" thickBot="1">
      <c r="A414" s="12"/>
      <c r="B414" s="108"/>
      <c r="C414" s="107" t="s">
        <v>338</v>
      </c>
      <c r="D414" s="100" t="s">
        <v>18</v>
      </c>
      <c r="E414" s="17">
        <v>899</v>
      </c>
      <c r="F414" s="18">
        <v>955</v>
      </c>
      <c r="G414" s="23"/>
      <c r="H414" s="22"/>
      <c r="I414" s="4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5" customHeight="1" thickBot="1">
      <c r="A415" s="12"/>
      <c r="B415" s="108"/>
      <c r="C415" s="107" t="s">
        <v>287</v>
      </c>
      <c r="D415" s="100" t="s">
        <v>339</v>
      </c>
      <c r="E415" s="17">
        <v>900</v>
      </c>
      <c r="F415" s="18">
        <v>1095</v>
      </c>
      <c r="G415" s="23"/>
      <c r="H415" s="22"/>
      <c r="I415" s="4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5" customHeight="1" thickBot="1">
      <c r="A416" s="12"/>
      <c r="B416" s="108"/>
      <c r="C416" s="106"/>
      <c r="D416" s="100" t="s">
        <v>60</v>
      </c>
      <c r="E416" s="17">
        <v>901</v>
      </c>
      <c r="F416" s="18">
        <v>1145</v>
      </c>
      <c r="G416" s="23"/>
      <c r="H416" s="22"/>
      <c r="I416" s="4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5" customHeight="1" thickBot="1">
      <c r="A417" s="12"/>
      <c r="B417" s="108"/>
      <c r="C417" s="106"/>
      <c r="D417" s="100" t="s">
        <v>26</v>
      </c>
      <c r="E417" s="17">
        <v>902</v>
      </c>
      <c r="F417" s="18">
        <v>1095</v>
      </c>
      <c r="G417" s="23"/>
      <c r="H417" s="22"/>
      <c r="I417" s="4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5" customHeight="1" thickBot="1">
      <c r="A418" s="12"/>
      <c r="B418" s="108"/>
      <c r="C418" s="106"/>
      <c r="D418" s="100" t="s">
        <v>61</v>
      </c>
      <c r="E418" s="17">
        <v>903</v>
      </c>
      <c r="F418" s="18">
        <v>1591</v>
      </c>
      <c r="G418" s="23"/>
      <c r="H418" s="22"/>
      <c r="I418" s="4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5" customHeight="1" thickBot="1">
      <c r="A419" s="12"/>
      <c r="B419" s="108"/>
      <c r="C419" s="106"/>
      <c r="D419" s="100" t="s">
        <v>29</v>
      </c>
      <c r="E419" s="17">
        <v>904</v>
      </c>
      <c r="F419" s="18">
        <v>1395</v>
      </c>
      <c r="G419" s="23"/>
      <c r="H419" s="22"/>
      <c r="I419" s="4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5" customHeight="1" thickBot="1">
      <c r="A420" s="12"/>
      <c r="B420" s="108"/>
      <c r="C420" s="106"/>
      <c r="D420" s="100" t="s">
        <v>340</v>
      </c>
      <c r="E420" s="17">
        <v>905</v>
      </c>
      <c r="F420" s="18">
        <v>995</v>
      </c>
      <c r="G420" s="23"/>
      <c r="H420" s="22"/>
      <c r="I420" s="4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5" customHeight="1" thickBot="1">
      <c r="A421" s="12"/>
      <c r="B421" s="108"/>
      <c r="C421" s="106"/>
      <c r="D421" s="100" t="s">
        <v>14</v>
      </c>
      <c r="E421" s="17">
        <v>906</v>
      </c>
      <c r="F421" s="18">
        <v>1095</v>
      </c>
      <c r="G421" s="23"/>
      <c r="H421" s="22"/>
      <c r="I421" s="4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5" customHeight="1" thickBot="1">
      <c r="A422" s="12"/>
      <c r="B422" s="108"/>
      <c r="C422" s="106"/>
      <c r="D422" s="100" t="s">
        <v>20</v>
      </c>
      <c r="E422" s="17">
        <v>907</v>
      </c>
      <c r="F422" s="18">
        <v>1495</v>
      </c>
      <c r="G422" s="23"/>
      <c r="H422" s="22"/>
      <c r="I422" s="4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5" customHeight="1" thickBot="1">
      <c r="A423" s="12"/>
      <c r="B423" s="108"/>
      <c r="C423" s="106"/>
      <c r="D423" s="100" t="s">
        <v>321</v>
      </c>
      <c r="E423" s="17">
        <v>908</v>
      </c>
      <c r="F423" s="18">
        <v>509</v>
      </c>
      <c r="G423" s="23"/>
      <c r="H423" s="22"/>
      <c r="I423" s="4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5" customHeight="1" thickBot="1">
      <c r="A424" s="12"/>
      <c r="B424" s="108"/>
      <c r="C424" s="106"/>
      <c r="D424" s="100" t="s">
        <v>321</v>
      </c>
      <c r="E424" s="17">
        <v>909</v>
      </c>
      <c r="F424" s="18">
        <v>573</v>
      </c>
      <c r="G424" s="23"/>
      <c r="H424" s="22"/>
      <c r="I424" s="4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5" customHeight="1" thickBot="1">
      <c r="A425" s="12"/>
      <c r="B425" s="108"/>
      <c r="C425" s="106"/>
      <c r="D425" s="100" t="s">
        <v>124</v>
      </c>
      <c r="E425" s="17">
        <v>910</v>
      </c>
      <c r="F425" s="18">
        <v>695</v>
      </c>
      <c r="G425" s="23"/>
      <c r="H425" s="22"/>
      <c r="I425" s="4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5" customHeight="1" thickBot="1">
      <c r="A426" s="12"/>
      <c r="B426" s="108"/>
      <c r="C426" s="106"/>
      <c r="D426" s="100" t="s">
        <v>65</v>
      </c>
      <c r="E426" s="17">
        <v>911</v>
      </c>
      <c r="F426" s="18">
        <v>1295</v>
      </c>
      <c r="G426" s="23"/>
      <c r="H426" s="22"/>
      <c r="I426" s="4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5" customHeight="1" thickBot="1">
      <c r="A427" s="12"/>
      <c r="B427" s="108"/>
      <c r="C427" s="106"/>
      <c r="D427" s="100" t="s">
        <v>212</v>
      </c>
      <c r="E427" s="17">
        <v>912</v>
      </c>
      <c r="F427" s="18">
        <v>1195</v>
      </c>
      <c r="G427" s="23"/>
      <c r="H427" s="22"/>
      <c r="I427" s="4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5" customHeight="1" thickBot="1">
      <c r="A428" s="12"/>
      <c r="B428" s="108"/>
      <c r="C428" s="106"/>
      <c r="D428" s="100" t="s">
        <v>33</v>
      </c>
      <c r="E428" s="17">
        <v>913</v>
      </c>
      <c r="F428" s="18">
        <v>1095</v>
      </c>
      <c r="G428" s="23"/>
      <c r="H428" s="22"/>
      <c r="I428" s="4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5" customHeight="1" thickBot="1">
      <c r="A429" s="12"/>
      <c r="B429" s="108"/>
      <c r="C429" s="106"/>
      <c r="D429" s="100" t="s">
        <v>201</v>
      </c>
      <c r="E429" s="17">
        <v>914</v>
      </c>
      <c r="F429" s="18">
        <v>95</v>
      </c>
      <c r="G429" s="23"/>
      <c r="H429" s="22"/>
      <c r="I429" s="4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5" customHeight="1" thickBot="1">
      <c r="A430" s="12"/>
      <c r="B430" s="109" t="s">
        <v>341</v>
      </c>
      <c r="C430" s="106"/>
      <c r="D430" s="100" t="s">
        <v>342</v>
      </c>
      <c r="E430" s="17">
        <v>3413</v>
      </c>
      <c r="F430" s="18">
        <v>595</v>
      </c>
      <c r="G430" s="23"/>
      <c r="H430" s="22"/>
      <c r="I430" s="4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5" customHeight="1" thickBot="1">
      <c r="A431" s="12"/>
      <c r="B431" s="108"/>
      <c r="C431" s="106"/>
      <c r="D431" s="100" t="s">
        <v>53</v>
      </c>
      <c r="E431" s="17">
        <v>3414</v>
      </c>
      <c r="F431" s="18">
        <v>795</v>
      </c>
      <c r="G431" s="23"/>
      <c r="H431" s="22"/>
      <c r="I431" s="4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5" customHeight="1" thickBot="1">
      <c r="A432" s="12"/>
      <c r="B432" s="109" t="s">
        <v>329</v>
      </c>
      <c r="C432" s="107" t="s">
        <v>229</v>
      </c>
      <c r="D432" s="100" t="s">
        <v>18</v>
      </c>
      <c r="E432" s="17">
        <v>1213</v>
      </c>
      <c r="F432" s="18">
        <v>720</v>
      </c>
      <c r="G432" s="23"/>
      <c r="H432" s="22"/>
      <c r="I432" s="4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5" customHeight="1" thickBot="1">
      <c r="A433" s="12"/>
      <c r="B433" s="108"/>
      <c r="C433" s="107" t="s">
        <v>70</v>
      </c>
      <c r="D433" s="100" t="s">
        <v>20</v>
      </c>
      <c r="E433" s="17">
        <v>1214</v>
      </c>
      <c r="F433" s="18">
        <v>720</v>
      </c>
      <c r="G433" s="23"/>
      <c r="H433" s="22"/>
      <c r="I433" s="4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5" customHeight="1" thickBot="1">
      <c r="A434" s="12"/>
      <c r="B434" s="108"/>
      <c r="C434" s="106"/>
      <c r="D434" s="100" t="s">
        <v>14</v>
      </c>
      <c r="E434" s="17">
        <v>1215</v>
      </c>
      <c r="F434" s="18">
        <v>509</v>
      </c>
      <c r="G434" s="23"/>
      <c r="H434" s="22"/>
      <c r="I434" s="4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5" customHeight="1" thickBot="1">
      <c r="A435" s="12"/>
      <c r="B435" s="109" t="s">
        <v>329</v>
      </c>
      <c r="C435" s="107" t="s">
        <v>343</v>
      </c>
      <c r="D435" s="100" t="s">
        <v>18</v>
      </c>
      <c r="E435" s="17">
        <v>1225</v>
      </c>
      <c r="F435" s="18">
        <v>720</v>
      </c>
      <c r="G435" s="23"/>
      <c r="H435" s="22"/>
      <c r="I435" s="4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5" customHeight="1" thickBot="1">
      <c r="A436" s="12"/>
      <c r="B436" s="108"/>
      <c r="C436" s="107" t="s">
        <v>344</v>
      </c>
      <c r="D436" s="100" t="s">
        <v>20</v>
      </c>
      <c r="E436" s="17">
        <v>1226</v>
      </c>
      <c r="F436" s="18">
        <v>720</v>
      </c>
      <c r="G436" s="23"/>
      <c r="H436" s="22"/>
      <c r="I436" s="4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5" customHeight="1" thickBot="1">
      <c r="A437" s="12"/>
      <c r="B437" s="108"/>
      <c r="C437" s="106"/>
      <c r="D437" s="100" t="s">
        <v>14</v>
      </c>
      <c r="E437" s="17">
        <v>1227</v>
      </c>
      <c r="F437" s="18">
        <v>573</v>
      </c>
      <c r="G437" s="23"/>
      <c r="H437" s="22"/>
      <c r="I437" s="4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5" customHeight="1" thickBot="1">
      <c r="A438" s="12"/>
      <c r="B438" s="109" t="s">
        <v>329</v>
      </c>
      <c r="C438" s="107" t="s">
        <v>330</v>
      </c>
      <c r="D438" s="100" t="s">
        <v>18</v>
      </c>
      <c r="E438" s="17">
        <v>1544</v>
      </c>
      <c r="F438" s="18">
        <v>720</v>
      </c>
      <c r="G438" s="23"/>
      <c r="H438" s="22"/>
      <c r="I438" s="4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5" customHeight="1" thickBot="1">
      <c r="A439" s="12"/>
      <c r="B439" s="108"/>
      <c r="C439" s="107" t="s">
        <v>345</v>
      </c>
      <c r="D439" s="100" t="s">
        <v>18</v>
      </c>
      <c r="E439" s="17">
        <v>1545</v>
      </c>
      <c r="F439" s="18">
        <v>720</v>
      </c>
      <c r="G439" s="23"/>
      <c r="H439" s="22"/>
      <c r="I439" s="4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8.75" customHeight="1" thickBot="1">
      <c r="A440" s="12"/>
      <c r="B440" s="108"/>
      <c r="C440" s="106"/>
      <c r="D440" s="100" t="s">
        <v>26</v>
      </c>
      <c r="E440" s="17">
        <v>1546</v>
      </c>
      <c r="F440" s="18">
        <v>1060</v>
      </c>
      <c r="G440" s="23"/>
      <c r="H440" s="22"/>
      <c r="I440" s="4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5" customHeight="1" thickBot="1">
      <c r="A441" s="12"/>
      <c r="B441" s="108"/>
      <c r="C441" s="106"/>
      <c r="D441" s="100" t="s">
        <v>14</v>
      </c>
      <c r="E441" s="17">
        <v>1547</v>
      </c>
      <c r="F441" s="18">
        <v>445</v>
      </c>
      <c r="G441" s="23"/>
      <c r="H441" s="22"/>
      <c r="I441" s="4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5" customHeight="1" thickBot="1">
      <c r="A442" s="12"/>
      <c r="B442" s="108"/>
      <c r="C442" s="106"/>
      <c r="D442" s="100" t="s">
        <v>60</v>
      </c>
      <c r="E442" s="17">
        <v>1548</v>
      </c>
      <c r="F442" s="18">
        <v>1400</v>
      </c>
      <c r="G442" s="23"/>
      <c r="H442" s="22"/>
      <c r="I442" s="4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5" customHeight="1" thickBot="1">
      <c r="A443" s="12"/>
      <c r="B443" s="108"/>
      <c r="C443" s="106"/>
      <c r="D443" s="100" t="s">
        <v>61</v>
      </c>
      <c r="E443" s="17">
        <v>1549</v>
      </c>
      <c r="F443" s="18">
        <v>1273</v>
      </c>
      <c r="G443" s="23"/>
      <c r="H443" s="22"/>
      <c r="I443" s="4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30.5" customHeight="1" thickBot="1">
      <c r="A444" s="12"/>
      <c r="B444" s="108"/>
      <c r="C444" s="106"/>
      <c r="D444" s="100" t="s">
        <v>346</v>
      </c>
      <c r="E444" s="17">
        <v>1550</v>
      </c>
      <c r="F444" s="18">
        <v>1195</v>
      </c>
      <c r="G444" s="23"/>
      <c r="H444" s="22"/>
      <c r="I444" s="4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5" customHeight="1" thickBot="1">
      <c r="A445" s="12"/>
      <c r="B445" s="108"/>
      <c r="C445" s="106"/>
      <c r="D445" s="100" t="s">
        <v>347</v>
      </c>
      <c r="E445" s="17">
        <v>1551</v>
      </c>
      <c r="F445" s="18">
        <v>1295</v>
      </c>
      <c r="G445" s="23"/>
      <c r="H445" s="22"/>
      <c r="I445" s="4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5" customHeight="1" thickBot="1">
      <c r="A446" s="12"/>
      <c r="B446" s="109" t="s">
        <v>329</v>
      </c>
      <c r="C446" s="107" t="s">
        <v>348</v>
      </c>
      <c r="D446" s="100" t="s">
        <v>18</v>
      </c>
      <c r="E446" s="17">
        <v>2280</v>
      </c>
      <c r="F446" s="18">
        <v>720</v>
      </c>
      <c r="G446" s="23"/>
      <c r="H446" s="22"/>
      <c r="I446" s="4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5" customHeight="1" thickBot="1">
      <c r="A447" s="12"/>
      <c r="B447" s="108"/>
      <c r="C447" s="107" t="s">
        <v>287</v>
      </c>
      <c r="D447" s="100" t="s">
        <v>26</v>
      </c>
      <c r="E447" s="17">
        <v>2281</v>
      </c>
      <c r="F447" s="18">
        <v>995</v>
      </c>
      <c r="G447" s="23"/>
      <c r="H447" s="22"/>
      <c r="I447" s="4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5" customHeight="1" thickBot="1">
      <c r="A448" s="12"/>
      <c r="B448" s="108"/>
      <c r="C448" s="106"/>
      <c r="D448" s="100" t="s">
        <v>14</v>
      </c>
      <c r="E448" s="17">
        <v>2282</v>
      </c>
      <c r="F448" s="18">
        <v>764</v>
      </c>
      <c r="G448" s="23"/>
      <c r="H448" s="22"/>
      <c r="I448" s="4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5" customHeight="1" thickBot="1">
      <c r="A449" s="12"/>
      <c r="B449" s="108"/>
      <c r="C449" s="106"/>
      <c r="D449" s="100" t="s">
        <v>22</v>
      </c>
      <c r="E449" s="17">
        <v>2283</v>
      </c>
      <c r="F449" s="18">
        <v>795</v>
      </c>
      <c r="G449" s="23"/>
      <c r="H449" s="22"/>
      <c r="I449" s="4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5" customHeight="1" thickBot="1">
      <c r="A450" s="12"/>
      <c r="B450" s="108"/>
      <c r="C450" s="106"/>
      <c r="D450" s="100" t="s">
        <v>60</v>
      </c>
      <c r="E450" s="17">
        <v>2284</v>
      </c>
      <c r="F450" s="18">
        <v>955</v>
      </c>
      <c r="G450" s="23"/>
      <c r="H450" s="22"/>
      <c r="I450" s="4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5" customHeight="1" thickBot="1">
      <c r="A451" s="12"/>
      <c r="B451" s="108"/>
      <c r="C451" s="106"/>
      <c r="D451" s="100" t="s">
        <v>61</v>
      </c>
      <c r="E451" s="17">
        <v>2285</v>
      </c>
      <c r="F451" s="18">
        <v>827</v>
      </c>
      <c r="G451" s="23"/>
      <c r="H451" s="22"/>
      <c r="I451" s="4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30.5" customHeight="1" thickBot="1">
      <c r="A452" s="12"/>
      <c r="B452" s="109" t="s">
        <v>329</v>
      </c>
      <c r="C452" s="107" t="s">
        <v>349</v>
      </c>
      <c r="D452" s="100"/>
      <c r="E452" s="17">
        <v>3420</v>
      </c>
      <c r="F452" s="18">
        <v>950</v>
      </c>
      <c r="G452" s="23"/>
      <c r="H452" s="22"/>
      <c r="I452" s="4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43.5" customHeight="1" thickBot="1">
      <c r="A453" s="12"/>
      <c r="B453" s="109" t="s">
        <v>329</v>
      </c>
      <c r="C453" s="107" t="s">
        <v>330</v>
      </c>
      <c r="D453" s="100" t="s">
        <v>350</v>
      </c>
      <c r="E453" s="17" t="s">
        <v>350</v>
      </c>
      <c r="F453" s="18">
        <v>3495</v>
      </c>
      <c r="G453" s="23"/>
      <c r="H453" s="22"/>
      <c r="I453" s="4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38.5" customHeight="1" thickBot="1">
      <c r="A454" s="12"/>
      <c r="B454" s="109" t="s">
        <v>329</v>
      </c>
      <c r="C454" s="107" t="s">
        <v>330</v>
      </c>
      <c r="D454" s="100" t="s">
        <v>351</v>
      </c>
      <c r="E454" s="17" t="s">
        <v>351</v>
      </c>
      <c r="F454" s="18">
        <v>7495</v>
      </c>
      <c r="G454" s="23"/>
      <c r="H454" s="22"/>
      <c r="I454" s="4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39.5" customHeight="1" thickBot="1">
      <c r="A455" s="12"/>
      <c r="B455" s="109" t="s">
        <v>329</v>
      </c>
      <c r="C455" s="107" t="s">
        <v>343</v>
      </c>
      <c r="D455" s="100" t="s">
        <v>352</v>
      </c>
      <c r="E455" s="17" t="s">
        <v>352</v>
      </c>
      <c r="F455" s="18">
        <v>3295</v>
      </c>
      <c r="G455" s="23"/>
      <c r="H455" s="22"/>
      <c r="I455" s="4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53" customHeight="1" thickBot="1">
      <c r="A456" s="12"/>
      <c r="B456" s="109" t="s">
        <v>329</v>
      </c>
      <c r="C456" s="107" t="s">
        <v>337</v>
      </c>
      <c r="D456" s="100" t="s">
        <v>353</v>
      </c>
      <c r="E456" s="17" t="s">
        <v>353</v>
      </c>
      <c r="F456" s="18">
        <v>3495</v>
      </c>
      <c r="G456" s="23"/>
      <c r="H456" s="22"/>
      <c r="I456" s="4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43.5" customHeight="1" thickBot="1">
      <c r="A457" s="12"/>
      <c r="B457" s="109" t="s">
        <v>329</v>
      </c>
      <c r="C457" s="107" t="s">
        <v>229</v>
      </c>
      <c r="D457" s="100" t="s">
        <v>354</v>
      </c>
      <c r="E457" s="17" t="s">
        <v>354</v>
      </c>
      <c r="F457" s="18">
        <v>3195</v>
      </c>
      <c r="G457" s="23"/>
      <c r="H457" s="22"/>
      <c r="I457" s="4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92.5" customHeight="1" thickBot="1">
      <c r="A458" s="12"/>
      <c r="B458" s="109" t="s">
        <v>329</v>
      </c>
      <c r="C458" s="107" t="s">
        <v>338</v>
      </c>
      <c r="D458" s="100" t="s">
        <v>355</v>
      </c>
      <c r="E458" s="17" t="s">
        <v>355</v>
      </c>
      <c r="F458" s="18">
        <v>9500</v>
      </c>
      <c r="G458" s="23"/>
      <c r="H458" s="22"/>
      <c r="I458" s="4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50" customHeight="1" thickBot="1">
      <c r="A459" s="12"/>
      <c r="B459" s="109" t="s">
        <v>356</v>
      </c>
      <c r="C459" s="107" t="s">
        <v>334</v>
      </c>
      <c r="D459" s="100" t="s">
        <v>357</v>
      </c>
      <c r="E459" s="17" t="s">
        <v>357</v>
      </c>
      <c r="F459" s="18">
        <v>2995</v>
      </c>
      <c r="G459" s="23"/>
      <c r="H459" s="22"/>
      <c r="I459" s="4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42" customHeight="1" thickBot="1">
      <c r="A460" s="12"/>
      <c r="B460" s="109" t="s">
        <v>356</v>
      </c>
      <c r="C460" s="107" t="s">
        <v>358</v>
      </c>
      <c r="D460" s="100" t="s">
        <v>359</v>
      </c>
      <c r="E460" s="17" t="s">
        <v>359</v>
      </c>
      <c r="F460" s="18">
        <v>3495</v>
      </c>
      <c r="G460" s="23"/>
      <c r="H460" s="22"/>
      <c r="I460" s="4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41.5" customHeight="1" thickBot="1">
      <c r="A461" s="12"/>
      <c r="B461" s="109" t="s">
        <v>356</v>
      </c>
      <c r="C461" s="107" t="s">
        <v>297</v>
      </c>
      <c r="D461" s="100" t="s">
        <v>360</v>
      </c>
      <c r="E461" s="17" t="s">
        <v>360</v>
      </c>
      <c r="F461" s="18">
        <v>3295</v>
      </c>
      <c r="G461" s="23"/>
      <c r="H461" s="22"/>
      <c r="I461" s="4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30" customHeight="1" thickBot="1">
      <c r="A462" s="12"/>
      <c r="B462" s="109" t="s">
        <v>356</v>
      </c>
      <c r="C462" s="107" t="s">
        <v>361</v>
      </c>
      <c r="D462" s="100" t="s">
        <v>362</v>
      </c>
      <c r="E462" s="17" t="s">
        <v>362</v>
      </c>
      <c r="F462" s="18">
        <v>2495</v>
      </c>
      <c r="G462" s="23"/>
      <c r="H462" s="22"/>
      <c r="I462" s="4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42.5" customHeight="1" thickBot="1">
      <c r="A463" s="12"/>
      <c r="B463" s="109" t="s">
        <v>356</v>
      </c>
      <c r="C463" s="107" t="s">
        <v>363</v>
      </c>
      <c r="D463" s="100" t="s">
        <v>364</v>
      </c>
      <c r="E463" s="17" t="s">
        <v>364</v>
      </c>
      <c r="F463" s="18">
        <v>6995</v>
      </c>
      <c r="G463" s="23"/>
      <c r="H463" s="22"/>
      <c r="I463" s="4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53.5" customHeight="1" thickBot="1">
      <c r="A464" s="12"/>
      <c r="B464" s="109" t="s">
        <v>356</v>
      </c>
      <c r="C464" s="107" t="s">
        <v>365</v>
      </c>
      <c r="D464" s="100" t="s">
        <v>366</v>
      </c>
      <c r="E464" s="17" t="s">
        <v>366</v>
      </c>
      <c r="F464" s="18">
        <v>7995</v>
      </c>
      <c r="G464" s="23"/>
      <c r="H464" s="22"/>
      <c r="I464" s="4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66.5" customHeight="1" thickBot="1">
      <c r="A465" s="12"/>
      <c r="B465" s="109" t="s">
        <v>367</v>
      </c>
      <c r="C465" s="107" t="s">
        <v>334</v>
      </c>
      <c r="D465" s="100" t="s">
        <v>368</v>
      </c>
      <c r="E465" s="17" t="s">
        <v>368</v>
      </c>
      <c r="F465" s="18">
        <v>2795</v>
      </c>
      <c r="G465" s="23"/>
      <c r="H465" s="22"/>
      <c r="I465" s="4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53.5" customHeight="1" thickBot="1">
      <c r="A466" s="12"/>
      <c r="B466" s="109" t="s">
        <v>367</v>
      </c>
      <c r="C466" s="107" t="s">
        <v>369</v>
      </c>
      <c r="D466" s="100" t="s">
        <v>370</v>
      </c>
      <c r="E466" s="17" t="s">
        <v>370</v>
      </c>
      <c r="F466" s="18">
        <v>2895</v>
      </c>
      <c r="G466" s="23"/>
      <c r="H466" s="22"/>
      <c r="I466" s="4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5" customHeight="1" thickBot="1">
      <c r="A467" s="12"/>
      <c r="B467" s="108" t="s">
        <v>356</v>
      </c>
      <c r="C467" s="106" t="s">
        <v>334</v>
      </c>
      <c r="D467" s="100" t="s">
        <v>18</v>
      </c>
      <c r="E467" s="17">
        <v>691</v>
      </c>
      <c r="F467" s="18">
        <v>720</v>
      </c>
      <c r="G467" s="23"/>
      <c r="H467" s="22"/>
      <c r="I467" s="4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5" customHeight="1" thickBot="1">
      <c r="A468" s="12"/>
      <c r="B468" s="108"/>
      <c r="C468" s="106" t="s">
        <v>70</v>
      </c>
      <c r="D468" s="100" t="s">
        <v>82</v>
      </c>
      <c r="E468" s="17">
        <v>692</v>
      </c>
      <c r="F468" s="18">
        <v>382</v>
      </c>
      <c r="G468" s="23"/>
      <c r="H468" s="22"/>
      <c r="I468" s="4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5" customHeight="1" thickBot="1">
      <c r="A469" s="12"/>
      <c r="B469" s="109"/>
      <c r="C469" s="107"/>
      <c r="D469" s="100" t="s">
        <v>14</v>
      </c>
      <c r="E469" s="17">
        <v>693</v>
      </c>
      <c r="F469" s="18">
        <v>509</v>
      </c>
      <c r="G469" s="23"/>
      <c r="H469" s="22"/>
      <c r="I469" s="4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5" customHeight="1" thickBot="1">
      <c r="A470" s="12"/>
      <c r="B470" s="108" t="s">
        <v>356</v>
      </c>
      <c r="C470" s="107" t="s">
        <v>358</v>
      </c>
      <c r="D470" s="100" t="s">
        <v>18</v>
      </c>
      <c r="E470" s="17">
        <v>1077</v>
      </c>
      <c r="F470" s="18">
        <v>720</v>
      </c>
      <c r="G470" s="23"/>
      <c r="H470" s="22"/>
      <c r="I470" s="4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5" customHeight="1" thickBot="1">
      <c r="A471" s="12"/>
      <c r="B471" s="108"/>
      <c r="C471" s="106" t="s">
        <v>70</v>
      </c>
      <c r="D471" s="100" t="s">
        <v>20</v>
      </c>
      <c r="E471" s="17">
        <v>1078</v>
      </c>
      <c r="F471" s="18">
        <v>720</v>
      </c>
      <c r="G471" s="23"/>
      <c r="H471" s="22"/>
      <c r="I471" s="4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5" customHeight="1" thickBot="1">
      <c r="A472" s="12"/>
      <c r="B472" s="109"/>
      <c r="C472" s="107"/>
      <c r="D472" s="100" t="s">
        <v>14</v>
      </c>
      <c r="E472" s="17">
        <v>1079</v>
      </c>
      <c r="F472" s="18">
        <v>509</v>
      </c>
      <c r="G472" s="23"/>
      <c r="H472" s="22"/>
      <c r="I472" s="4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30.5" customHeight="1" thickBot="1">
      <c r="A473" s="12"/>
      <c r="B473" s="108"/>
      <c r="C473" s="107" t="s">
        <v>371</v>
      </c>
      <c r="D473" s="100" t="s">
        <v>26</v>
      </c>
      <c r="E473" s="17">
        <v>1110</v>
      </c>
      <c r="F473" s="18">
        <v>1095</v>
      </c>
      <c r="G473" s="23"/>
      <c r="H473" s="22"/>
      <c r="I473" s="4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5" customHeight="1" thickBot="1">
      <c r="A474" s="12"/>
      <c r="B474" s="109"/>
      <c r="C474" s="106"/>
      <c r="D474" s="100" t="s">
        <v>372</v>
      </c>
      <c r="E474" s="17">
        <v>1273</v>
      </c>
      <c r="F474" s="18">
        <v>795</v>
      </c>
      <c r="G474" s="23"/>
      <c r="H474" s="22"/>
      <c r="I474" s="4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5" customHeight="1" thickBot="1">
      <c r="A475" s="12"/>
      <c r="B475" s="108" t="s">
        <v>356</v>
      </c>
      <c r="C475" s="107" t="s">
        <v>297</v>
      </c>
      <c r="D475" s="100" t="s">
        <v>18</v>
      </c>
      <c r="E475" s="17">
        <v>1216</v>
      </c>
      <c r="F475" s="18">
        <v>720</v>
      </c>
      <c r="G475" s="23"/>
      <c r="H475" s="22"/>
      <c r="I475" s="4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5" customHeight="1" thickBot="1">
      <c r="A476" s="12"/>
      <c r="B476" s="108"/>
      <c r="C476" s="106" t="s">
        <v>70</v>
      </c>
      <c r="D476" s="100" t="s">
        <v>20</v>
      </c>
      <c r="E476" s="17">
        <v>1217</v>
      </c>
      <c r="F476" s="18">
        <v>720</v>
      </c>
      <c r="G476" s="23"/>
      <c r="H476" s="22"/>
      <c r="I476" s="4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5" customHeight="1" thickBot="1">
      <c r="A477" s="12"/>
      <c r="B477" s="109"/>
      <c r="C477" s="107"/>
      <c r="D477" s="100" t="s">
        <v>14</v>
      </c>
      <c r="E477" s="17">
        <v>1218</v>
      </c>
      <c r="F477" s="18">
        <v>509</v>
      </c>
      <c r="G477" s="23"/>
      <c r="H477" s="22"/>
      <c r="I477" s="4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5" customHeight="1" thickBot="1">
      <c r="A478" s="12"/>
      <c r="B478" s="108" t="s">
        <v>356</v>
      </c>
      <c r="C478" s="107" t="s">
        <v>361</v>
      </c>
      <c r="D478" s="100" t="s">
        <v>18</v>
      </c>
      <c r="E478" s="17">
        <v>1284</v>
      </c>
      <c r="F478" s="18">
        <v>720</v>
      </c>
      <c r="G478" s="23"/>
      <c r="H478" s="22"/>
      <c r="I478" s="4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5" customHeight="1" thickBot="1">
      <c r="A479" s="12"/>
      <c r="B479" s="108"/>
      <c r="C479" s="106"/>
      <c r="D479" s="100" t="s">
        <v>14</v>
      </c>
      <c r="E479" s="17">
        <v>1285</v>
      </c>
      <c r="F479" s="18">
        <v>509</v>
      </c>
      <c r="G479" s="23"/>
      <c r="H479" s="22"/>
      <c r="I479" s="4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5" customHeight="1" thickBot="1">
      <c r="A480" s="12"/>
      <c r="B480" s="109" t="s">
        <v>356</v>
      </c>
      <c r="C480" s="107" t="s">
        <v>363</v>
      </c>
      <c r="D480" s="100" t="s">
        <v>18</v>
      </c>
      <c r="E480" s="17">
        <v>1121</v>
      </c>
      <c r="F480" s="18">
        <v>720</v>
      </c>
      <c r="G480" s="23"/>
      <c r="H480" s="22"/>
      <c r="I480" s="4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5" customHeight="1" thickBot="1">
      <c r="A481" s="12"/>
      <c r="B481" s="108"/>
      <c r="C481" s="106"/>
      <c r="D481" s="100" t="s">
        <v>12</v>
      </c>
      <c r="E481" s="17">
        <v>1586</v>
      </c>
      <c r="F481" s="18">
        <v>895</v>
      </c>
      <c r="G481" s="23"/>
      <c r="H481" s="22"/>
      <c r="I481" s="4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5" customHeight="1" thickBot="1">
      <c r="A482" s="12"/>
      <c r="B482" s="109" t="s">
        <v>373</v>
      </c>
      <c r="C482" s="107" t="s">
        <v>344</v>
      </c>
      <c r="D482" s="100" t="s">
        <v>60</v>
      </c>
      <c r="E482" s="17">
        <v>1122</v>
      </c>
      <c r="F482" s="18">
        <v>955</v>
      </c>
      <c r="G482" s="23"/>
      <c r="H482" s="22"/>
      <c r="I482" s="4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5" customHeight="1" thickBot="1">
      <c r="A483" s="12"/>
      <c r="B483" s="108" t="s">
        <v>373</v>
      </c>
      <c r="C483" s="106" t="s">
        <v>344</v>
      </c>
      <c r="D483" s="100" t="s">
        <v>61</v>
      </c>
      <c r="E483" s="17">
        <v>1123</v>
      </c>
      <c r="F483" s="18">
        <v>1273</v>
      </c>
      <c r="G483" s="23"/>
      <c r="H483" s="22"/>
      <c r="I483" s="4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27.5" customHeight="1" thickBot="1">
      <c r="A484" s="12"/>
      <c r="B484" s="110" t="s">
        <v>373</v>
      </c>
      <c r="C484" s="107" t="s">
        <v>344</v>
      </c>
      <c r="D484" s="100" t="s">
        <v>340</v>
      </c>
      <c r="E484" s="17" t="s">
        <v>374</v>
      </c>
      <c r="F484" s="18">
        <v>382</v>
      </c>
      <c r="G484" s="23"/>
      <c r="H484" s="22"/>
      <c r="I484" s="4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5" customHeight="1" thickBot="1">
      <c r="A485" s="12"/>
      <c r="B485" s="110"/>
      <c r="C485" s="107"/>
      <c r="D485" s="100"/>
      <c r="E485" s="17"/>
      <c r="F485" s="18"/>
      <c r="G485" s="23"/>
      <c r="H485" s="22"/>
      <c r="I485" s="4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5" customHeight="1" thickBot="1">
      <c r="A486" s="12"/>
      <c r="B486" s="110" t="s">
        <v>356</v>
      </c>
      <c r="C486" s="107" t="s">
        <v>375</v>
      </c>
      <c r="D486" s="100" t="s">
        <v>18</v>
      </c>
      <c r="E486" s="17">
        <v>1448</v>
      </c>
      <c r="F486" s="18">
        <v>955</v>
      </c>
      <c r="G486" s="23"/>
      <c r="H486" s="22"/>
      <c r="I486" s="4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5" customHeight="1" thickBot="1">
      <c r="A487" s="12"/>
      <c r="B487" s="108"/>
      <c r="C487" s="106" t="s">
        <v>344</v>
      </c>
      <c r="D487" s="100" t="s">
        <v>26</v>
      </c>
      <c r="E487" s="13">
        <v>1449</v>
      </c>
      <c r="F487" s="18">
        <v>1095</v>
      </c>
      <c r="G487" s="23"/>
      <c r="H487" s="22"/>
      <c r="I487" s="4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5" customHeight="1" thickBot="1">
      <c r="A488" s="12"/>
      <c r="B488" s="109"/>
      <c r="C488" s="107"/>
      <c r="D488" s="100" t="s">
        <v>20</v>
      </c>
      <c r="E488" s="17">
        <v>1450</v>
      </c>
      <c r="F488" s="18">
        <v>955</v>
      </c>
      <c r="G488" s="23"/>
      <c r="H488" s="22"/>
      <c r="I488" s="4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5" customHeight="1" thickBot="1">
      <c r="A489" s="12"/>
      <c r="B489" s="108"/>
      <c r="C489" s="107"/>
      <c r="D489" s="100" t="s">
        <v>14</v>
      </c>
      <c r="E489" s="17">
        <v>1451</v>
      </c>
      <c r="F489" s="18">
        <v>955</v>
      </c>
      <c r="G489" s="23"/>
      <c r="H489" s="22"/>
      <c r="I489" s="4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5" customHeight="1" thickBot="1">
      <c r="A490" s="12"/>
      <c r="B490" s="108"/>
      <c r="C490" s="106"/>
      <c r="D490" s="100" t="s">
        <v>60</v>
      </c>
      <c r="E490" s="17">
        <v>1452</v>
      </c>
      <c r="F490" s="18">
        <v>1591</v>
      </c>
      <c r="G490" s="23"/>
      <c r="H490" s="22"/>
      <c r="I490" s="4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5" customHeight="1" thickBot="1">
      <c r="A491" s="12"/>
      <c r="B491" s="108"/>
      <c r="C491" s="106"/>
      <c r="D491" s="100" t="s">
        <v>61</v>
      </c>
      <c r="E491" s="17">
        <v>1453</v>
      </c>
      <c r="F491" s="18">
        <v>955</v>
      </c>
      <c r="G491" s="23"/>
      <c r="H491" s="22"/>
      <c r="I491" s="4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5" customHeight="1" thickBot="1">
      <c r="A492" s="12"/>
      <c r="B492" s="108"/>
      <c r="C492" s="106"/>
      <c r="D492" s="100" t="s">
        <v>376</v>
      </c>
      <c r="E492" s="17">
        <v>1570</v>
      </c>
      <c r="F492" s="18">
        <v>320</v>
      </c>
      <c r="G492" s="23"/>
      <c r="H492" s="22"/>
      <c r="I492" s="4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5" customHeight="1" thickBot="1">
      <c r="A493" s="12"/>
      <c r="B493" s="108"/>
      <c r="C493" s="106"/>
      <c r="D493" s="100" t="s">
        <v>377</v>
      </c>
      <c r="E493" s="17">
        <v>1571</v>
      </c>
      <c r="F493" s="18">
        <v>380</v>
      </c>
      <c r="G493" s="23"/>
      <c r="H493" s="22"/>
      <c r="I493" s="4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5" customHeight="1" thickBot="1">
      <c r="A494" s="12"/>
      <c r="B494" s="108"/>
      <c r="C494" s="106"/>
      <c r="D494" s="100" t="s">
        <v>378</v>
      </c>
      <c r="E494" s="17">
        <v>1572</v>
      </c>
      <c r="F494" s="18">
        <v>995</v>
      </c>
      <c r="G494" s="23"/>
      <c r="H494" s="22"/>
      <c r="I494" s="4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5" customHeight="1" thickBot="1">
      <c r="A495" s="12"/>
      <c r="B495" s="108"/>
      <c r="C495" s="106"/>
      <c r="D495" s="100" t="s">
        <v>377</v>
      </c>
      <c r="E495" s="17">
        <v>1571</v>
      </c>
      <c r="F495" s="18">
        <v>380</v>
      </c>
      <c r="G495" s="23"/>
      <c r="H495" s="22"/>
      <c r="I495" s="4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5" customHeight="1" thickBot="1">
      <c r="A496" s="12"/>
      <c r="B496" s="108"/>
      <c r="C496" s="106"/>
      <c r="D496" s="100" t="s">
        <v>378</v>
      </c>
      <c r="E496" s="17">
        <v>1572</v>
      </c>
      <c r="F496" s="18">
        <v>420</v>
      </c>
      <c r="G496" s="23"/>
      <c r="H496" s="22"/>
      <c r="I496" s="4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5" customHeight="1" thickBot="1">
      <c r="A497" s="12"/>
      <c r="B497" s="109" t="s">
        <v>356</v>
      </c>
      <c r="C497" s="107" t="s">
        <v>379</v>
      </c>
      <c r="D497" s="100" t="s">
        <v>60</v>
      </c>
      <c r="E497" s="17">
        <v>1588</v>
      </c>
      <c r="F497" s="18">
        <v>1591</v>
      </c>
      <c r="G497" s="23"/>
      <c r="H497" s="22"/>
      <c r="I497" s="4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5" customHeight="1" thickBot="1">
      <c r="A498" s="12"/>
      <c r="B498" s="108"/>
      <c r="C498" s="107" t="s">
        <v>363</v>
      </c>
      <c r="D498" s="100" t="s">
        <v>22</v>
      </c>
      <c r="E498" s="17">
        <v>3520</v>
      </c>
      <c r="F498" s="18">
        <v>720</v>
      </c>
      <c r="G498" s="23"/>
      <c r="H498" s="22"/>
      <c r="I498" s="4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5" customHeight="1" thickBot="1">
      <c r="A499" s="12"/>
      <c r="B499" s="108" t="s">
        <v>356</v>
      </c>
      <c r="C499" s="107" t="s">
        <v>365</v>
      </c>
      <c r="D499" s="100" t="s">
        <v>26</v>
      </c>
      <c r="E499" s="17">
        <v>3230</v>
      </c>
      <c r="F499" s="18">
        <v>1095</v>
      </c>
      <c r="G499" s="23"/>
      <c r="H499" s="22"/>
      <c r="I499" s="4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5" customHeight="1" thickBot="1">
      <c r="A500" s="12"/>
      <c r="B500" s="109"/>
      <c r="C500" s="106"/>
      <c r="D500" s="100" t="s">
        <v>60</v>
      </c>
      <c r="E500" s="17">
        <v>3530</v>
      </c>
      <c r="F500" s="18">
        <v>890</v>
      </c>
      <c r="G500" s="23"/>
      <c r="H500" s="22"/>
      <c r="I500" s="4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5" customHeight="1" thickBot="1">
      <c r="A501" s="12"/>
      <c r="B501" s="108"/>
      <c r="C501" s="106"/>
      <c r="D501" s="100" t="s">
        <v>60</v>
      </c>
      <c r="E501" s="17">
        <v>3531</v>
      </c>
      <c r="F501" s="18">
        <v>890</v>
      </c>
      <c r="G501" s="23"/>
      <c r="H501" s="22"/>
      <c r="I501" s="4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5" customHeight="1" thickBot="1">
      <c r="A502" s="12"/>
      <c r="B502" s="108"/>
      <c r="C502" s="106"/>
      <c r="D502" s="100" t="s">
        <v>61</v>
      </c>
      <c r="E502" s="17">
        <v>3532</v>
      </c>
      <c r="F502" s="18">
        <v>1040</v>
      </c>
      <c r="G502" s="23"/>
      <c r="H502" s="22"/>
      <c r="I502" s="4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5" customHeight="1" thickBot="1">
      <c r="A503" s="12"/>
      <c r="B503" s="108"/>
      <c r="C503" s="106"/>
      <c r="D503" s="100" t="s">
        <v>380</v>
      </c>
      <c r="E503" s="17">
        <v>3533</v>
      </c>
      <c r="F503" s="18">
        <v>840</v>
      </c>
      <c r="G503" s="23"/>
      <c r="H503" s="22"/>
      <c r="I503" s="4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5" customHeight="1" thickBot="1">
      <c r="A504" s="12"/>
      <c r="B504" s="108"/>
      <c r="C504" s="106"/>
      <c r="D504" s="100" t="s">
        <v>14</v>
      </c>
      <c r="E504" s="17">
        <v>3534</v>
      </c>
      <c r="F504" s="18">
        <v>720</v>
      </c>
      <c r="G504" s="23"/>
      <c r="H504" s="22"/>
      <c r="I504" s="4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5" customHeight="1" thickBot="1">
      <c r="A505" s="12"/>
      <c r="B505" s="108"/>
      <c r="C505" s="106"/>
      <c r="D505" s="100" t="s">
        <v>381</v>
      </c>
      <c r="E505" s="17">
        <v>3535</v>
      </c>
      <c r="F505" s="18">
        <v>795</v>
      </c>
      <c r="G505" s="23"/>
      <c r="H505" s="22"/>
      <c r="I505" s="4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5" customHeight="1" thickBot="1">
      <c r="A506" s="12"/>
      <c r="B506" s="108"/>
      <c r="C506" s="106"/>
      <c r="D506" s="100" t="s">
        <v>200</v>
      </c>
      <c r="E506" s="17">
        <v>3538</v>
      </c>
      <c r="F506" s="18">
        <v>2495</v>
      </c>
      <c r="G506" s="23"/>
      <c r="H506" s="22"/>
      <c r="I506" s="4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5" customHeight="1" thickBot="1">
      <c r="A507" s="12"/>
      <c r="B507" s="108"/>
      <c r="C507" s="107" t="s">
        <v>382</v>
      </c>
      <c r="D507" s="100" t="s">
        <v>259</v>
      </c>
      <c r="E507" s="17">
        <v>3529</v>
      </c>
      <c r="F507" s="18">
        <v>290</v>
      </c>
      <c r="G507" s="23"/>
      <c r="H507" s="22"/>
      <c r="I507" s="4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5" customHeight="1" thickBot="1">
      <c r="A508" s="12"/>
      <c r="B508" s="108"/>
      <c r="C508" s="107" t="s">
        <v>68</v>
      </c>
      <c r="D508" s="100" t="s">
        <v>29</v>
      </c>
      <c r="E508" s="17">
        <v>3536</v>
      </c>
      <c r="F508" s="18">
        <v>1295</v>
      </c>
      <c r="G508" s="23"/>
      <c r="H508" s="22"/>
      <c r="I508" s="4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5" customHeight="1" thickBot="1">
      <c r="A509" s="12"/>
      <c r="B509" s="108"/>
      <c r="C509" s="107" t="s">
        <v>68</v>
      </c>
      <c r="D509" s="100" t="s">
        <v>321</v>
      </c>
      <c r="E509" s="17">
        <v>3537</v>
      </c>
      <c r="F509" s="18">
        <v>420</v>
      </c>
      <c r="G509" s="23"/>
      <c r="H509" s="22"/>
      <c r="I509" s="4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5" customHeight="1" thickBot="1">
      <c r="A510" s="12"/>
      <c r="B510" s="109" t="s">
        <v>356</v>
      </c>
      <c r="C510" s="107" t="s">
        <v>383</v>
      </c>
      <c r="D510" s="100" t="s">
        <v>20</v>
      </c>
      <c r="E510" s="17">
        <v>3542</v>
      </c>
      <c r="F510" s="18">
        <v>760</v>
      </c>
      <c r="G510" s="23"/>
      <c r="H510" s="22"/>
      <c r="I510" s="4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5" customHeight="1" thickBot="1">
      <c r="A511" s="12"/>
      <c r="B511" s="109" t="s">
        <v>384</v>
      </c>
      <c r="C511" s="107" t="s">
        <v>334</v>
      </c>
      <c r="D511" s="100" t="s">
        <v>18</v>
      </c>
      <c r="E511" s="17">
        <v>826</v>
      </c>
      <c r="F511" s="18">
        <v>720</v>
      </c>
      <c r="G511" s="23"/>
      <c r="H511" s="22"/>
      <c r="I511" s="4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5" customHeight="1" thickBot="1">
      <c r="A512" s="12"/>
      <c r="B512" s="109" t="s">
        <v>385</v>
      </c>
      <c r="C512" s="107" t="s">
        <v>89</v>
      </c>
      <c r="D512" s="100" t="s">
        <v>82</v>
      </c>
      <c r="E512" s="17">
        <v>827</v>
      </c>
      <c r="F512" s="18">
        <v>382</v>
      </c>
      <c r="G512" s="23"/>
      <c r="H512" s="22"/>
      <c r="I512" s="4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5" customHeight="1" thickBot="1">
      <c r="A513" s="12"/>
      <c r="B513" s="108"/>
      <c r="C513" s="106"/>
      <c r="D513" s="100" t="s">
        <v>14</v>
      </c>
      <c r="E513" s="17">
        <v>828</v>
      </c>
      <c r="F513" s="18">
        <v>445</v>
      </c>
      <c r="G513" s="23"/>
      <c r="H513" s="22"/>
      <c r="I513" s="4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5" customHeight="1" thickBot="1">
      <c r="A514" s="12"/>
      <c r="B514" s="108"/>
      <c r="C514" s="106"/>
      <c r="D514" s="100" t="s">
        <v>33</v>
      </c>
      <c r="E514" s="17">
        <v>829</v>
      </c>
      <c r="F514" s="18">
        <v>445</v>
      </c>
      <c r="G514" s="23"/>
      <c r="H514" s="22"/>
      <c r="I514" s="4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5" customHeight="1" thickBot="1">
      <c r="A515" s="12"/>
      <c r="B515" s="108"/>
      <c r="C515" s="106"/>
      <c r="D515" s="100" t="s">
        <v>259</v>
      </c>
      <c r="E515" s="17">
        <v>839</v>
      </c>
      <c r="F515" s="18">
        <v>255</v>
      </c>
      <c r="G515" s="23"/>
      <c r="H515" s="22"/>
      <c r="I515" s="4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5" customHeight="1" thickBot="1">
      <c r="A516" s="12"/>
      <c r="B516" s="108"/>
      <c r="C516" s="107" t="s">
        <v>369</v>
      </c>
      <c r="D516" s="100" t="s">
        <v>18</v>
      </c>
      <c r="E516" s="17">
        <v>830</v>
      </c>
      <c r="F516" s="18">
        <v>720</v>
      </c>
      <c r="G516" s="23"/>
      <c r="H516" s="22"/>
      <c r="I516" s="4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5" customHeight="1" thickBot="1">
      <c r="A517" s="12"/>
      <c r="B517" s="108"/>
      <c r="C517" s="107" t="s">
        <v>70</v>
      </c>
      <c r="D517" s="100" t="s">
        <v>20</v>
      </c>
      <c r="E517" s="17">
        <v>831</v>
      </c>
      <c r="F517" s="18">
        <v>720</v>
      </c>
      <c r="G517" s="23"/>
      <c r="H517" s="22"/>
      <c r="I517" s="4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5" customHeight="1" thickBot="1">
      <c r="A518" s="12"/>
      <c r="B518" s="108"/>
      <c r="C518" s="106"/>
      <c r="D518" s="100" t="s">
        <v>14</v>
      </c>
      <c r="E518" s="17">
        <v>832</v>
      </c>
      <c r="F518" s="18">
        <v>445</v>
      </c>
      <c r="G518" s="23"/>
      <c r="H518" s="22"/>
      <c r="I518" s="4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5" customHeight="1" thickBot="1">
      <c r="A519" s="12"/>
      <c r="B519" s="108"/>
      <c r="C519" s="107" t="s">
        <v>386</v>
      </c>
      <c r="D519" s="100" t="s">
        <v>22</v>
      </c>
      <c r="E519" s="17">
        <v>756</v>
      </c>
      <c r="F519" s="18">
        <v>445</v>
      </c>
      <c r="G519" s="23"/>
      <c r="H519" s="22"/>
      <c r="I519" s="4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5" customHeight="1" thickBot="1">
      <c r="A520" s="12"/>
      <c r="B520" s="108"/>
      <c r="C520" s="107" t="s">
        <v>330</v>
      </c>
      <c r="D520" s="100" t="s">
        <v>33</v>
      </c>
      <c r="E520" s="17">
        <v>1063</v>
      </c>
      <c r="F520" s="18">
        <v>255</v>
      </c>
      <c r="G520" s="23"/>
      <c r="H520" s="22"/>
      <c r="I520" s="4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5" customHeight="1" thickBot="1">
      <c r="A521" s="12"/>
      <c r="B521" s="109" t="s">
        <v>384</v>
      </c>
      <c r="C521" s="107" t="s">
        <v>334</v>
      </c>
      <c r="D521" s="100" t="s">
        <v>259</v>
      </c>
      <c r="E521" s="17">
        <v>893</v>
      </c>
      <c r="F521" s="18">
        <v>255</v>
      </c>
      <c r="G521" s="23"/>
      <c r="H521" s="22"/>
      <c r="I521" s="4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20.25" customHeight="1" thickBot="1">
      <c r="A522" s="12"/>
      <c r="B522" s="109" t="s">
        <v>387</v>
      </c>
      <c r="C522" s="106"/>
      <c r="D522" s="100" t="s">
        <v>22</v>
      </c>
      <c r="E522" s="17">
        <v>894</v>
      </c>
      <c r="F522" s="18">
        <v>573</v>
      </c>
      <c r="G522" s="23"/>
      <c r="H522" s="22"/>
      <c r="I522" s="4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" customHeight="1" thickBot="1">
      <c r="A523" s="155" t="s">
        <v>388</v>
      </c>
      <c r="B523" s="134"/>
      <c r="C523" s="134"/>
      <c r="D523" s="134"/>
      <c r="E523" s="135"/>
      <c r="F523" s="135"/>
      <c r="G523" s="135"/>
      <c r="H523" s="4"/>
      <c r="I523" s="4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5" customHeight="1" thickBot="1">
      <c r="A524" s="12"/>
      <c r="B524" s="109" t="s">
        <v>389</v>
      </c>
      <c r="C524" s="107" t="s">
        <v>390</v>
      </c>
      <c r="D524" s="100" t="s">
        <v>14</v>
      </c>
      <c r="E524" s="17">
        <v>1190</v>
      </c>
      <c r="F524" s="18">
        <v>764</v>
      </c>
      <c r="G524" s="23"/>
      <c r="H524" s="22"/>
      <c r="I524" s="4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8" customHeight="1" thickBot="1">
      <c r="A525" s="12"/>
      <c r="B525" s="108"/>
      <c r="C525" s="106"/>
      <c r="D525" s="100" t="s">
        <v>380</v>
      </c>
      <c r="E525" s="17">
        <v>1191</v>
      </c>
      <c r="F525" s="18">
        <v>1145</v>
      </c>
      <c r="G525" s="23"/>
      <c r="H525" s="22"/>
      <c r="I525" s="4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.5" customHeight="1" thickBot="1">
      <c r="A526" s="12"/>
      <c r="B526" s="109" t="s">
        <v>391</v>
      </c>
      <c r="C526" s="106"/>
      <c r="D526" s="100" t="s">
        <v>18</v>
      </c>
      <c r="E526" s="17">
        <v>3441</v>
      </c>
      <c r="F526" s="18">
        <v>1080</v>
      </c>
      <c r="G526" s="23"/>
      <c r="H526" s="22"/>
      <c r="I526" s="4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.5" customHeight="1" thickBot="1">
      <c r="A527" s="12"/>
      <c r="B527" s="108"/>
      <c r="C527" s="106"/>
      <c r="D527" s="100" t="s">
        <v>107</v>
      </c>
      <c r="E527" s="17">
        <v>3442</v>
      </c>
      <c r="F527" s="18">
        <v>685</v>
      </c>
      <c r="G527" s="23"/>
      <c r="H527" s="22"/>
      <c r="I527" s="4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.5" customHeight="1" thickBot="1">
      <c r="A528" s="12"/>
      <c r="B528" s="108"/>
      <c r="C528" s="106"/>
      <c r="D528" s="100" t="s">
        <v>107</v>
      </c>
      <c r="E528" s="17">
        <v>3443</v>
      </c>
      <c r="F528" s="18">
        <v>685</v>
      </c>
      <c r="G528" s="23"/>
      <c r="H528" s="22"/>
      <c r="I528" s="4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.5" customHeight="1" thickBot="1">
      <c r="A529" s="12"/>
      <c r="B529" s="109" t="s">
        <v>392</v>
      </c>
      <c r="C529" s="107" t="s">
        <v>68</v>
      </c>
      <c r="D529" s="100" t="s">
        <v>18</v>
      </c>
      <c r="E529" s="17">
        <v>1746</v>
      </c>
      <c r="F529" s="18">
        <v>720</v>
      </c>
      <c r="G529" s="23"/>
      <c r="H529" s="22"/>
      <c r="I529" s="4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8" customHeight="1" thickBot="1">
      <c r="A530" s="12"/>
      <c r="B530" s="108"/>
      <c r="C530" s="106"/>
      <c r="D530" s="100" t="s">
        <v>20</v>
      </c>
      <c r="E530" s="17">
        <v>1747</v>
      </c>
      <c r="F530" s="18">
        <v>720</v>
      </c>
      <c r="G530" s="23"/>
      <c r="H530" s="22"/>
      <c r="I530" s="4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.5" customHeight="1" thickBot="1">
      <c r="A531" s="12"/>
      <c r="B531" s="108"/>
      <c r="C531" s="106"/>
      <c r="D531" s="100" t="s">
        <v>14</v>
      </c>
      <c r="E531" s="17">
        <v>1748</v>
      </c>
      <c r="F531" s="18">
        <v>509</v>
      </c>
      <c r="G531" s="23"/>
      <c r="H531" s="22"/>
      <c r="I531" s="4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8" customHeight="1" thickBot="1">
      <c r="A532" s="12"/>
      <c r="B532" s="108"/>
      <c r="C532" s="106"/>
      <c r="D532" s="100" t="s">
        <v>22</v>
      </c>
      <c r="E532" s="13"/>
      <c r="F532" s="18">
        <v>508</v>
      </c>
      <c r="G532" s="23"/>
      <c r="H532" s="22"/>
      <c r="I532" s="4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8" customHeight="1" thickBot="1">
      <c r="A533" s="12"/>
      <c r="B533" s="108"/>
      <c r="C533" s="106"/>
      <c r="D533" s="100" t="s">
        <v>60</v>
      </c>
      <c r="E533" s="17">
        <v>1745</v>
      </c>
      <c r="F533" s="18">
        <v>1273</v>
      </c>
      <c r="G533" s="23"/>
      <c r="H533" s="22"/>
      <c r="I533" s="4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8" customHeight="1" thickBot="1">
      <c r="A534" s="12"/>
      <c r="B534" s="108"/>
      <c r="C534" s="106"/>
      <c r="D534" s="100" t="s">
        <v>26</v>
      </c>
      <c r="E534" s="17">
        <v>1772</v>
      </c>
      <c r="F534" s="18">
        <v>1095</v>
      </c>
      <c r="G534" s="23"/>
      <c r="H534" s="22"/>
      <c r="I534" s="4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8" customHeight="1" thickBot="1">
      <c r="A535" s="12"/>
      <c r="B535" s="108"/>
      <c r="C535" s="106"/>
      <c r="D535" s="100" t="s">
        <v>29</v>
      </c>
      <c r="E535" s="17">
        <v>1773</v>
      </c>
      <c r="F535" s="18">
        <v>1295</v>
      </c>
      <c r="G535" s="23"/>
      <c r="H535" s="22"/>
      <c r="I535" s="4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8" customHeight="1" thickBot="1">
      <c r="A536" s="12"/>
      <c r="B536" s="108"/>
      <c r="C536" s="106"/>
      <c r="D536" s="100" t="s">
        <v>27</v>
      </c>
      <c r="E536" s="17">
        <v>1774</v>
      </c>
      <c r="F536" s="18">
        <v>1145</v>
      </c>
      <c r="G536" s="23"/>
      <c r="H536" s="22"/>
      <c r="I536" s="4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.5" customHeight="1" thickBot="1">
      <c r="A537" s="12"/>
      <c r="B537" s="109" t="s">
        <v>393</v>
      </c>
      <c r="C537" s="107" t="s">
        <v>393</v>
      </c>
      <c r="D537" s="100" t="s">
        <v>18</v>
      </c>
      <c r="E537" s="17">
        <v>565</v>
      </c>
      <c r="F537" s="18">
        <v>720</v>
      </c>
      <c r="G537" s="23"/>
      <c r="H537" s="22"/>
      <c r="I537" s="4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8" customHeight="1" thickBot="1">
      <c r="A538" s="12"/>
      <c r="B538" s="108"/>
      <c r="C538" s="106"/>
      <c r="D538" s="100" t="s">
        <v>20</v>
      </c>
      <c r="E538" s="17">
        <v>566</v>
      </c>
      <c r="F538" s="18">
        <v>720</v>
      </c>
      <c r="G538" s="23"/>
      <c r="H538" s="22"/>
      <c r="I538" s="4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.5" customHeight="1" thickBot="1">
      <c r="A539" s="12"/>
      <c r="B539" s="108"/>
      <c r="C539" s="107" t="s">
        <v>394</v>
      </c>
      <c r="D539" s="100" t="s">
        <v>18</v>
      </c>
      <c r="E539" s="17">
        <v>567</v>
      </c>
      <c r="F539" s="18">
        <v>720</v>
      </c>
      <c r="G539" s="23"/>
      <c r="H539" s="22"/>
      <c r="I539" s="4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.5" customHeight="1" thickBot="1">
      <c r="A540" s="12"/>
      <c r="B540" s="109" t="s">
        <v>395</v>
      </c>
      <c r="C540" s="106"/>
      <c r="D540" s="100" t="s">
        <v>60</v>
      </c>
      <c r="E540" s="17">
        <v>568</v>
      </c>
      <c r="F540" s="18">
        <v>827</v>
      </c>
      <c r="G540" s="23"/>
      <c r="H540" s="22"/>
      <c r="I540" s="4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8" customHeight="1" thickBot="1">
      <c r="A541" s="12"/>
      <c r="B541" s="108"/>
      <c r="C541" s="106"/>
      <c r="D541" s="100" t="s">
        <v>396</v>
      </c>
      <c r="E541" s="17" t="s">
        <v>397</v>
      </c>
      <c r="F541" s="18">
        <v>955</v>
      </c>
      <c r="G541" s="23"/>
      <c r="H541" s="22"/>
      <c r="I541" s="4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.5" customHeight="1" thickBot="1">
      <c r="A542" s="12"/>
      <c r="B542" s="108"/>
      <c r="C542" s="106"/>
      <c r="D542" s="100" t="s">
        <v>398</v>
      </c>
      <c r="E542" s="17" t="s">
        <v>399</v>
      </c>
      <c r="F542" s="18">
        <v>955</v>
      </c>
      <c r="G542" s="23"/>
      <c r="H542" s="22"/>
      <c r="I542" s="4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.5" customHeight="1" thickBot="1">
      <c r="A543" s="12"/>
      <c r="B543" s="109" t="s">
        <v>400</v>
      </c>
      <c r="C543" s="107" t="s">
        <v>400</v>
      </c>
      <c r="D543" s="100" t="s">
        <v>18</v>
      </c>
      <c r="E543" s="17">
        <v>569</v>
      </c>
      <c r="F543" s="18">
        <v>720</v>
      </c>
      <c r="G543" s="23"/>
      <c r="H543" s="22"/>
      <c r="I543" s="4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5" customHeight="1" thickBot="1">
      <c r="A544" s="12"/>
      <c r="B544" s="108"/>
      <c r="C544" s="106"/>
      <c r="D544" s="100" t="s">
        <v>55</v>
      </c>
      <c r="E544" s="17">
        <v>733</v>
      </c>
      <c r="F544" s="18">
        <v>795</v>
      </c>
      <c r="G544" s="23"/>
      <c r="H544" s="22"/>
      <c r="I544" s="4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5" customHeight="1" thickBot="1">
      <c r="A545" s="12"/>
      <c r="B545" s="108"/>
      <c r="C545" s="107" t="s">
        <v>297</v>
      </c>
      <c r="D545" s="100" t="s">
        <v>18</v>
      </c>
      <c r="E545" s="17">
        <v>1072</v>
      </c>
      <c r="F545" s="18">
        <v>720</v>
      </c>
      <c r="G545" s="23"/>
      <c r="H545" s="22"/>
      <c r="I545" s="4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8" customHeight="1" thickBot="1">
      <c r="A546" s="12"/>
      <c r="B546" s="108"/>
      <c r="C546" s="106"/>
      <c r="D546" s="100" t="s">
        <v>20</v>
      </c>
      <c r="E546" s="17">
        <v>1073</v>
      </c>
      <c r="F546" s="18">
        <v>720</v>
      </c>
      <c r="G546" s="23"/>
      <c r="H546" s="22"/>
      <c r="I546" s="4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5" customHeight="1" thickBot="1">
      <c r="A547" s="12"/>
      <c r="B547" s="108"/>
      <c r="C547" s="106"/>
      <c r="D547" s="100" t="s">
        <v>14</v>
      </c>
      <c r="E547" s="17">
        <v>1074</v>
      </c>
      <c r="F547" s="18">
        <v>445</v>
      </c>
      <c r="G547" s="23"/>
      <c r="H547" s="22"/>
      <c r="I547" s="4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5" customHeight="1" thickBot="1">
      <c r="A548" s="12"/>
      <c r="B548" s="108"/>
      <c r="C548" s="107" t="s">
        <v>401</v>
      </c>
      <c r="D548" s="100" t="s">
        <v>61</v>
      </c>
      <c r="E548" s="17">
        <v>1080</v>
      </c>
      <c r="F548" s="18">
        <v>318</v>
      </c>
      <c r="G548" s="23"/>
      <c r="H548" s="22"/>
      <c r="I548" s="4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8" customHeight="1" thickBot="1">
      <c r="A549" s="12"/>
      <c r="B549" s="108"/>
      <c r="C549" s="106"/>
      <c r="D549" s="100" t="s">
        <v>61</v>
      </c>
      <c r="E549" s="17">
        <v>1081</v>
      </c>
      <c r="F549" s="18">
        <v>764</v>
      </c>
      <c r="G549" s="23"/>
      <c r="H549" s="22"/>
      <c r="I549" s="4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5" customHeight="1" thickBot="1">
      <c r="A550" s="12"/>
      <c r="B550" s="108"/>
      <c r="C550" s="106"/>
      <c r="D550" s="100" t="s">
        <v>402</v>
      </c>
      <c r="E550" s="17">
        <v>1082</v>
      </c>
      <c r="F550" s="18">
        <v>318</v>
      </c>
      <c r="G550" s="23"/>
      <c r="H550" s="22"/>
      <c r="I550" s="4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5" customHeight="1" thickBot="1">
      <c r="A551" s="12"/>
      <c r="B551" s="108"/>
      <c r="C551" s="106"/>
      <c r="D551" s="100" t="s">
        <v>121</v>
      </c>
      <c r="E551" s="17">
        <v>1083</v>
      </c>
      <c r="F551" s="18">
        <v>286</v>
      </c>
      <c r="G551" s="23"/>
      <c r="H551" s="22"/>
      <c r="I551" s="4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5" customHeight="1" thickBot="1">
      <c r="A552" s="12"/>
      <c r="B552" s="108"/>
      <c r="C552" s="107" t="s">
        <v>297</v>
      </c>
      <c r="D552" s="100" t="s">
        <v>103</v>
      </c>
      <c r="E552" s="17">
        <v>1039</v>
      </c>
      <c r="F552" s="18">
        <v>995</v>
      </c>
      <c r="G552" s="23"/>
      <c r="H552" s="22"/>
      <c r="I552" s="4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5" customHeight="1" thickBot="1">
      <c r="A553" s="12"/>
      <c r="B553" s="108"/>
      <c r="C553" s="107" t="s">
        <v>394</v>
      </c>
      <c r="D553" s="100" t="s">
        <v>60</v>
      </c>
      <c r="E553" s="17">
        <v>1018</v>
      </c>
      <c r="F553" s="18">
        <v>955</v>
      </c>
      <c r="G553" s="23"/>
      <c r="H553" s="22"/>
      <c r="I553" s="4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5" customHeight="1" thickBot="1">
      <c r="A554" s="12"/>
      <c r="B554" s="108"/>
      <c r="C554" s="106"/>
      <c r="D554" s="100" t="s">
        <v>55</v>
      </c>
      <c r="E554" s="17">
        <v>1181</v>
      </c>
      <c r="F554" s="18">
        <v>795</v>
      </c>
      <c r="G554" s="23"/>
      <c r="H554" s="22"/>
      <c r="I554" s="4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5" customHeight="1" thickBot="1">
      <c r="A555" s="12"/>
      <c r="B555" s="109" t="s">
        <v>403</v>
      </c>
      <c r="C555" s="107" t="s">
        <v>386</v>
      </c>
      <c r="D555" s="100" t="s">
        <v>103</v>
      </c>
      <c r="E555" s="17">
        <v>819</v>
      </c>
      <c r="F555" s="18">
        <v>995</v>
      </c>
      <c r="G555" s="23"/>
      <c r="H555" s="22"/>
      <c r="I555" s="4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30.5" customHeight="1" thickBot="1">
      <c r="A556" s="12"/>
      <c r="B556" s="108"/>
      <c r="C556" s="107" t="s">
        <v>404</v>
      </c>
      <c r="D556" s="100" t="s">
        <v>18</v>
      </c>
      <c r="E556" s="17">
        <v>1172</v>
      </c>
      <c r="F556" s="18">
        <v>720</v>
      </c>
      <c r="G556" s="23"/>
      <c r="H556" s="22"/>
      <c r="I556" s="4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5" customHeight="1" thickBot="1">
      <c r="A557" s="12"/>
      <c r="B557" s="108"/>
      <c r="C557" s="106"/>
      <c r="D557" s="100" t="s">
        <v>26</v>
      </c>
      <c r="E557" s="17">
        <v>1173</v>
      </c>
      <c r="F557" s="18">
        <v>1095</v>
      </c>
      <c r="G557" s="23"/>
      <c r="H557" s="22"/>
      <c r="I557" s="4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5" customHeight="1" thickBot="1">
      <c r="A558" s="12"/>
      <c r="B558" s="108"/>
      <c r="C558" s="106"/>
      <c r="D558" s="100" t="s">
        <v>103</v>
      </c>
      <c r="E558" s="17">
        <v>1174</v>
      </c>
      <c r="F558" s="18">
        <v>995</v>
      </c>
      <c r="G558" s="23"/>
      <c r="H558" s="22"/>
      <c r="I558" s="4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27.5" customHeight="1" thickBot="1">
      <c r="A559" s="12"/>
      <c r="B559" s="108"/>
      <c r="C559" s="106"/>
      <c r="D559" s="100" t="s">
        <v>18</v>
      </c>
      <c r="E559" s="17" t="s">
        <v>405</v>
      </c>
      <c r="F559" s="18">
        <v>720</v>
      </c>
      <c r="G559" s="23"/>
      <c r="H559" s="22"/>
      <c r="I559" s="4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5" customHeight="1" thickBot="1">
      <c r="A560" s="12"/>
      <c r="B560" s="108"/>
      <c r="C560" s="106"/>
      <c r="D560" s="100" t="s">
        <v>406</v>
      </c>
      <c r="E560" s="17">
        <v>1270</v>
      </c>
      <c r="F560" s="18">
        <v>795</v>
      </c>
      <c r="G560" s="23"/>
      <c r="H560" s="22"/>
      <c r="I560" s="4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5" customHeight="1" thickBot="1">
      <c r="A561" s="12"/>
      <c r="B561" s="108"/>
      <c r="C561" s="106"/>
      <c r="D561" s="100" t="s">
        <v>407</v>
      </c>
      <c r="E561" s="17">
        <v>1271</v>
      </c>
      <c r="F561" s="18">
        <v>795</v>
      </c>
      <c r="G561" s="23"/>
      <c r="H561" s="22"/>
      <c r="I561" s="4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5" customHeight="1" thickBot="1">
      <c r="A562" s="12"/>
      <c r="B562" s="108"/>
      <c r="C562" s="106"/>
      <c r="D562" s="100" t="s">
        <v>60</v>
      </c>
      <c r="E562" s="17">
        <v>1175</v>
      </c>
      <c r="F562" s="18">
        <v>764</v>
      </c>
      <c r="G562" s="23"/>
      <c r="H562" s="22"/>
      <c r="I562" s="4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5" customHeight="1" thickBot="1">
      <c r="A563" s="12"/>
      <c r="B563" s="108"/>
      <c r="C563" s="106"/>
      <c r="D563" s="100" t="s">
        <v>61</v>
      </c>
      <c r="E563" s="17">
        <v>1176</v>
      </c>
      <c r="F563" s="18">
        <v>764</v>
      </c>
      <c r="G563" s="23"/>
      <c r="H563" s="22"/>
      <c r="I563" s="4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5" customHeight="1" thickBot="1">
      <c r="A564" s="12"/>
      <c r="B564" s="108"/>
      <c r="C564" s="106"/>
      <c r="D564" s="100" t="s">
        <v>340</v>
      </c>
      <c r="E564" s="17">
        <v>1177</v>
      </c>
      <c r="F564" s="18">
        <v>255</v>
      </c>
      <c r="G564" s="23"/>
      <c r="H564" s="22"/>
      <c r="I564" s="4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5" customHeight="1" thickBot="1">
      <c r="A565" s="12"/>
      <c r="B565" s="108"/>
      <c r="C565" s="106"/>
      <c r="D565" s="100" t="s">
        <v>14</v>
      </c>
      <c r="E565" s="17">
        <v>1184</v>
      </c>
      <c r="F565" s="18">
        <v>764</v>
      </c>
      <c r="G565" s="23"/>
      <c r="H565" s="22"/>
      <c r="I565" s="4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5" customHeight="1" thickBot="1">
      <c r="A566" s="12"/>
      <c r="B566" s="108"/>
      <c r="C566" s="106"/>
      <c r="D566" s="100" t="s">
        <v>20</v>
      </c>
      <c r="E566" s="17">
        <v>1183</v>
      </c>
      <c r="F566" s="18">
        <v>720</v>
      </c>
      <c r="G566" s="23"/>
      <c r="H566" s="22"/>
      <c r="I566" s="4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5" customHeight="1" thickBot="1">
      <c r="A567" s="12"/>
      <c r="B567" s="108"/>
      <c r="C567" s="106"/>
      <c r="D567" s="100" t="s">
        <v>29</v>
      </c>
      <c r="E567" s="17">
        <v>1194</v>
      </c>
      <c r="F567" s="18">
        <v>1395</v>
      </c>
      <c r="G567" s="23"/>
      <c r="H567" s="22"/>
      <c r="I567" s="4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5" customHeight="1" thickBot="1">
      <c r="A568" s="12"/>
      <c r="B568" s="108"/>
      <c r="C568" s="106"/>
      <c r="D568" s="100" t="s">
        <v>408</v>
      </c>
      <c r="E568" s="17">
        <v>1269</v>
      </c>
      <c r="F568" s="18">
        <v>191</v>
      </c>
      <c r="G568" s="23"/>
      <c r="H568" s="22"/>
      <c r="I568" s="4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5" customHeight="1" thickBot="1">
      <c r="A569" s="12"/>
      <c r="B569" s="109"/>
      <c r="C569" s="107"/>
      <c r="D569" s="100"/>
      <c r="E569" s="17"/>
      <c r="F569" s="18"/>
      <c r="G569" s="23"/>
      <c r="H569" s="22"/>
      <c r="I569" s="4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30.5" customHeight="1" thickBot="1">
      <c r="A570" s="12"/>
      <c r="B570" s="108" t="s">
        <v>403</v>
      </c>
      <c r="C570" s="106" t="s">
        <v>409</v>
      </c>
      <c r="D570" s="100" t="s">
        <v>18</v>
      </c>
      <c r="E570" s="17">
        <v>1274</v>
      </c>
      <c r="F570" s="18">
        <v>720</v>
      </c>
      <c r="G570" s="23"/>
      <c r="H570" s="22"/>
      <c r="I570" s="4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5" customHeight="1" thickBot="1">
      <c r="A571" s="12"/>
      <c r="B571" s="108"/>
      <c r="C571" s="106"/>
      <c r="D571" s="100" t="s">
        <v>410</v>
      </c>
      <c r="E571" s="17">
        <v>1275</v>
      </c>
      <c r="F571" s="18">
        <v>795</v>
      </c>
      <c r="G571" s="23"/>
      <c r="H571" s="22"/>
      <c r="I571" s="4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5" customHeight="1" thickBot="1">
      <c r="A572" s="12"/>
      <c r="B572" s="109"/>
      <c r="C572" s="107"/>
      <c r="D572" s="100" t="s">
        <v>411</v>
      </c>
      <c r="E572" s="17">
        <v>1276</v>
      </c>
      <c r="F572" s="18">
        <v>795</v>
      </c>
      <c r="G572" s="23"/>
      <c r="H572" s="22"/>
      <c r="I572" s="4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5" customHeight="1" thickBot="1">
      <c r="A573" s="12"/>
      <c r="B573" s="108"/>
      <c r="C573" s="106"/>
      <c r="D573" s="100"/>
      <c r="E573" s="17"/>
      <c r="F573" s="18"/>
      <c r="G573" s="23"/>
      <c r="H573" s="22"/>
      <c r="I573" s="4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5" customHeight="1" thickBot="1">
      <c r="A574" s="12"/>
      <c r="B574" s="108" t="s">
        <v>412</v>
      </c>
      <c r="C574" s="106" t="s">
        <v>413</v>
      </c>
      <c r="D574" s="100" t="s">
        <v>12</v>
      </c>
      <c r="E574" s="17">
        <v>1168</v>
      </c>
      <c r="F574" s="18">
        <v>414</v>
      </c>
      <c r="G574" s="23"/>
      <c r="H574" s="22"/>
      <c r="I574" s="4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5" customHeight="1" thickBot="1">
      <c r="A575" s="12"/>
      <c r="B575" s="109"/>
      <c r="C575" s="107"/>
      <c r="D575" s="100" t="s">
        <v>14</v>
      </c>
      <c r="E575" s="17">
        <v>1211</v>
      </c>
      <c r="F575" s="18">
        <v>573</v>
      </c>
      <c r="G575" s="23"/>
      <c r="H575" s="22"/>
      <c r="I575" s="4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5" customHeight="1" thickBot="1">
      <c r="A576" s="12"/>
      <c r="B576" s="108"/>
      <c r="C576" s="106"/>
      <c r="D576" s="100" t="s">
        <v>29</v>
      </c>
      <c r="E576" s="17">
        <v>1212</v>
      </c>
      <c r="F576" s="18">
        <v>414</v>
      </c>
      <c r="G576" s="23"/>
      <c r="H576" s="22"/>
      <c r="I576" s="4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5" customHeight="1" thickBot="1">
      <c r="A577" s="12"/>
      <c r="B577" s="108"/>
      <c r="C577" s="106"/>
      <c r="D577" s="106"/>
      <c r="E577" s="17"/>
      <c r="F577" s="18"/>
      <c r="G577" s="23"/>
      <c r="H577" s="22"/>
      <c r="I577" s="4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5" customHeight="1" thickBot="1">
      <c r="A578" s="12"/>
      <c r="B578" s="108" t="s">
        <v>412</v>
      </c>
      <c r="C578" s="106" t="s">
        <v>412</v>
      </c>
      <c r="D578" s="100" t="s">
        <v>18</v>
      </c>
      <c r="E578" s="17">
        <v>1133</v>
      </c>
      <c r="F578" s="18">
        <v>720</v>
      </c>
      <c r="G578" s="23"/>
      <c r="H578" s="22"/>
      <c r="I578" s="4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5" customHeight="1" thickBot="1">
      <c r="A579" s="12"/>
      <c r="B579" s="108"/>
      <c r="C579" s="106"/>
      <c r="D579" s="100" t="s">
        <v>103</v>
      </c>
      <c r="E579" s="17" t="s">
        <v>414</v>
      </c>
      <c r="F579" s="18">
        <v>995</v>
      </c>
      <c r="G579" s="23"/>
      <c r="H579" s="22"/>
      <c r="I579" s="4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5" customHeight="1" thickBot="1">
      <c r="A580" s="12"/>
      <c r="B580" s="108"/>
      <c r="C580" s="106"/>
      <c r="D580" s="100" t="s">
        <v>415</v>
      </c>
      <c r="E580" s="17" t="s">
        <v>416</v>
      </c>
      <c r="F580" s="18">
        <v>0</v>
      </c>
      <c r="G580" s="23"/>
      <c r="H580" s="22"/>
      <c r="I580" s="4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5" customHeight="1" thickBot="1">
      <c r="A581" s="12"/>
      <c r="B581" s="108"/>
      <c r="C581" s="106"/>
      <c r="D581" s="100" t="s">
        <v>259</v>
      </c>
      <c r="E581" s="17">
        <v>1134</v>
      </c>
      <c r="F581" s="18">
        <v>255</v>
      </c>
      <c r="G581" s="23"/>
      <c r="H581" s="22"/>
      <c r="I581" s="4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5" customHeight="1" thickBot="1">
      <c r="A582" s="12"/>
      <c r="B582" s="108"/>
      <c r="C582" s="106"/>
      <c r="D582" s="100" t="s">
        <v>20</v>
      </c>
      <c r="E582" s="17">
        <v>1135</v>
      </c>
      <c r="F582" s="18">
        <v>720</v>
      </c>
      <c r="G582" s="23"/>
      <c r="H582" s="22"/>
      <c r="I582" s="4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5" customHeight="1" thickBot="1">
      <c r="A583" s="12"/>
      <c r="B583" s="108"/>
      <c r="C583" s="106"/>
      <c r="D583" s="100" t="s">
        <v>29</v>
      </c>
      <c r="E583" s="17">
        <v>1136</v>
      </c>
      <c r="F583" s="18">
        <v>1295</v>
      </c>
      <c r="G583" s="23"/>
      <c r="H583" s="22"/>
      <c r="I583" s="4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5" customHeight="1" thickBot="1">
      <c r="A584" s="12"/>
      <c r="B584" s="108"/>
      <c r="C584" s="106"/>
      <c r="D584" s="100" t="s">
        <v>14</v>
      </c>
      <c r="E584" s="17">
        <v>1137</v>
      </c>
      <c r="F584" s="18">
        <v>573</v>
      </c>
      <c r="G584" s="23"/>
      <c r="H584" s="22"/>
      <c r="I584" s="4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5" customHeight="1" thickBot="1">
      <c r="A585" s="12"/>
      <c r="B585" s="108"/>
      <c r="C585" s="106"/>
      <c r="D585" s="100" t="s">
        <v>417</v>
      </c>
      <c r="E585" s="17">
        <v>1138</v>
      </c>
      <c r="F585" s="18">
        <v>764</v>
      </c>
      <c r="G585" s="23"/>
      <c r="H585" s="22"/>
      <c r="I585" s="4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30.5" customHeight="1" thickBot="1">
      <c r="A586" s="12"/>
      <c r="B586" s="108"/>
      <c r="C586" s="106"/>
      <c r="D586" s="100" t="s">
        <v>418</v>
      </c>
      <c r="E586" s="17" t="s">
        <v>419</v>
      </c>
      <c r="F586" s="18">
        <v>955</v>
      </c>
      <c r="G586" s="23"/>
      <c r="H586" s="22"/>
      <c r="I586" s="4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5" customHeight="1" thickBot="1">
      <c r="A587" s="12"/>
      <c r="B587" s="109"/>
      <c r="C587" s="107"/>
      <c r="D587" s="100" t="s">
        <v>60</v>
      </c>
      <c r="E587" s="17">
        <v>1145</v>
      </c>
      <c r="F587" s="18">
        <v>1273</v>
      </c>
      <c r="G587" s="23"/>
      <c r="H587" s="22"/>
      <c r="I587" s="4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5" customHeight="1" thickBot="1">
      <c r="A588" s="12"/>
      <c r="B588" s="117"/>
      <c r="C588" s="106"/>
      <c r="D588" s="100" t="s">
        <v>54</v>
      </c>
      <c r="E588" s="17">
        <v>1167</v>
      </c>
      <c r="F588" s="18">
        <v>95</v>
      </c>
      <c r="G588" s="23"/>
      <c r="H588" s="22"/>
      <c r="I588" s="4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27.5" customHeight="1" thickBot="1">
      <c r="A589" s="12"/>
      <c r="B589" s="108"/>
      <c r="C589" s="106"/>
      <c r="D589" s="100" t="s">
        <v>420</v>
      </c>
      <c r="E589" s="17" t="s">
        <v>421</v>
      </c>
      <c r="F589" s="18">
        <v>286</v>
      </c>
      <c r="G589" s="23"/>
      <c r="H589" s="22"/>
      <c r="I589" s="4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5" customHeight="1" thickBot="1">
      <c r="A590" s="12"/>
      <c r="B590" s="108"/>
      <c r="C590" s="106"/>
      <c r="D590" s="100"/>
      <c r="E590" s="17"/>
      <c r="F590" s="18"/>
      <c r="G590" s="23"/>
      <c r="H590" s="22"/>
      <c r="I590" s="4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5" customHeight="1" thickBot="1">
      <c r="A591" s="12"/>
      <c r="B591" s="108" t="s">
        <v>422</v>
      </c>
      <c r="C591" s="106" t="s">
        <v>412</v>
      </c>
      <c r="D591" s="100" t="s">
        <v>18</v>
      </c>
      <c r="E591" s="17">
        <v>1235</v>
      </c>
      <c r="F591" s="18">
        <v>720</v>
      </c>
      <c r="G591" s="23"/>
      <c r="H591" s="22"/>
      <c r="I591" s="4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5" customHeight="1" thickBot="1">
      <c r="A592" s="12"/>
      <c r="B592" s="108" t="s">
        <v>423</v>
      </c>
      <c r="C592" s="106"/>
      <c r="D592" s="100" t="s">
        <v>103</v>
      </c>
      <c r="E592" s="17" t="s">
        <v>414</v>
      </c>
      <c r="F592" s="18">
        <v>995</v>
      </c>
      <c r="G592" s="23"/>
      <c r="H592" s="22"/>
      <c r="I592" s="4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5" customHeight="1" thickBot="1">
      <c r="A593" s="12"/>
      <c r="B593" s="108"/>
      <c r="C593" s="106"/>
      <c r="D593" s="100" t="s">
        <v>424</v>
      </c>
      <c r="E593" s="17" t="s">
        <v>416</v>
      </c>
      <c r="F593" s="18">
        <v>0</v>
      </c>
      <c r="G593" s="23"/>
      <c r="H593" s="22"/>
      <c r="I593" s="4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5" customHeight="1" thickBot="1">
      <c r="A594" s="12"/>
      <c r="B594" s="108"/>
      <c r="C594" s="106"/>
      <c r="D594" s="100" t="s">
        <v>259</v>
      </c>
      <c r="E594" s="17">
        <v>1134</v>
      </c>
      <c r="F594" s="18">
        <v>255</v>
      </c>
      <c r="G594" s="23"/>
      <c r="H594" s="22"/>
      <c r="I594" s="4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5" customHeight="1" thickBot="1">
      <c r="A595" s="12"/>
      <c r="B595" s="108"/>
      <c r="C595" s="106"/>
      <c r="D595" s="100" t="s">
        <v>20</v>
      </c>
      <c r="E595" s="17">
        <v>1236</v>
      </c>
      <c r="F595" s="18">
        <v>720</v>
      </c>
      <c r="G595" s="23"/>
      <c r="H595" s="22"/>
      <c r="I595" s="4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5" customHeight="1" thickBot="1">
      <c r="A596" s="12"/>
      <c r="B596" s="108"/>
      <c r="C596" s="106"/>
      <c r="D596" s="100" t="s">
        <v>29</v>
      </c>
      <c r="E596" s="17">
        <v>1136</v>
      </c>
      <c r="F596" s="18">
        <v>1295</v>
      </c>
      <c r="G596" s="23"/>
      <c r="H596" s="22"/>
      <c r="I596" s="4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5" customHeight="1" thickBot="1">
      <c r="A597" s="12"/>
      <c r="B597" s="109"/>
      <c r="C597" s="107"/>
      <c r="D597" s="100" t="s">
        <v>14</v>
      </c>
      <c r="E597" s="17">
        <v>1237</v>
      </c>
      <c r="F597" s="18">
        <v>573</v>
      </c>
      <c r="G597" s="23"/>
      <c r="H597" s="22"/>
      <c r="I597" s="4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5" customHeight="1" thickBot="1">
      <c r="A598" s="12"/>
      <c r="B598" s="117"/>
      <c r="C598" s="106"/>
      <c r="D598" s="100" t="s">
        <v>22</v>
      </c>
      <c r="E598" s="17">
        <v>1138</v>
      </c>
      <c r="F598" s="18">
        <v>764</v>
      </c>
      <c r="G598" s="23"/>
      <c r="H598" s="22"/>
      <c r="I598" s="4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5" customHeight="1" thickBot="1">
      <c r="A599" s="12"/>
      <c r="B599" s="108"/>
      <c r="C599" s="106"/>
      <c r="D599" s="100" t="s">
        <v>54</v>
      </c>
      <c r="E599" s="17">
        <v>1167</v>
      </c>
      <c r="F599" s="18">
        <v>95</v>
      </c>
      <c r="G599" s="23"/>
      <c r="H599" s="22"/>
      <c r="I599" s="4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27.5" customHeight="1" thickBot="1">
      <c r="A600" s="12"/>
      <c r="B600" s="108"/>
      <c r="C600" s="106"/>
      <c r="D600" s="100" t="s">
        <v>420</v>
      </c>
      <c r="E600" s="17" t="s">
        <v>421</v>
      </c>
      <c r="F600" s="18">
        <v>286</v>
      </c>
      <c r="G600" s="23"/>
      <c r="H600" s="22"/>
      <c r="I600" s="4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5" customHeight="1" thickBot="1">
      <c r="A601" s="12"/>
      <c r="B601" s="108"/>
      <c r="C601" s="106"/>
      <c r="D601" s="100"/>
      <c r="E601" s="17"/>
      <c r="F601" s="18"/>
      <c r="G601" s="23"/>
      <c r="H601" s="22"/>
      <c r="I601" s="4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5" customHeight="1" thickBot="1">
      <c r="A602" s="12"/>
      <c r="B602" s="108" t="s">
        <v>422</v>
      </c>
      <c r="C602" s="106" t="s">
        <v>412</v>
      </c>
      <c r="D602" s="100" t="s">
        <v>18</v>
      </c>
      <c r="E602" s="17">
        <v>1133</v>
      </c>
      <c r="F602" s="18">
        <v>720</v>
      </c>
      <c r="G602" s="23"/>
      <c r="H602" s="22"/>
      <c r="I602" s="4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5" customHeight="1" thickBot="1">
      <c r="A603" s="12"/>
      <c r="B603" s="108" t="s">
        <v>425</v>
      </c>
      <c r="C603" s="106"/>
      <c r="D603" s="100" t="s">
        <v>103</v>
      </c>
      <c r="E603" s="17" t="s">
        <v>414</v>
      </c>
      <c r="F603" s="18">
        <v>995</v>
      </c>
      <c r="G603" s="23"/>
      <c r="H603" s="22"/>
      <c r="I603" s="4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5" customHeight="1" thickBot="1">
      <c r="A604" s="12"/>
      <c r="B604" s="108"/>
      <c r="C604" s="106"/>
      <c r="D604" s="100" t="s">
        <v>424</v>
      </c>
      <c r="E604" s="17" t="s">
        <v>416</v>
      </c>
      <c r="F604" s="18">
        <v>0</v>
      </c>
      <c r="G604" s="23"/>
      <c r="H604" s="22"/>
      <c r="I604" s="4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5" customHeight="1" thickBot="1">
      <c r="A605" s="12"/>
      <c r="B605" s="108"/>
      <c r="C605" s="106"/>
      <c r="D605" s="100" t="s">
        <v>259</v>
      </c>
      <c r="E605" s="17">
        <v>1134</v>
      </c>
      <c r="F605" s="18">
        <v>255</v>
      </c>
      <c r="G605" s="23"/>
      <c r="H605" s="22"/>
      <c r="I605" s="4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5" customHeight="1" thickBot="1">
      <c r="A606" s="12"/>
      <c r="B606" s="108"/>
      <c r="C606" s="106"/>
      <c r="D606" s="100" t="s">
        <v>20</v>
      </c>
      <c r="E606" s="17">
        <v>1135</v>
      </c>
      <c r="F606" s="18">
        <v>720</v>
      </c>
      <c r="G606" s="23"/>
      <c r="H606" s="22"/>
      <c r="I606" s="4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5" customHeight="1" thickBot="1">
      <c r="A607" s="12"/>
      <c r="B607" s="108"/>
      <c r="C607" s="106"/>
      <c r="D607" s="100" t="s">
        <v>29</v>
      </c>
      <c r="E607" s="17">
        <v>1136</v>
      </c>
      <c r="F607" s="18">
        <v>1295</v>
      </c>
      <c r="G607" s="23"/>
      <c r="H607" s="22"/>
      <c r="I607" s="4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5" customHeight="1" thickBot="1">
      <c r="A608" s="12"/>
      <c r="B608" s="108"/>
      <c r="C608" s="106"/>
      <c r="D608" s="100" t="s">
        <v>14</v>
      </c>
      <c r="E608" s="17">
        <v>1232</v>
      </c>
      <c r="F608" s="18">
        <v>573</v>
      </c>
      <c r="G608" s="23"/>
      <c r="H608" s="22"/>
      <c r="I608" s="4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5" customHeight="1" thickBot="1">
      <c r="A609" s="12"/>
      <c r="B609" s="108"/>
      <c r="C609" s="106"/>
      <c r="D609" s="100" t="s">
        <v>22</v>
      </c>
      <c r="E609" s="17">
        <v>1138</v>
      </c>
      <c r="F609" s="18">
        <v>764</v>
      </c>
      <c r="G609" s="23"/>
      <c r="H609" s="22"/>
      <c r="I609" s="4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5" customHeight="1" thickBot="1">
      <c r="A610" s="12"/>
      <c r="B610" s="109"/>
      <c r="C610" s="107"/>
      <c r="D610" s="100" t="s">
        <v>60</v>
      </c>
      <c r="E610" s="17">
        <v>1145</v>
      </c>
      <c r="F610" s="18">
        <v>1273</v>
      </c>
      <c r="G610" s="23"/>
      <c r="H610" s="22"/>
      <c r="I610" s="4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5" customHeight="1" thickBot="1">
      <c r="A611" s="12"/>
      <c r="B611" s="109"/>
      <c r="C611" s="107"/>
      <c r="D611" s="100" t="s">
        <v>61</v>
      </c>
      <c r="E611" s="17">
        <v>1234</v>
      </c>
      <c r="F611" s="18">
        <v>509</v>
      </c>
      <c r="G611" s="23"/>
      <c r="H611" s="22"/>
      <c r="I611" s="4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5" customHeight="1" thickBot="1">
      <c r="A612" s="12"/>
      <c r="B612" s="109"/>
      <c r="C612" s="107"/>
      <c r="D612" s="100" t="s">
        <v>398</v>
      </c>
      <c r="E612" s="17">
        <v>1233</v>
      </c>
      <c r="F612" s="18">
        <v>955</v>
      </c>
      <c r="G612" s="23"/>
      <c r="H612" s="22"/>
      <c r="I612" s="4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5" customHeight="1" thickBot="1">
      <c r="A613" s="12"/>
      <c r="B613" s="109"/>
      <c r="C613" s="107"/>
      <c r="D613" s="100" t="s">
        <v>54</v>
      </c>
      <c r="E613" s="17">
        <v>1167</v>
      </c>
      <c r="F613" s="18">
        <v>95</v>
      </c>
      <c r="G613" s="23"/>
      <c r="H613" s="22"/>
      <c r="I613" s="4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27.5" customHeight="1" thickBot="1">
      <c r="A614" s="12"/>
      <c r="B614" s="109"/>
      <c r="C614" s="107"/>
      <c r="D614" s="100" t="s">
        <v>420</v>
      </c>
      <c r="E614" s="17" t="s">
        <v>421</v>
      </c>
      <c r="F614" s="18">
        <v>286</v>
      </c>
      <c r="G614" s="23"/>
      <c r="H614" s="22"/>
      <c r="I614" s="4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5" customHeight="1" thickBot="1">
      <c r="A615" s="12"/>
      <c r="B615" s="109"/>
      <c r="C615" s="107"/>
      <c r="D615" s="100"/>
      <c r="E615" s="17"/>
      <c r="F615" s="18"/>
      <c r="G615" s="23"/>
      <c r="H615" s="22"/>
      <c r="I615" s="4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5" customHeight="1" thickBot="1">
      <c r="A616" s="12"/>
      <c r="B616" s="108" t="s">
        <v>422</v>
      </c>
      <c r="C616" s="106" t="s">
        <v>386</v>
      </c>
      <c r="D616" s="100" t="s">
        <v>14</v>
      </c>
      <c r="E616" s="17">
        <v>1235</v>
      </c>
      <c r="F616" s="18">
        <v>573</v>
      </c>
      <c r="G616" s="23"/>
      <c r="H616" s="22"/>
      <c r="I616" s="4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5" customHeight="1" thickBot="1">
      <c r="A617" s="12"/>
      <c r="B617" s="109" t="s">
        <v>412</v>
      </c>
      <c r="C617" s="107" t="s">
        <v>426</v>
      </c>
      <c r="D617" s="100" t="s">
        <v>427</v>
      </c>
      <c r="E617" s="17">
        <v>1139</v>
      </c>
      <c r="F617" s="18">
        <v>573</v>
      </c>
      <c r="G617" s="23"/>
      <c r="H617" s="22"/>
      <c r="I617" s="4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35.5" customHeight="1" thickBot="1">
      <c r="A618" s="12"/>
      <c r="B618" s="108" t="s">
        <v>412</v>
      </c>
      <c r="C618" s="106" t="s">
        <v>428</v>
      </c>
      <c r="D618" s="100" t="s">
        <v>103</v>
      </c>
      <c r="E618" s="17">
        <v>1140</v>
      </c>
      <c r="F618" s="18">
        <v>995</v>
      </c>
      <c r="G618" s="23"/>
      <c r="H618" s="22"/>
      <c r="I618" s="4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5" customHeight="1" thickBot="1">
      <c r="A619" s="12"/>
      <c r="B619" s="108" t="s">
        <v>412</v>
      </c>
      <c r="C619" s="107" t="s">
        <v>428</v>
      </c>
      <c r="D619" s="100" t="s">
        <v>29</v>
      </c>
      <c r="E619" s="17">
        <v>1141</v>
      </c>
      <c r="F619" s="18">
        <v>1395</v>
      </c>
      <c r="G619" s="23"/>
      <c r="H619" s="22"/>
      <c r="I619" s="4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5" customHeight="1" thickBot="1">
      <c r="A620" s="12"/>
      <c r="B620" s="108" t="s">
        <v>412</v>
      </c>
      <c r="C620" s="107" t="s">
        <v>429</v>
      </c>
      <c r="D620" s="100" t="s">
        <v>124</v>
      </c>
      <c r="E620" s="17">
        <v>1148</v>
      </c>
      <c r="F620" s="18">
        <v>509</v>
      </c>
      <c r="G620" s="23"/>
      <c r="H620" s="22"/>
      <c r="I620" s="4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5" customHeight="1" thickBot="1">
      <c r="A621" s="12"/>
      <c r="B621" s="109" t="s">
        <v>412</v>
      </c>
      <c r="C621" s="107" t="s">
        <v>430</v>
      </c>
      <c r="D621" s="100" t="s">
        <v>12</v>
      </c>
      <c r="E621" s="17">
        <v>1161</v>
      </c>
      <c r="F621" s="18">
        <v>995</v>
      </c>
      <c r="G621" s="23"/>
      <c r="H621" s="22"/>
      <c r="I621" s="4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5" customHeight="1" thickBot="1">
      <c r="A622" s="12"/>
      <c r="B622" s="108"/>
      <c r="C622" s="107"/>
      <c r="D622" s="100" t="s">
        <v>402</v>
      </c>
      <c r="E622" s="17">
        <v>1162</v>
      </c>
      <c r="F622" s="18">
        <v>255</v>
      </c>
      <c r="G622" s="23"/>
      <c r="H622" s="22"/>
      <c r="I622" s="4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5" customHeight="1" thickBot="1">
      <c r="A623" s="12"/>
      <c r="B623" s="108" t="s">
        <v>431</v>
      </c>
      <c r="C623" s="106" t="s">
        <v>432</v>
      </c>
      <c r="D623" s="100" t="s">
        <v>18</v>
      </c>
      <c r="E623" s="17">
        <v>1395</v>
      </c>
      <c r="F623" s="18">
        <v>720</v>
      </c>
      <c r="G623" s="23"/>
      <c r="H623" s="22"/>
      <c r="I623" s="4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5" customHeight="1" thickBot="1">
      <c r="A624" s="12"/>
      <c r="B624" s="108"/>
      <c r="C624" s="106"/>
      <c r="D624" s="100" t="s">
        <v>22</v>
      </c>
      <c r="E624" s="17">
        <v>1364</v>
      </c>
      <c r="F624" s="18">
        <v>445</v>
      </c>
      <c r="G624" s="23"/>
      <c r="H624" s="22"/>
      <c r="I624" s="4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5" customHeight="1" thickBot="1">
      <c r="A625" s="12"/>
      <c r="B625" s="109"/>
      <c r="C625" s="107" t="s">
        <v>433</v>
      </c>
      <c r="D625" s="100" t="s">
        <v>14</v>
      </c>
      <c r="E625" s="17">
        <v>1366</v>
      </c>
      <c r="F625" s="18">
        <v>573</v>
      </c>
      <c r="G625" s="23"/>
      <c r="H625" s="22"/>
      <c r="I625" s="4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5" customHeight="1" thickBot="1">
      <c r="A626" s="12"/>
      <c r="B626" s="108"/>
      <c r="C626" s="106" t="s">
        <v>433</v>
      </c>
      <c r="D626" s="100" t="s">
        <v>20</v>
      </c>
      <c r="E626" s="17">
        <v>1419</v>
      </c>
      <c r="F626" s="18">
        <v>720</v>
      </c>
      <c r="G626" s="23"/>
      <c r="H626" s="22"/>
      <c r="I626" s="4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5" customHeight="1" thickBot="1">
      <c r="A627" s="12"/>
      <c r="B627" s="108" t="s">
        <v>434</v>
      </c>
      <c r="C627" s="106" t="s">
        <v>68</v>
      </c>
      <c r="D627" s="100" t="s">
        <v>82</v>
      </c>
      <c r="E627" s="17">
        <v>570</v>
      </c>
      <c r="F627" s="18">
        <v>414</v>
      </c>
      <c r="G627" s="23"/>
      <c r="H627" s="22"/>
      <c r="I627" s="4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5" customHeight="1" thickBot="1">
      <c r="A628" s="12"/>
      <c r="B628" s="108"/>
      <c r="C628" s="107" t="s">
        <v>433</v>
      </c>
      <c r="D628" s="100" t="s">
        <v>18</v>
      </c>
      <c r="E628" s="17">
        <v>980</v>
      </c>
      <c r="F628" s="18">
        <v>720</v>
      </c>
      <c r="G628" s="23"/>
      <c r="H628" s="22"/>
      <c r="I628" s="4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5" customHeight="1" thickBot="1">
      <c r="A629" s="12"/>
      <c r="B629" s="108"/>
      <c r="C629" s="106"/>
      <c r="D629" s="100" t="s">
        <v>20</v>
      </c>
      <c r="E629" s="17">
        <v>981</v>
      </c>
      <c r="F629" s="18">
        <v>720</v>
      </c>
      <c r="G629" s="23"/>
      <c r="H629" s="22"/>
      <c r="I629" s="4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5" customHeight="1" thickBot="1">
      <c r="A630" s="12"/>
      <c r="B630" s="109"/>
      <c r="C630" s="107"/>
      <c r="D630" s="100" t="s">
        <v>14</v>
      </c>
      <c r="E630" s="17">
        <v>982</v>
      </c>
      <c r="F630" s="18">
        <v>573</v>
      </c>
      <c r="G630" s="23"/>
      <c r="H630" s="22"/>
      <c r="I630" s="4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5" customHeight="1" thickBot="1">
      <c r="A631" s="12"/>
      <c r="B631" s="108" t="s">
        <v>435</v>
      </c>
      <c r="C631" s="106" t="s">
        <v>229</v>
      </c>
      <c r="D631" s="100" t="s">
        <v>18</v>
      </c>
      <c r="E631" s="17">
        <v>1163</v>
      </c>
      <c r="F631" s="18">
        <v>720</v>
      </c>
      <c r="G631" s="23"/>
      <c r="H631" s="22"/>
      <c r="I631" s="4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5" customHeight="1" thickBot="1">
      <c r="A632" s="12"/>
      <c r="B632" s="108"/>
      <c r="C632" s="106"/>
      <c r="D632" s="100" t="s">
        <v>20</v>
      </c>
      <c r="E632" s="17">
        <v>1164</v>
      </c>
      <c r="F632" s="18">
        <v>720</v>
      </c>
      <c r="G632" s="23"/>
      <c r="H632" s="22"/>
      <c r="I632" s="4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5" customHeight="1" thickBot="1">
      <c r="A633" s="12"/>
      <c r="B633" s="108"/>
      <c r="C633" s="106"/>
      <c r="D633" s="100" t="s">
        <v>14</v>
      </c>
      <c r="E633" s="17">
        <v>1165</v>
      </c>
      <c r="F633" s="18">
        <v>573</v>
      </c>
      <c r="G633" s="23"/>
      <c r="H633" s="22"/>
      <c r="I633" s="4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5" customHeight="1" thickBot="1">
      <c r="A634" s="12"/>
      <c r="B634" s="108"/>
      <c r="C634" s="106" t="s">
        <v>436</v>
      </c>
      <c r="D634" s="100" t="s">
        <v>60</v>
      </c>
      <c r="E634" s="17">
        <v>1365</v>
      </c>
      <c r="F634" s="18">
        <v>955</v>
      </c>
      <c r="G634" s="23"/>
      <c r="H634" s="22"/>
      <c r="I634" s="4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5" customHeight="1" thickBot="1">
      <c r="A635" s="12"/>
      <c r="B635" s="108"/>
      <c r="C635" s="107"/>
      <c r="D635" s="100" t="s">
        <v>437</v>
      </c>
      <c r="E635" s="17">
        <v>1430</v>
      </c>
      <c r="F635" s="18">
        <v>955</v>
      </c>
      <c r="G635" s="23"/>
      <c r="H635" s="22"/>
      <c r="I635" s="4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5" customHeight="1" thickBot="1">
      <c r="A636" s="12"/>
      <c r="B636" s="108" t="s">
        <v>438</v>
      </c>
      <c r="C636" s="106" t="s">
        <v>68</v>
      </c>
      <c r="D636" s="100" t="s">
        <v>12</v>
      </c>
      <c r="E636" s="17">
        <v>571</v>
      </c>
      <c r="F636" s="18">
        <v>414</v>
      </c>
      <c r="G636" s="23"/>
      <c r="H636" s="22"/>
      <c r="I636" s="4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5" customHeight="1" thickBot="1">
      <c r="A637" s="12"/>
      <c r="B637" s="108"/>
      <c r="C637" s="106"/>
      <c r="D637" s="100" t="s">
        <v>103</v>
      </c>
      <c r="E637" s="17">
        <v>572</v>
      </c>
      <c r="F637" s="18">
        <v>995</v>
      </c>
      <c r="G637" s="23"/>
      <c r="H637" s="22"/>
      <c r="I637" s="4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5" customHeight="1" thickBot="1">
      <c r="A638" s="12"/>
      <c r="B638" s="108"/>
      <c r="C638" s="106"/>
      <c r="D638" s="100" t="s">
        <v>82</v>
      </c>
      <c r="E638" s="17">
        <v>573</v>
      </c>
      <c r="F638" s="18">
        <v>445</v>
      </c>
      <c r="G638" s="23"/>
      <c r="H638" s="22"/>
      <c r="I638" s="4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5" customHeight="1" thickBot="1">
      <c r="A639" s="12"/>
      <c r="B639" s="108"/>
      <c r="C639" s="106"/>
      <c r="D639" s="100" t="s">
        <v>439</v>
      </c>
      <c r="E639" s="17">
        <v>574</v>
      </c>
      <c r="F639" s="18">
        <v>573</v>
      </c>
      <c r="G639" s="23"/>
      <c r="H639" s="22"/>
      <c r="I639" s="4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5" customHeight="1" thickBot="1">
      <c r="A640" s="12"/>
      <c r="B640" s="108"/>
      <c r="C640" s="106"/>
      <c r="D640" s="100" t="s">
        <v>440</v>
      </c>
      <c r="E640" s="17" t="s">
        <v>441</v>
      </c>
      <c r="F640" s="18">
        <v>382</v>
      </c>
      <c r="G640" s="23"/>
      <c r="H640" s="22"/>
      <c r="I640" s="4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5" customHeight="1" thickBot="1">
      <c r="A641" s="12"/>
      <c r="B641" s="108"/>
      <c r="C641" s="107" t="s">
        <v>442</v>
      </c>
      <c r="D641" s="100" t="s">
        <v>18</v>
      </c>
      <c r="E641" s="17">
        <v>709</v>
      </c>
      <c r="F641" s="18">
        <v>720</v>
      </c>
      <c r="G641" s="23"/>
      <c r="H641" s="22"/>
      <c r="I641" s="4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5" customHeight="1" thickBot="1">
      <c r="A642" s="12"/>
      <c r="B642" s="108"/>
      <c r="C642" s="106"/>
      <c r="D642" s="100" t="s">
        <v>20</v>
      </c>
      <c r="E642" s="17">
        <v>710</v>
      </c>
      <c r="F642" s="18">
        <v>720</v>
      </c>
      <c r="G642" s="23"/>
      <c r="H642" s="22"/>
      <c r="I642" s="4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5" customHeight="1" thickBot="1">
      <c r="A643" s="12"/>
      <c r="B643" s="108"/>
      <c r="C643" s="106"/>
      <c r="D643" s="100" t="s">
        <v>14</v>
      </c>
      <c r="E643" s="17">
        <v>711</v>
      </c>
      <c r="F643" s="18">
        <v>573</v>
      </c>
      <c r="G643" s="23"/>
      <c r="H643" s="22"/>
      <c r="I643" s="4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5" customHeight="1" thickBot="1">
      <c r="A644" s="12"/>
      <c r="B644" s="108"/>
      <c r="C644" s="106"/>
      <c r="D644" s="100" t="s">
        <v>29</v>
      </c>
      <c r="E644" s="17">
        <v>712</v>
      </c>
      <c r="F644" s="18">
        <v>1295</v>
      </c>
      <c r="G644" s="23"/>
      <c r="H644" s="22"/>
      <c r="I644" s="4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5" customHeight="1" thickBot="1">
      <c r="A645" s="12"/>
      <c r="B645" s="108"/>
      <c r="C645" s="106"/>
      <c r="D645" s="100" t="s">
        <v>60</v>
      </c>
      <c r="E645" s="17">
        <v>713</v>
      </c>
      <c r="F645" s="18">
        <v>955</v>
      </c>
      <c r="G645" s="23"/>
      <c r="H645" s="22"/>
      <c r="I645" s="4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5" customHeight="1" thickBot="1">
      <c r="A646" s="12"/>
      <c r="B646" s="108"/>
      <c r="C646" s="106"/>
      <c r="D646" s="100" t="s">
        <v>61</v>
      </c>
      <c r="E646" s="17">
        <v>714</v>
      </c>
      <c r="F646" s="18">
        <v>636</v>
      </c>
      <c r="G646" s="23"/>
      <c r="H646" s="22"/>
      <c r="I646" s="4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5" customHeight="1" thickBot="1">
      <c r="A647" s="12"/>
      <c r="B647" s="108"/>
      <c r="C647" s="106" t="s">
        <v>443</v>
      </c>
      <c r="D647" s="100" t="s">
        <v>18</v>
      </c>
      <c r="E647" s="17">
        <v>871</v>
      </c>
      <c r="F647" s="18">
        <v>764</v>
      </c>
      <c r="G647" s="23"/>
      <c r="H647" s="22"/>
      <c r="I647" s="4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5" customHeight="1" thickBot="1">
      <c r="A648" s="12"/>
      <c r="B648" s="108"/>
      <c r="C648" s="106"/>
      <c r="D648" s="100" t="s">
        <v>444</v>
      </c>
      <c r="E648" s="17">
        <v>872</v>
      </c>
      <c r="F648" s="18">
        <v>995</v>
      </c>
      <c r="G648" s="23"/>
      <c r="H648" s="22"/>
      <c r="I648" s="4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5" customHeight="1" thickBot="1">
      <c r="A649" s="12"/>
      <c r="B649" s="108"/>
      <c r="C649" s="106"/>
      <c r="D649" s="100" t="s">
        <v>20</v>
      </c>
      <c r="E649" s="17">
        <v>873</v>
      </c>
      <c r="F649" s="18">
        <v>764</v>
      </c>
      <c r="G649" s="23"/>
      <c r="H649" s="22"/>
      <c r="I649" s="4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5" customHeight="1" thickBot="1">
      <c r="A650" s="12"/>
      <c r="B650" s="108"/>
      <c r="C650" s="106"/>
      <c r="D650" s="100" t="s">
        <v>14</v>
      </c>
      <c r="E650" s="17">
        <v>874</v>
      </c>
      <c r="F650" s="18">
        <v>955</v>
      </c>
      <c r="G650" s="23"/>
      <c r="H650" s="22"/>
      <c r="I650" s="4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5" customHeight="1" thickBot="1">
      <c r="A651" s="12"/>
      <c r="B651" s="108"/>
      <c r="C651" s="106"/>
      <c r="D651" s="100" t="s">
        <v>445</v>
      </c>
      <c r="E651" s="17">
        <v>875</v>
      </c>
      <c r="F651" s="18">
        <v>1591</v>
      </c>
      <c r="G651" s="23"/>
      <c r="H651" s="22"/>
      <c r="I651" s="4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5" customHeight="1" thickBot="1">
      <c r="A652" s="12"/>
      <c r="B652" s="108"/>
      <c r="C652" s="106"/>
      <c r="D652" s="100" t="s">
        <v>60</v>
      </c>
      <c r="E652" s="17">
        <v>876</v>
      </c>
      <c r="F652" s="18">
        <v>955</v>
      </c>
      <c r="G652" s="23"/>
      <c r="H652" s="22"/>
      <c r="I652" s="4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20.25" customHeight="1" thickBot="1">
      <c r="A653" s="12"/>
      <c r="B653" s="108"/>
      <c r="C653" s="106"/>
      <c r="D653" s="100" t="s">
        <v>61</v>
      </c>
      <c r="E653" s="17">
        <v>877</v>
      </c>
      <c r="F653" s="18">
        <v>1591</v>
      </c>
      <c r="G653" s="23"/>
      <c r="H653" s="22"/>
      <c r="I653" s="4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" customHeight="1" thickBot="1">
      <c r="A654" s="155" t="s">
        <v>446</v>
      </c>
      <c r="B654" s="134"/>
      <c r="C654" s="134"/>
      <c r="D654" s="134"/>
      <c r="E654" s="135"/>
      <c r="F654" s="135"/>
      <c r="G654" s="135"/>
      <c r="H654" s="4"/>
      <c r="I654" s="4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5" customHeight="1" thickBot="1">
      <c r="A655" s="12"/>
      <c r="B655" s="109" t="s">
        <v>447</v>
      </c>
      <c r="C655" s="107" t="s">
        <v>68</v>
      </c>
      <c r="D655" s="100" t="s">
        <v>18</v>
      </c>
      <c r="E655" s="17">
        <v>405</v>
      </c>
      <c r="F655" s="18">
        <v>720</v>
      </c>
      <c r="G655" s="23"/>
      <c r="H655" s="22"/>
      <c r="I655" s="4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5" customHeight="1" thickBot="1">
      <c r="A656" s="12"/>
      <c r="B656" s="108"/>
      <c r="C656" s="107" t="s">
        <v>89</v>
      </c>
      <c r="D656" s="100" t="s">
        <v>20</v>
      </c>
      <c r="E656" s="17">
        <v>406</v>
      </c>
      <c r="F656" s="18">
        <v>720</v>
      </c>
      <c r="G656" s="23"/>
      <c r="H656" s="22"/>
      <c r="I656" s="4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5" customHeight="1" thickBot="1">
      <c r="A657" s="12"/>
      <c r="B657" s="108"/>
      <c r="C657" s="106"/>
      <c r="D657" s="100" t="s">
        <v>14</v>
      </c>
      <c r="E657" s="17">
        <v>407</v>
      </c>
      <c r="F657" s="18">
        <v>445</v>
      </c>
      <c r="G657" s="23"/>
      <c r="H657" s="22"/>
      <c r="I657" s="4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5" customHeight="1" thickBot="1">
      <c r="A658" s="12"/>
      <c r="B658" s="108"/>
      <c r="C658" s="107" t="s">
        <v>448</v>
      </c>
      <c r="D658" s="100" t="s">
        <v>60</v>
      </c>
      <c r="E658" s="17">
        <v>973</v>
      </c>
      <c r="F658" s="18">
        <v>955</v>
      </c>
      <c r="G658" s="23"/>
      <c r="H658" s="22"/>
      <c r="I658" s="4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5" customHeight="1" thickBot="1">
      <c r="A659" s="12"/>
      <c r="B659" s="108"/>
      <c r="C659" s="106"/>
      <c r="D659" s="100" t="s">
        <v>61</v>
      </c>
      <c r="E659" s="17">
        <v>974</v>
      </c>
      <c r="F659" s="18">
        <v>636</v>
      </c>
      <c r="G659" s="23"/>
      <c r="H659" s="22"/>
      <c r="I659" s="4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5" customHeight="1" thickBot="1">
      <c r="A660" s="12"/>
      <c r="B660" s="108"/>
      <c r="C660" s="106"/>
      <c r="D660" s="100" t="s">
        <v>61</v>
      </c>
      <c r="E660" s="17">
        <v>975</v>
      </c>
      <c r="F660" s="18">
        <v>318</v>
      </c>
      <c r="G660" s="23"/>
      <c r="H660" s="22"/>
      <c r="I660" s="4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5" customHeight="1" thickBot="1">
      <c r="A661" s="12"/>
      <c r="B661" s="109" t="s">
        <v>447</v>
      </c>
      <c r="C661" s="107" t="s">
        <v>448</v>
      </c>
      <c r="D661" s="100" t="s">
        <v>60</v>
      </c>
      <c r="E661" s="17">
        <v>1069</v>
      </c>
      <c r="F661" s="18">
        <v>955</v>
      </c>
      <c r="G661" s="23"/>
      <c r="H661" s="22"/>
      <c r="I661" s="4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5" customHeight="1" thickBot="1">
      <c r="A662" s="12"/>
      <c r="B662" s="109" t="s">
        <v>449</v>
      </c>
      <c r="C662" s="106"/>
      <c r="D662" s="100" t="s">
        <v>18</v>
      </c>
      <c r="E662" s="17">
        <v>1066</v>
      </c>
      <c r="F662" s="18">
        <v>720</v>
      </c>
      <c r="G662" s="23"/>
      <c r="H662" s="22"/>
      <c r="I662" s="4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5" customHeight="1" thickBot="1">
      <c r="A663" s="12"/>
      <c r="B663" s="108"/>
      <c r="C663" s="106"/>
      <c r="D663" s="100" t="s">
        <v>20</v>
      </c>
      <c r="E663" s="17">
        <v>1067</v>
      </c>
      <c r="F663" s="18">
        <v>720</v>
      </c>
      <c r="G663" s="23"/>
      <c r="H663" s="22"/>
      <c r="I663" s="4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5" customHeight="1" thickBot="1">
      <c r="A664" s="12"/>
      <c r="B664" s="108"/>
      <c r="C664" s="106"/>
      <c r="D664" s="100" t="s">
        <v>14</v>
      </c>
      <c r="E664" s="17">
        <v>1068</v>
      </c>
      <c r="F664" s="18">
        <v>318</v>
      </c>
      <c r="G664" s="23"/>
      <c r="H664" s="22"/>
      <c r="I664" s="4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5" customHeight="1" thickBot="1">
      <c r="A665" s="12"/>
      <c r="B665" s="109" t="s">
        <v>450</v>
      </c>
      <c r="C665" s="107" t="s">
        <v>451</v>
      </c>
      <c r="D665" s="100" t="s">
        <v>12</v>
      </c>
      <c r="E665" s="17">
        <v>1736</v>
      </c>
      <c r="F665" s="18">
        <v>509</v>
      </c>
      <c r="G665" s="23"/>
      <c r="H665" s="22"/>
      <c r="I665" s="4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5" customHeight="1" thickBot="1">
      <c r="A666" s="12"/>
      <c r="B666" s="108"/>
      <c r="C666" s="106"/>
      <c r="D666" s="100" t="s">
        <v>82</v>
      </c>
      <c r="E666" s="17">
        <v>1737</v>
      </c>
      <c r="F666" s="18">
        <v>509</v>
      </c>
      <c r="G666" s="23"/>
      <c r="H666" s="22"/>
      <c r="I666" s="4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5" customHeight="1" thickBot="1">
      <c r="A667" s="12"/>
      <c r="B667" s="108"/>
      <c r="C667" s="106"/>
      <c r="D667" s="100" t="s">
        <v>259</v>
      </c>
      <c r="E667" s="17">
        <v>1738</v>
      </c>
      <c r="F667" s="18">
        <v>605</v>
      </c>
      <c r="G667" s="23"/>
      <c r="H667" s="22"/>
      <c r="I667" s="4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5" customHeight="1" thickBot="1">
      <c r="A668" s="12"/>
      <c r="B668" s="108"/>
      <c r="C668" s="107" t="s">
        <v>452</v>
      </c>
      <c r="D668" s="100" t="s">
        <v>22</v>
      </c>
      <c r="E668" s="17">
        <v>1739</v>
      </c>
      <c r="F668" s="18">
        <v>955</v>
      </c>
      <c r="G668" s="23"/>
      <c r="H668" s="22"/>
      <c r="I668" s="4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5" customHeight="1" thickBot="1">
      <c r="A669" s="12"/>
      <c r="B669" s="108"/>
      <c r="C669" s="107" t="s">
        <v>453</v>
      </c>
      <c r="D669" s="100" t="s">
        <v>454</v>
      </c>
      <c r="E669" s="17">
        <v>1744</v>
      </c>
      <c r="F669" s="18">
        <v>636</v>
      </c>
      <c r="G669" s="23"/>
      <c r="H669" s="22"/>
      <c r="I669" s="4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5" customHeight="1" thickBot="1">
      <c r="A670" s="12"/>
      <c r="B670" s="108"/>
      <c r="C670" s="106"/>
      <c r="D670" s="100" t="s">
        <v>33</v>
      </c>
      <c r="E670" s="17">
        <v>1743</v>
      </c>
      <c r="F670" s="18">
        <v>827</v>
      </c>
      <c r="G670" s="23"/>
      <c r="H670" s="22"/>
      <c r="I670" s="4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27.5" customHeight="1" thickBot="1">
      <c r="A671" s="12"/>
      <c r="B671" s="108"/>
      <c r="C671" s="106"/>
      <c r="D671" s="100" t="s">
        <v>455</v>
      </c>
      <c r="E671" s="17" t="s">
        <v>456</v>
      </c>
      <c r="F671" s="18">
        <v>1527</v>
      </c>
      <c r="G671" s="23"/>
      <c r="H671" s="22"/>
      <c r="I671" s="4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5" customHeight="1" thickBot="1">
      <c r="A672" s="12"/>
      <c r="B672" s="108"/>
      <c r="C672" s="107" t="s">
        <v>68</v>
      </c>
      <c r="D672" s="100" t="s">
        <v>60</v>
      </c>
      <c r="E672" s="17">
        <v>1764</v>
      </c>
      <c r="F672" s="18">
        <v>1591</v>
      </c>
      <c r="G672" s="23"/>
      <c r="H672" s="22"/>
      <c r="I672" s="4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5" customHeight="1" thickBot="1">
      <c r="A673" s="12"/>
      <c r="B673" s="108"/>
      <c r="C673" s="106"/>
      <c r="D673" s="100" t="s">
        <v>14</v>
      </c>
      <c r="E673" s="17">
        <v>1771</v>
      </c>
      <c r="F673" s="18">
        <v>509</v>
      </c>
      <c r="G673" s="23"/>
      <c r="H673" s="22"/>
      <c r="I673" s="4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5" customHeight="1" thickBot="1">
      <c r="A674" s="12"/>
      <c r="B674" s="108"/>
      <c r="C674" s="106"/>
      <c r="D674" s="100" t="s">
        <v>33</v>
      </c>
      <c r="E674" s="17">
        <v>1750</v>
      </c>
      <c r="F674" s="18">
        <v>318</v>
      </c>
      <c r="G674" s="23"/>
      <c r="H674" s="22"/>
      <c r="I674" s="4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.5" customHeight="1" thickBot="1">
      <c r="A675" s="12"/>
      <c r="B675" s="109" t="s">
        <v>450</v>
      </c>
      <c r="C675" s="106"/>
      <c r="D675" s="100" t="s">
        <v>457</v>
      </c>
      <c r="E675" s="17">
        <v>3206</v>
      </c>
      <c r="F675" s="18">
        <v>795</v>
      </c>
      <c r="G675" s="23"/>
      <c r="H675" s="22"/>
      <c r="I675" s="4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.5" customHeight="1" thickBot="1">
      <c r="A676" s="12"/>
      <c r="B676" s="116" t="s">
        <v>458</v>
      </c>
      <c r="C676" s="106"/>
      <c r="D676" s="100" t="s">
        <v>459</v>
      </c>
      <c r="E676" s="17">
        <v>3207</v>
      </c>
      <c r="F676" s="18">
        <v>795</v>
      </c>
      <c r="G676" s="23"/>
      <c r="H676" s="22"/>
      <c r="I676" s="4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.5" customHeight="1" thickBot="1">
      <c r="A677" s="12"/>
      <c r="B677" s="109" t="s">
        <v>460</v>
      </c>
      <c r="C677" s="107" t="s">
        <v>461</v>
      </c>
      <c r="D677" s="100" t="s">
        <v>18</v>
      </c>
      <c r="E677" s="17">
        <v>411</v>
      </c>
      <c r="F677" s="18">
        <v>720</v>
      </c>
      <c r="G677" s="23"/>
      <c r="H677" s="22"/>
      <c r="I677" s="4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.5" customHeight="1" thickBot="1">
      <c r="A678" s="12"/>
      <c r="B678" s="108"/>
      <c r="C678" s="107" t="s">
        <v>462</v>
      </c>
      <c r="D678" s="100" t="s">
        <v>18</v>
      </c>
      <c r="E678" s="17">
        <v>640</v>
      </c>
      <c r="F678" s="18">
        <v>720</v>
      </c>
      <c r="G678" s="23"/>
      <c r="H678" s="22"/>
      <c r="I678" s="4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.5" customHeight="1" thickBot="1">
      <c r="A679" s="12"/>
      <c r="B679" s="108"/>
      <c r="C679" s="106"/>
      <c r="D679" s="100" t="s">
        <v>20</v>
      </c>
      <c r="E679" s="17">
        <v>641</v>
      </c>
      <c r="F679" s="18">
        <v>720</v>
      </c>
      <c r="G679" s="23"/>
      <c r="H679" s="22"/>
      <c r="I679" s="4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.5" customHeight="1" thickBot="1">
      <c r="A680" s="12"/>
      <c r="B680" s="108"/>
      <c r="C680" s="106"/>
      <c r="D680" s="100" t="s">
        <v>14</v>
      </c>
      <c r="E680" s="17">
        <v>642</v>
      </c>
      <c r="F680" s="18">
        <v>445</v>
      </c>
      <c r="G680" s="23"/>
      <c r="H680" s="22"/>
      <c r="I680" s="4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.5" customHeight="1" thickBot="1">
      <c r="A681" s="12"/>
      <c r="B681" s="108"/>
      <c r="C681" s="107" t="s">
        <v>463</v>
      </c>
      <c r="D681" s="100" t="s">
        <v>18</v>
      </c>
      <c r="E681" s="17">
        <v>983</v>
      </c>
      <c r="F681" s="18">
        <v>720</v>
      </c>
      <c r="G681" s="23"/>
      <c r="H681" s="22"/>
      <c r="I681" s="4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.5" customHeight="1" thickBot="1">
      <c r="A682" s="12"/>
      <c r="B682" s="108"/>
      <c r="C682" s="106"/>
      <c r="D682" s="100" t="s">
        <v>20</v>
      </c>
      <c r="E682" s="17">
        <v>984</v>
      </c>
      <c r="F682" s="18">
        <v>720</v>
      </c>
      <c r="G682" s="23"/>
      <c r="H682" s="22"/>
      <c r="I682" s="4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.5" customHeight="1" thickBot="1">
      <c r="A683" s="12"/>
      <c r="B683" s="108"/>
      <c r="C683" s="106"/>
      <c r="D683" s="100" t="s">
        <v>14</v>
      </c>
      <c r="E683" s="17">
        <v>985</v>
      </c>
      <c r="F683" s="18">
        <v>382</v>
      </c>
      <c r="G683" s="23"/>
      <c r="H683" s="22"/>
      <c r="I683" s="4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.5" customHeight="1" thickBot="1">
      <c r="A684" s="12"/>
      <c r="B684" s="108"/>
      <c r="C684" s="107" t="s">
        <v>464</v>
      </c>
      <c r="D684" s="100" t="s">
        <v>29</v>
      </c>
      <c r="E684" s="17">
        <v>412</v>
      </c>
      <c r="F684" s="18">
        <v>1295</v>
      </c>
      <c r="G684" s="23"/>
      <c r="H684" s="22"/>
      <c r="I684" s="4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.5" customHeight="1" thickBot="1">
      <c r="A685" s="12"/>
      <c r="B685" s="108"/>
      <c r="C685" s="106"/>
      <c r="D685" s="100" t="s">
        <v>14</v>
      </c>
      <c r="E685" s="17">
        <v>413</v>
      </c>
      <c r="F685" s="18">
        <v>445</v>
      </c>
      <c r="G685" s="23"/>
      <c r="H685" s="22"/>
      <c r="I685" s="4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.5" customHeight="1" thickBot="1">
      <c r="A686" s="12"/>
      <c r="B686" s="108"/>
      <c r="C686" s="106"/>
      <c r="D686" s="100" t="s">
        <v>22</v>
      </c>
      <c r="E686" s="17">
        <v>414</v>
      </c>
      <c r="F686" s="18">
        <v>255</v>
      </c>
      <c r="G686" s="23"/>
      <c r="H686" s="22"/>
      <c r="I686" s="4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.5" customHeight="1" thickBot="1">
      <c r="A687" s="12"/>
      <c r="B687" s="108"/>
      <c r="C687" s="107" t="s">
        <v>231</v>
      </c>
      <c r="D687" s="100" t="s">
        <v>18</v>
      </c>
      <c r="E687" s="17">
        <v>415</v>
      </c>
      <c r="F687" s="18">
        <v>720</v>
      </c>
      <c r="G687" s="23"/>
      <c r="H687" s="22"/>
      <c r="I687" s="4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.5" customHeight="1" thickBot="1">
      <c r="A688" s="12"/>
      <c r="B688" s="108"/>
      <c r="C688" s="107" t="s">
        <v>331</v>
      </c>
      <c r="D688" s="100" t="s">
        <v>14</v>
      </c>
      <c r="E688" s="17">
        <v>416</v>
      </c>
      <c r="F688" s="18">
        <v>445</v>
      </c>
      <c r="G688" s="23"/>
      <c r="H688" s="22"/>
      <c r="I688" s="4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.5" customHeight="1" thickBot="1">
      <c r="A689" s="12"/>
      <c r="B689" s="108"/>
      <c r="C689" s="106"/>
      <c r="D689" s="100" t="s">
        <v>22</v>
      </c>
      <c r="E689" s="17">
        <v>417</v>
      </c>
      <c r="F689" s="18">
        <v>382</v>
      </c>
      <c r="G689" s="23"/>
      <c r="H689" s="22"/>
      <c r="I689" s="4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.5" customHeight="1" thickBot="1">
      <c r="A690" s="12"/>
      <c r="B690" s="108"/>
      <c r="C690" s="107" t="s">
        <v>465</v>
      </c>
      <c r="D690" s="100" t="s">
        <v>18</v>
      </c>
      <c r="E690" s="17">
        <v>418</v>
      </c>
      <c r="F690" s="18">
        <v>720</v>
      </c>
      <c r="G690" s="23"/>
      <c r="H690" s="22"/>
      <c r="I690" s="4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.5" customHeight="1" thickBot="1">
      <c r="A691" s="12"/>
      <c r="B691" s="108"/>
      <c r="C691" s="107" t="s">
        <v>331</v>
      </c>
      <c r="D691" s="100" t="s">
        <v>14</v>
      </c>
      <c r="E691" s="17">
        <v>419</v>
      </c>
      <c r="F691" s="18">
        <v>445</v>
      </c>
      <c r="G691" s="23"/>
      <c r="H691" s="22"/>
      <c r="I691" s="4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5" customHeight="1" thickBot="1">
      <c r="A692" s="12"/>
      <c r="B692" s="108"/>
      <c r="C692" s="106"/>
      <c r="D692" s="100" t="s">
        <v>22</v>
      </c>
      <c r="E692" s="17">
        <v>420</v>
      </c>
      <c r="F692" s="18">
        <v>382</v>
      </c>
      <c r="G692" s="23"/>
      <c r="H692" s="22"/>
      <c r="I692" s="4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5" customHeight="1" thickBot="1">
      <c r="A693" s="12"/>
      <c r="B693" s="108"/>
      <c r="C693" s="107" t="s">
        <v>466</v>
      </c>
      <c r="D693" s="100" t="s">
        <v>18</v>
      </c>
      <c r="E693" s="17">
        <v>421</v>
      </c>
      <c r="F693" s="18">
        <v>720</v>
      </c>
      <c r="G693" s="23"/>
      <c r="H693" s="22"/>
      <c r="I693" s="4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5" customHeight="1" thickBot="1">
      <c r="A694" s="12"/>
      <c r="B694" s="108"/>
      <c r="C694" s="107" t="s">
        <v>467</v>
      </c>
      <c r="D694" s="100" t="s">
        <v>14</v>
      </c>
      <c r="E694" s="17">
        <v>575</v>
      </c>
      <c r="F694" s="18">
        <v>445</v>
      </c>
      <c r="G694" s="23"/>
      <c r="H694" s="22"/>
      <c r="I694" s="4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5" customHeight="1" thickBot="1">
      <c r="A695" s="12"/>
      <c r="B695" s="108"/>
      <c r="C695" s="107" t="s">
        <v>468</v>
      </c>
      <c r="D695" s="100" t="s">
        <v>469</v>
      </c>
      <c r="E695" s="17">
        <v>422</v>
      </c>
      <c r="F695" s="18">
        <v>318</v>
      </c>
      <c r="G695" s="23"/>
      <c r="H695" s="22"/>
      <c r="I695" s="4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5" customHeight="1" thickBot="1">
      <c r="A696" s="12"/>
      <c r="B696" s="108"/>
      <c r="C696" s="106"/>
      <c r="D696" s="100" t="s">
        <v>470</v>
      </c>
      <c r="E696" s="17">
        <v>423</v>
      </c>
      <c r="F696" s="18">
        <v>382</v>
      </c>
      <c r="G696" s="23"/>
      <c r="H696" s="22"/>
      <c r="I696" s="4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5" customHeight="1" thickBot="1">
      <c r="A697" s="12"/>
      <c r="B697" s="108"/>
      <c r="C697" s="107" t="s">
        <v>471</v>
      </c>
      <c r="D697" s="100" t="s">
        <v>124</v>
      </c>
      <c r="E697" s="13"/>
      <c r="F697" s="18">
        <v>255</v>
      </c>
      <c r="G697" s="23"/>
      <c r="H697" s="22"/>
      <c r="I697" s="4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5" customHeight="1" thickBot="1">
      <c r="A698" s="12"/>
      <c r="B698" s="108"/>
      <c r="C698" s="106"/>
      <c r="D698" s="100" t="s">
        <v>424</v>
      </c>
      <c r="E698" s="17">
        <v>424</v>
      </c>
      <c r="F698" s="18">
        <v>159</v>
      </c>
      <c r="G698" s="23"/>
      <c r="H698" s="22"/>
      <c r="I698" s="4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5" customHeight="1" thickBot="1">
      <c r="A699" s="12"/>
      <c r="B699" s="108"/>
      <c r="C699" s="107" t="s">
        <v>472</v>
      </c>
      <c r="D699" s="100" t="s">
        <v>60</v>
      </c>
      <c r="E699" s="17">
        <v>643</v>
      </c>
      <c r="F699" s="18">
        <v>827</v>
      </c>
      <c r="G699" s="23"/>
      <c r="H699" s="22"/>
      <c r="I699" s="4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5" customHeight="1" thickBot="1">
      <c r="A700" s="12"/>
      <c r="B700" s="108"/>
      <c r="C700" s="106"/>
      <c r="D700" s="100" t="s">
        <v>61</v>
      </c>
      <c r="E700" s="17">
        <v>644</v>
      </c>
      <c r="F700" s="18">
        <v>955</v>
      </c>
      <c r="G700" s="23"/>
      <c r="H700" s="22"/>
      <c r="I700" s="4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5" customHeight="1" thickBot="1">
      <c r="A701" s="12"/>
      <c r="B701" s="108"/>
      <c r="C701" s="107" t="s">
        <v>473</v>
      </c>
      <c r="D701" s="100" t="s">
        <v>60</v>
      </c>
      <c r="E701" s="17">
        <v>971</v>
      </c>
      <c r="F701" s="18">
        <v>955</v>
      </c>
      <c r="G701" s="23"/>
      <c r="H701" s="22"/>
      <c r="I701" s="4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5" customHeight="1" thickBot="1">
      <c r="A702" s="12"/>
      <c r="B702" s="108"/>
      <c r="C702" s="106"/>
      <c r="D702" s="100" t="s">
        <v>61</v>
      </c>
      <c r="E702" s="17">
        <v>972</v>
      </c>
      <c r="F702" s="18">
        <v>1145</v>
      </c>
      <c r="G702" s="23"/>
      <c r="H702" s="22"/>
      <c r="I702" s="4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5" customHeight="1" thickBot="1">
      <c r="A703" s="12"/>
      <c r="B703" s="109" t="s">
        <v>460</v>
      </c>
      <c r="C703" s="107" t="s">
        <v>474</v>
      </c>
      <c r="D703" s="100" t="s">
        <v>18</v>
      </c>
      <c r="E703" s="17">
        <v>2425</v>
      </c>
      <c r="F703" s="18">
        <v>720</v>
      </c>
      <c r="G703" s="23"/>
      <c r="H703" s="22"/>
      <c r="I703" s="4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5" customHeight="1" thickBot="1">
      <c r="A704" s="12"/>
      <c r="B704" s="108"/>
      <c r="C704" s="106"/>
      <c r="D704" s="100" t="s">
        <v>20</v>
      </c>
      <c r="E704" s="17">
        <v>2426</v>
      </c>
      <c r="F704" s="18">
        <v>720</v>
      </c>
      <c r="G704" s="23"/>
      <c r="H704" s="22"/>
      <c r="I704" s="4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5" customHeight="1" thickBot="1">
      <c r="A705" s="12"/>
      <c r="B705" s="108"/>
      <c r="C705" s="106"/>
      <c r="D705" s="100" t="s">
        <v>14</v>
      </c>
      <c r="E705" s="17">
        <v>2427</v>
      </c>
      <c r="F705" s="18">
        <v>382</v>
      </c>
      <c r="G705" s="23"/>
      <c r="H705" s="22"/>
      <c r="I705" s="4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5" customHeight="1" thickBot="1">
      <c r="A706" s="12"/>
      <c r="B706" s="108"/>
      <c r="C706" s="106"/>
      <c r="D706" s="100" t="s">
        <v>60</v>
      </c>
      <c r="E706" s="17">
        <v>2428</v>
      </c>
      <c r="F706" s="18">
        <v>827</v>
      </c>
      <c r="G706" s="23"/>
      <c r="H706" s="22"/>
      <c r="I706" s="4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5" customHeight="1" thickBot="1">
      <c r="A707" s="12"/>
      <c r="B707" s="108"/>
      <c r="C707" s="106"/>
      <c r="D707" s="100" t="s">
        <v>475</v>
      </c>
      <c r="E707" s="17">
        <v>2429</v>
      </c>
      <c r="F707" s="18">
        <v>955</v>
      </c>
      <c r="G707" s="23"/>
      <c r="H707" s="22"/>
      <c r="I707" s="4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5" customHeight="1" thickBot="1">
      <c r="A708" s="12"/>
      <c r="B708" s="108"/>
      <c r="C708" s="107" t="s">
        <v>476</v>
      </c>
      <c r="D708" s="100" t="s">
        <v>170</v>
      </c>
      <c r="E708" s="17">
        <v>3521</v>
      </c>
      <c r="F708" s="18">
        <v>2495</v>
      </c>
      <c r="G708" s="23"/>
      <c r="H708" s="22"/>
      <c r="I708" s="4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5" customHeight="1" thickBot="1">
      <c r="A709" s="12"/>
      <c r="B709" s="109" t="s">
        <v>476</v>
      </c>
      <c r="C709" s="107" t="s">
        <v>477</v>
      </c>
      <c r="D709" s="100" t="s">
        <v>478</v>
      </c>
      <c r="E709" s="17">
        <v>3560</v>
      </c>
      <c r="F709" s="18">
        <v>286</v>
      </c>
      <c r="G709" s="23"/>
      <c r="H709" s="22"/>
      <c r="I709" s="4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5" customHeight="1" thickBot="1">
      <c r="A710" s="12"/>
      <c r="B710" s="108"/>
      <c r="C710" s="106"/>
      <c r="D710" s="100" t="s">
        <v>479</v>
      </c>
      <c r="E710" s="17">
        <v>3561</v>
      </c>
      <c r="F710" s="18">
        <v>127</v>
      </c>
      <c r="G710" s="23"/>
      <c r="H710" s="22"/>
      <c r="I710" s="4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5" customHeight="1" thickBot="1">
      <c r="A711" s="12"/>
      <c r="B711" s="108"/>
      <c r="C711" s="106"/>
      <c r="D711" s="100" t="s">
        <v>18</v>
      </c>
      <c r="E711" s="17">
        <v>4000</v>
      </c>
      <c r="F711" s="18">
        <v>955</v>
      </c>
      <c r="G711" s="23"/>
      <c r="H711" s="22"/>
      <c r="I711" s="4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5" customHeight="1" thickBot="1">
      <c r="A712" s="12"/>
      <c r="B712" s="108"/>
      <c r="C712" s="106"/>
      <c r="D712" s="100" t="s">
        <v>20</v>
      </c>
      <c r="E712" s="17">
        <v>4001</v>
      </c>
      <c r="F712" s="18">
        <v>955</v>
      </c>
      <c r="G712" s="23"/>
      <c r="H712" s="22"/>
      <c r="I712" s="4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5" customHeight="1" thickBot="1">
      <c r="A713" s="12"/>
      <c r="B713" s="108"/>
      <c r="C713" s="106"/>
      <c r="D713" s="100" t="s">
        <v>14</v>
      </c>
      <c r="E713" s="17">
        <v>4002</v>
      </c>
      <c r="F713" s="18">
        <v>955</v>
      </c>
      <c r="G713" s="23"/>
      <c r="H713" s="22"/>
      <c r="I713" s="4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5" customHeight="1" thickBot="1">
      <c r="A714" s="12"/>
      <c r="B714" s="108"/>
      <c r="C714" s="106"/>
      <c r="D714" s="100" t="s">
        <v>60</v>
      </c>
      <c r="E714" s="17">
        <v>4003</v>
      </c>
      <c r="F714" s="18">
        <v>1273</v>
      </c>
      <c r="G714" s="23"/>
      <c r="H714" s="22"/>
      <c r="I714" s="4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5" customHeight="1" thickBot="1">
      <c r="A715" s="12"/>
      <c r="B715" s="108"/>
      <c r="C715" s="106"/>
      <c r="D715" s="100" t="s">
        <v>61</v>
      </c>
      <c r="E715" s="17">
        <v>4004</v>
      </c>
      <c r="F715" s="18">
        <v>1273</v>
      </c>
      <c r="G715" s="23"/>
      <c r="H715" s="22"/>
      <c r="I715" s="4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5" customHeight="1" thickBot="1">
      <c r="A716" s="12"/>
      <c r="B716" s="108"/>
      <c r="C716" s="106"/>
      <c r="D716" s="100" t="s">
        <v>480</v>
      </c>
      <c r="E716" s="17">
        <v>4005</v>
      </c>
      <c r="F716" s="18">
        <v>1591</v>
      </c>
      <c r="G716" s="23"/>
      <c r="H716" s="22"/>
      <c r="I716" s="4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5" customHeight="1" thickBot="1">
      <c r="A717" s="12"/>
      <c r="B717" s="108"/>
      <c r="C717" s="106"/>
      <c r="D717" s="100" t="s">
        <v>213</v>
      </c>
      <c r="E717" s="17">
        <v>4006</v>
      </c>
      <c r="F717" s="18">
        <v>1591</v>
      </c>
      <c r="G717" s="23"/>
      <c r="H717" s="22"/>
      <c r="I717" s="4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5" customHeight="1" thickBot="1">
      <c r="A718" s="12"/>
      <c r="B718" s="108"/>
      <c r="C718" s="106"/>
      <c r="D718" s="100" t="s">
        <v>481</v>
      </c>
      <c r="E718" s="17">
        <v>4007</v>
      </c>
      <c r="F718" s="18">
        <v>1295</v>
      </c>
      <c r="G718" s="23"/>
      <c r="H718" s="22"/>
      <c r="I718" s="4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5" customHeight="1" thickBot="1">
      <c r="A719" s="12"/>
      <c r="B719" s="108"/>
      <c r="C719" s="106"/>
      <c r="D719" s="100" t="s">
        <v>482</v>
      </c>
      <c r="E719" s="17">
        <v>4008</v>
      </c>
      <c r="F719" s="18">
        <v>1295</v>
      </c>
      <c r="G719" s="23"/>
      <c r="H719" s="22"/>
      <c r="I719" s="4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5" customHeight="1" thickBot="1">
      <c r="A720" s="12"/>
      <c r="B720" s="108"/>
      <c r="C720" s="106"/>
      <c r="D720" s="100" t="s">
        <v>26</v>
      </c>
      <c r="E720" s="17">
        <v>4009</v>
      </c>
      <c r="F720" s="18">
        <v>1095</v>
      </c>
      <c r="G720" s="23"/>
      <c r="H720" s="22"/>
      <c r="I720" s="4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5" customHeight="1" thickBot="1">
      <c r="A721" s="12"/>
      <c r="B721" s="108"/>
      <c r="C721" s="106"/>
      <c r="D721" s="100" t="s">
        <v>65</v>
      </c>
      <c r="E721" s="17">
        <v>4010</v>
      </c>
      <c r="F721" s="18">
        <v>1591</v>
      </c>
      <c r="G721" s="23"/>
      <c r="H721" s="22"/>
      <c r="I721" s="4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5" customHeight="1" thickBot="1">
      <c r="A722" s="12"/>
      <c r="B722" s="108"/>
      <c r="C722" s="106"/>
      <c r="D722" s="100" t="s">
        <v>107</v>
      </c>
      <c r="E722" s="17">
        <v>4011</v>
      </c>
      <c r="F722" s="18">
        <v>955</v>
      </c>
      <c r="G722" s="23"/>
      <c r="H722" s="22"/>
      <c r="I722" s="4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5" customHeight="1" thickBot="1">
      <c r="A723" s="12"/>
      <c r="B723" s="108"/>
      <c r="C723" s="106"/>
      <c r="D723" s="100" t="s">
        <v>200</v>
      </c>
      <c r="E723" s="17">
        <v>4012</v>
      </c>
      <c r="F723" s="18">
        <v>2864</v>
      </c>
      <c r="G723" s="23"/>
      <c r="H723" s="22"/>
      <c r="I723" s="4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5" customHeight="1" thickBot="1">
      <c r="A724" s="12"/>
      <c r="B724" s="108"/>
      <c r="C724" s="106"/>
      <c r="D724" s="100" t="s">
        <v>483</v>
      </c>
      <c r="E724" s="17">
        <v>4013</v>
      </c>
      <c r="F724" s="18">
        <v>573</v>
      </c>
      <c r="G724" s="23"/>
      <c r="H724" s="22"/>
      <c r="I724" s="4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5" customHeight="1" thickBot="1">
      <c r="A725" s="12"/>
      <c r="B725" s="109" t="s">
        <v>476</v>
      </c>
      <c r="C725" s="107" t="s">
        <v>484</v>
      </c>
      <c r="D725" s="100" t="s">
        <v>18</v>
      </c>
      <c r="E725" s="17">
        <v>4014</v>
      </c>
      <c r="F725" s="18">
        <v>955</v>
      </c>
      <c r="G725" s="23"/>
      <c r="H725" s="22"/>
      <c r="I725" s="4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5" customHeight="1" thickBot="1">
      <c r="A726" s="12"/>
      <c r="B726" s="108"/>
      <c r="C726" s="107" t="s">
        <v>485</v>
      </c>
      <c r="D726" s="100" t="s">
        <v>26</v>
      </c>
      <c r="E726" s="17">
        <v>4015</v>
      </c>
      <c r="F726" s="18">
        <v>1095</v>
      </c>
      <c r="G726" s="23"/>
      <c r="H726" s="22"/>
      <c r="I726" s="4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5" customHeight="1" thickBot="1">
      <c r="A727" s="12"/>
      <c r="B727" s="108"/>
      <c r="C727" s="106"/>
      <c r="D727" s="100" t="s">
        <v>20</v>
      </c>
      <c r="E727" s="17">
        <v>4016</v>
      </c>
      <c r="F727" s="18">
        <v>955</v>
      </c>
      <c r="G727" s="23"/>
      <c r="H727" s="22"/>
      <c r="I727" s="4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5" customHeight="1" thickBot="1">
      <c r="A728" s="12"/>
      <c r="B728" s="108"/>
      <c r="C728" s="106"/>
      <c r="D728" s="100" t="s">
        <v>14</v>
      </c>
      <c r="E728" s="17">
        <v>4017</v>
      </c>
      <c r="F728" s="18">
        <v>955</v>
      </c>
      <c r="G728" s="23"/>
      <c r="H728" s="22"/>
      <c r="I728" s="4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5" customHeight="1" thickBot="1">
      <c r="A729" s="12"/>
      <c r="B729" s="108"/>
      <c r="C729" s="106"/>
      <c r="D729" s="100" t="s">
        <v>486</v>
      </c>
      <c r="E729" s="17">
        <v>4018</v>
      </c>
      <c r="F729" s="18">
        <v>1273</v>
      </c>
      <c r="G729" s="23"/>
      <c r="H729" s="22"/>
      <c r="I729" s="4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5" customHeight="1" thickBot="1">
      <c r="A730" s="12"/>
      <c r="B730" s="108"/>
      <c r="C730" s="106"/>
      <c r="D730" s="100" t="s">
        <v>487</v>
      </c>
      <c r="E730" s="17">
        <v>4019</v>
      </c>
      <c r="F730" s="18">
        <v>1273</v>
      </c>
      <c r="G730" s="23"/>
      <c r="H730" s="22"/>
      <c r="I730" s="4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5" customHeight="1" thickBot="1">
      <c r="A731" s="12"/>
      <c r="B731" s="108"/>
      <c r="C731" s="106"/>
      <c r="D731" s="100" t="s">
        <v>488</v>
      </c>
      <c r="E731" s="17">
        <v>4020</v>
      </c>
      <c r="F731" s="18">
        <v>795</v>
      </c>
      <c r="G731" s="23"/>
      <c r="H731" s="22"/>
      <c r="I731" s="4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5" customHeight="1" thickBot="1">
      <c r="A732" s="12"/>
      <c r="B732" s="108"/>
      <c r="C732" s="106"/>
      <c r="D732" s="100" t="s">
        <v>489</v>
      </c>
      <c r="E732" s="17">
        <v>4021</v>
      </c>
      <c r="F732" s="18">
        <v>795</v>
      </c>
      <c r="G732" s="23"/>
      <c r="H732" s="22"/>
      <c r="I732" s="4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5" customHeight="1" thickBot="1">
      <c r="A733" s="12"/>
      <c r="B733" s="108"/>
      <c r="C733" s="107" t="s">
        <v>485</v>
      </c>
      <c r="D733" s="100" t="s">
        <v>61</v>
      </c>
      <c r="E733" s="17">
        <v>4023</v>
      </c>
      <c r="F733" s="18">
        <v>1273</v>
      </c>
      <c r="G733" s="23"/>
      <c r="H733" s="22"/>
      <c r="I733" s="4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5" customHeight="1" thickBot="1">
      <c r="A734" s="12"/>
      <c r="B734" s="109" t="s">
        <v>490</v>
      </c>
      <c r="C734" s="107" t="s">
        <v>68</v>
      </c>
      <c r="D734" s="100" t="s">
        <v>18</v>
      </c>
      <c r="E734" s="17">
        <v>2315</v>
      </c>
      <c r="F734" s="18">
        <v>720</v>
      </c>
      <c r="G734" s="23"/>
      <c r="H734" s="22"/>
      <c r="I734" s="4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5" customHeight="1" thickBot="1">
      <c r="A735" s="12"/>
      <c r="B735" s="109" t="s">
        <v>491</v>
      </c>
      <c r="C735" s="106"/>
      <c r="D735" s="100" t="s">
        <v>60</v>
      </c>
      <c r="E735" s="17">
        <v>732</v>
      </c>
      <c r="F735" s="18">
        <v>955</v>
      </c>
      <c r="G735" s="23"/>
      <c r="H735" s="22"/>
      <c r="I735" s="4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5" customHeight="1" thickBot="1">
      <c r="A736" s="12"/>
      <c r="B736" s="108"/>
      <c r="C736" s="107" t="s">
        <v>231</v>
      </c>
      <c r="D736" s="100" t="s">
        <v>18</v>
      </c>
      <c r="E736" s="17">
        <v>986</v>
      </c>
      <c r="F736" s="18">
        <v>720</v>
      </c>
      <c r="G736" s="23"/>
      <c r="H736" s="22"/>
      <c r="I736" s="4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5" customHeight="1" thickBot="1">
      <c r="A737" s="12"/>
      <c r="B737" s="108"/>
      <c r="C737" s="106"/>
      <c r="D737" s="100" t="s">
        <v>82</v>
      </c>
      <c r="E737" s="17">
        <v>987</v>
      </c>
      <c r="F737" s="18">
        <v>382</v>
      </c>
      <c r="G737" s="23"/>
      <c r="H737" s="22"/>
      <c r="I737" s="4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5" customHeight="1" thickBot="1">
      <c r="A738" s="12"/>
      <c r="B738" s="108"/>
      <c r="C738" s="106"/>
      <c r="D738" s="100" t="s">
        <v>14</v>
      </c>
      <c r="E738" s="17">
        <v>988</v>
      </c>
      <c r="F738" s="18">
        <v>509</v>
      </c>
      <c r="G738" s="23"/>
      <c r="H738" s="22"/>
      <c r="I738" s="4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5" customHeight="1" thickBot="1">
      <c r="A739" s="12"/>
      <c r="B739" s="108"/>
      <c r="C739" s="106"/>
      <c r="D739" s="100" t="s">
        <v>26</v>
      </c>
      <c r="E739" s="17">
        <v>1003</v>
      </c>
      <c r="F739" s="18">
        <v>1095</v>
      </c>
      <c r="G739" s="23"/>
      <c r="H739" s="22"/>
      <c r="I739" s="4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5" customHeight="1" thickBot="1">
      <c r="A740" s="12"/>
      <c r="B740" s="108"/>
      <c r="C740" s="106"/>
      <c r="D740" s="100" t="s">
        <v>29</v>
      </c>
      <c r="E740" s="17">
        <v>825</v>
      </c>
      <c r="F740" s="18">
        <v>1295</v>
      </c>
      <c r="G740" s="23"/>
      <c r="H740" s="22"/>
      <c r="I740" s="4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5" customHeight="1" thickBot="1">
      <c r="A741" s="12"/>
      <c r="B741" s="108"/>
      <c r="C741" s="107" t="s">
        <v>492</v>
      </c>
      <c r="D741" s="100" t="s">
        <v>60</v>
      </c>
      <c r="E741" s="17">
        <v>989</v>
      </c>
      <c r="F741" s="18">
        <v>955</v>
      </c>
      <c r="G741" s="23"/>
      <c r="H741" s="22"/>
      <c r="I741" s="4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5" customHeight="1" thickBot="1">
      <c r="A742" s="12"/>
      <c r="B742" s="108"/>
      <c r="C742" s="106"/>
      <c r="D742" s="100" t="s">
        <v>61</v>
      </c>
      <c r="E742" s="17">
        <v>990</v>
      </c>
      <c r="F742" s="18">
        <v>1145</v>
      </c>
      <c r="G742" s="23"/>
      <c r="H742" s="22"/>
      <c r="I742" s="4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5" customHeight="1" thickBot="1">
      <c r="A743" s="12"/>
      <c r="B743" s="108"/>
      <c r="C743" s="106"/>
      <c r="D743" s="100" t="s">
        <v>201</v>
      </c>
      <c r="E743" s="17">
        <v>1014</v>
      </c>
      <c r="F743" s="18">
        <v>127</v>
      </c>
      <c r="G743" s="23"/>
      <c r="H743" s="22"/>
      <c r="I743" s="4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5" customHeight="1" thickBot="1">
      <c r="A744" s="12"/>
      <c r="B744" s="108"/>
      <c r="C744" s="107" t="s">
        <v>229</v>
      </c>
      <c r="D744" s="100" t="s">
        <v>18</v>
      </c>
      <c r="E744" s="17">
        <v>1178</v>
      </c>
      <c r="F744" s="18">
        <v>720</v>
      </c>
      <c r="G744" s="23"/>
      <c r="H744" s="22"/>
      <c r="I744" s="4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5" customHeight="1" thickBot="1">
      <c r="A745" s="12"/>
      <c r="B745" s="108"/>
      <c r="C745" s="106"/>
      <c r="D745" s="100" t="s">
        <v>20</v>
      </c>
      <c r="E745" s="17">
        <v>1179</v>
      </c>
      <c r="F745" s="18">
        <v>720</v>
      </c>
      <c r="G745" s="23"/>
      <c r="H745" s="22"/>
      <c r="I745" s="4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5" customHeight="1" thickBot="1">
      <c r="A746" s="12"/>
      <c r="B746" s="108"/>
      <c r="C746" s="106"/>
      <c r="D746" s="100" t="s">
        <v>14</v>
      </c>
      <c r="E746" s="17">
        <v>1180</v>
      </c>
      <c r="F746" s="18">
        <v>445</v>
      </c>
      <c r="G746" s="23"/>
      <c r="H746" s="22"/>
      <c r="I746" s="4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5" customHeight="1" thickBot="1">
      <c r="A747" s="12"/>
      <c r="B747" s="109" t="s">
        <v>491</v>
      </c>
      <c r="C747" s="107" t="s">
        <v>337</v>
      </c>
      <c r="D747" s="100" t="s">
        <v>18</v>
      </c>
      <c r="E747" s="17">
        <v>1186</v>
      </c>
      <c r="F747" s="18">
        <v>720</v>
      </c>
      <c r="G747" s="23"/>
      <c r="H747" s="22"/>
      <c r="I747" s="4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5" customHeight="1" thickBot="1">
      <c r="A748" s="12"/>
      <c r="B748" s="108"/>
      <c r="C748" s="106"/>
      <c r="D748" s="100" t="s">
        <v>20</v>
      </c>
      <c r="E748" s="17">
        <v>1187</v>
      </c>
      <c r="F748" s="18">
        <v>720</v>
      </c>
      <c r="G748" s="23"/>
      <c r="H748" s="22"/>
      <c r="I748" s="4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5" customHeight="1" thickBot="1">
      <c r="A749" s="12"/>
      <c r="B749" s="108"/>
      <c r="C749" s="106"/>
      <c r="D749" s="100" t="s">
        <v>14</v>
      </c>
      <c r="E749" s="17">
        <v>1188</v>
      </c>
      <c r="F749" s="18">
        <v>445</v>
      </c>
      <c r="G749" s="23"/>
      <c r="H749" s="22"/>
      <c r="I749" s="4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5" customHeight="1" thickBot="1">
      <c r="A750" s="12"/>
      <c r="B750" s="108"/>
      <c r="C750" s="106"/>
      <c r="D750" s="100" t="s">
        <v>55</v>
      </c>
      <c r="E750" s="17">
        <v>1185</v>
      </c>
      <c r="F750" s="18">
        <v>795</v>
      </c>
      <c r="G750" s="23"/>
      <c r="H750" s="22"/>
      <c r="I750" s="4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5" customHeight="1" thickBot="1">
      <c r="A751" s="12"/>
      <c r="B751" s="109" t="s">
        <v>493</v>
      </c>
      <c r="C751" s="107" t="s">
        <v>494</v>
      </c>
      <c r="D751" s="100" t="s">
        <v>18</v>
      </c>
      <c r="E751" s="17">
        <v>960</v>
      </c>
      <c r="F751" s="18">
        <v>720</v>
      </c>
      <c r="G751" s="23"/>
      <c r="H751" s="22"/>
      <c r="I751" s="4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5" customHeight="1" thickBot="1">
      <c r="A752" s="12"/>
      <c r="B752" s="108"/>
      <c r="C752" s="106"/>
      <c r="D752" s="100" t="s">
        <v>82</v>
      </c>
      <c r="E752" s="17">
        <v>1111</v>
      </c>
      <c r="F752" s="18">
        <v>382</v>
      </c>
      <c r="G752" s="23"/>
      <c r="H752" s="22"/>
      <c r="I752" s="4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30.5" customHeight="1" thickBot="1">
      <c r="A753" s="12"/>
      <c r="B753" s="108"/>
      <c r="C753" s="107" t="s">
        <v>495</v>
      </c>
      <c r="D753" s="100" t="s">
        <v>18</v>
      </c>
      <c r="E753" s="17">
        <v>1169</v>
      </c>
      <c r="F753" s="18">
        <v>720</v>
      </c>
      <c r="G753" s="23"/>
      <c r="H753" s="22"/>
      <c r="I753" s="4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5" customHeight="1" thickBot="1">
      <c r="A754" s="12"/>
      <c r="B754" s="108"/>
      <c r="C754" s="107" t="s">
        <v>337</v>
      </c>
      <c r="D754" s="100" t="s">
        <v>55</v>
      </c>
      <c r="E754" s="17">
        <v>1182</v>
      </c>
      <c r="F754" s="18">
        <v>795</v>
      </c>
      <c r="G754" s="23"/>
      <c r="H754" s="22"/>
      <c r="I754" s="4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5" customHeight="1" thickBot="1">
      <c r="A755" s="12"/>
      <c r="B755" s="109" t="s">
        <v>493</v>
      </c>
      <c r="C755" s="107" t="s">
        <v>496</v>
      </c>
      <c r="D755" s="100" t="s">
        <v>18</v>
      </c>
      <c r="E755" s="17">
        <v>1388</v>
      </c>
      <c r="F755" s="18">
        <v>720</v>
      </c>
      <c r="G755" s="23"/>
      <c r="H755" s="22"/>
      <c r="I755" s="4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5" customHeight="1" thickBot="1">
      <c r="A756" s="12"/>
      <c r="B756" s="108"/>
      <c r="C756" s="106"/>
      <c r="D756" s="100" t="s">
        <v>20</v>
      </c>
      <c r="E756" s="17">
        <v>1389</v>
      </c>
      <c r="F756" s="18">
        <v>720</v>
      </c>
      <c r="G756" s="23"/>
      <c r="H756" s="22"/>
      <c r="I756" s="4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5" customHeight="1" thickBot="1">
      <c r="A757" s="12"/>
      <c r="B757" s="108"/>
      <c r="C757" s="106"/>
      <c r="D757" s="100" t="s">
        <v>14</v>
      </c>
      <c r="E757" s="17">
        <v>1390</v>
      </c>
      <c r="F757" s="18">
        <v>509</v>
      </c>
      <c r="G757" s="23"/>
      <c r="H757" s="22"/>
      <c r="I757" s="4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5" customHeight="1" thickBot="1">
      <c r="A758" s="12"/>
      <c r="B758" s="109" t="s">
        <v>497</v>
      </c>
      <c r="C758" s="107" t="s">
        <v>498</v>
      </c>
      <c r="D758" s="100" t="s">
        <v>499</v>
      </c>
      <c r="E758" s="17">
        <v>3190</v>
      </c>
      <c r="F758" s="18">
        <v>795</v>
      </c>
      <c r="G758" s="23"/>
      <c r="H758" s="22"/>
      <c r="I758" s="4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5" customHeight="1" thickBot="1">
      <c r="A759" s="12"/>
      <c r="B759" s="109" t="s">
        <v>493</v>
      </c>
      <c r="C759" s="107" t="s">
        <v>500</v>
      </c>
      <c r="D759" s="100" t="s">
        <v>60</v>
      </c>
      <c r="E759" s="17">
        <v>3410</v>
      </c>
      <c r="F759" s="18">
        <v>0</v>
      </c>
      <c r="G759" s="23"/>
      <c r="H759" s="22"/>
      <c r="I759" s="4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5" customHeight="1" thickBot="1">
      <c r="A760" s="12"/>
      <c r="B760" s="109" t="s">
        <v>501</v>
      </c>
      <c r="C760" s="107" t="s">
        <v>502</v>
      </c>
      <c r="D760" s="100" t="s">
        <v>18</v>
      </c>
      <c r="E760" s="17">
        <v>576</v>
      </c>
      <c r="F760" s="18">
        <v>720</v>
      </c>
      <c r="G760" s="23"/>
      <c r="H760" s="22"/>
      <c r="I760" s="4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5" customHeight="1" thickBot="1">
      <c r="A761" s="12"/>
      <c r="B761" s="108"/>
      <c r="C761" s="107" t="s">
        <v>68</v>
      </c>
      <c r="D761" s="100" t="s">
        <v>18</v>
      </c>
      <c r="E761" s="17">
        <v>614</v>
      </c>
      <c r="F761" s="18">
        <v>720</v>
      </c>
      <c r="G761" s="23"/>
      <c r="H761" s="22"/>
      <c r="I761" s="4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5" customHeight="1" thickBot="1">
      <c r="A762" s="12"/>
      <c r="B762" s="108"/>
      <c r="C762" s="106"/>
      <c r="D762" s="100" t="s">
        <v>20</v>
      </c>
      <c r="E762" s="17">
        <v>615</v>
      </c>
      <c r="F762" s="18">
        <v>720</v>
      </c>
      <c r="G762" s="23"/>
      <c r="H762" s="22"/>
      <c r="I762" s="4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5" customHeight="1" thickBot="1">
      <c r="A763" s="12"/>
      <c r="B763" s="109" t="s">
        <v>501</v>
      </c>
      <c r="C763" s="107" t="s">
        <v>503</v>
      </c>
      <c r="D763" s="100" t="s">
        <v>18</v>
      </c>
      <c r="E763" s="17">
        <v>1152</v>
      </c>
      <c r="F763" s="18">
        <v>720</v>
      </c>
      <c r="G763" s="23"/>
      <c r="H763" s="22"/>
      <c r="I763" s="4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5" customHeight="1" thickBot="1">
      <c r="A764" s="12"/>
      <c r="B764" s="108"/>
      <c r="C764" s="107" t="s">
        <v>287</v>
      </c>
      <c r="D764" s="100" t="s">
        <v>20</v>
      </c>
      <c r="E764" s="17">
        <v>1153</v>
      </c>
      <c r="F764" s="18">
        <v>720</v>
      </c>
      <c r="G764" s="23"/>
      <c r="H764" s="22"/>
      <c r="I764" s="4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5" customHeight="1" thickBot="1">
      <c r="A765" s="12"/>
      <c r="B765" s="108"/>
      <c r="C765" s="107" t="s">
        <v>504</v>
      </c>
      <c r="D765" s="100" t="s">
        <v>14</v>
      </c>
      <c r="E765" s="17">
        <v>1154</v>
      </c>
      <c r="F765" s="18">
        <v>509</v>
      </c>
      <c r="G765" s="23"/>
      <c r="H765" s="22"/>
      <c r="I765" s="4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5" customHeight="1" thickBot="1">
      <c r="A766" s="12"/>
      <c r="B766" s="108"/>
      <c r="C766" s="106"/>
      <c r="D766" s="100" t="s">
        <v>22</v>
      </c>
      <c r="E766" s="17">
        <v>1155</v>
      </c>
      <c r="F766" s="18">
        <v>573</v>
      </c>
      <c r="G766" s="23"/>
      <c r="H766" s="22"/>
      <c r="I766" s="4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5" customHeight="1" thickBot="1">
      <c r="A767" s="12"/>
      <c r="B767" s="108"/>
      <c r="C767" s="106"/>
      <c r="D767" s="100" t="s">
        <v>60</v>
      </c>
      <c r="E767" s="17">
        <v>1156</v>
      </c>
      <c r="F767" s="18">
        <v>955</v>
      </c>
      <c r="G767" s="23"/>
      <c r="H767" s="22"/>
      <c r="I767" s="4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5" customHeight="1" thickBot="1">
      <c r="A768" s="12"/>
      <c r="B768" s="108"/>
      <c r="C768" s="106"/>
      <c r="D768" s="100" t="s">
        <v>61</v>
      </c>
      <c r="E768" s="17">
        <v>1157</v>
      </c>
      <c r="F768" s="18">
        <v>1145</v>
      </c>
      <c r="G768" s="23"/>
      <c r="H768" s="22"/>
      <c r="I768" s="4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5" customHeight="1" thickBot="1">
      <c r="A769" s="12"/>
      <c r="B769" s="108"/>
      <c r="C769" s="106"/>
      <c r="D769" s="100" t="s">
        <v>340</v>
      </c>
      <c r="E769" s="17">
        <v>1158</v>
      </c>
      <c r="F769" s="18">
        <v>636</v>
      </c>
      <c r="G769" s="23"/>
      <c r="H769" s="22"/>
      <c r="I769" s="4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5" customHeight="1" thickBot="1">
      <c r="A770" s="12"/>
      <c r="B770" s="108"/>
      <c r="C770" s="106"/>
      <c r="D770" s="100" t="s">
        <v>201</v>
      </c>
      <c r="E770" s="17">
        <v>1159</v>
      </c>
      <c r="F770" s="18">
        <v>127</v>
      </c>
      <c r="G770" s="23"/>
      <c r="H770" s="22"/>
      <c r="I770" s="4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5" customHeight="1" thickBot="1">
      <c r="A771" s="12"/>
      <c r="B771" s="108"/>
      <c r="C771" s="106"/>
      <c r="D771" s="100" t="s">
        <v>321</v>
      </c>
      <c r="E771" s="17">
        <v>1160</v>
      </c>
      <c r="F771" s="18">
        <v>255</v>
      </c>
      <c r="G771" s="23"/>
      <c r="H771" s="22"/>
      <c r="I771" s="4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5" customHeight="1" thickBot="1">
      <c r="A772" s="12"/>
      <c r="B772" s="109" t="s">
        <v>505</v>
      </c>
      <c r="C772" s="107" t="s">
        <v>297</v>
      </c>
      <c r="D772" s="100" t="s">
        <v>12</v>
      </c>
      <c r="E772" s="17">
        <v>577</v>
      </c>
      <c r="F772" s="18">
        <v>995</v>
      </c>
      <c r="G772" s="23"/>
      <c r="H772" s="22"/>
      <c r="I772" s="4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5" customHeight="1" thickBot="1">
      <c r="A773" s="12"/>
      <c r="B773" s="108"/>
      <c r="C773" s="106"/>
      <c r="D773" s="100" t="s">
        <v>82</v>
      </c>
      <c r="E773" s="17">
        <v>578</v>
      </c>
      <c r="F773" s="18">
        <v>414</v>
      </c>
      <c r="G773" s="23"/>
      <c r="H773" s="22"/>
      <c r="I773" s="4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5" customHeight="1" thickBot="1">
      <c r="A774" s="12"/>
      <c r="B774" s="108"/>
      <c r="C774" s="106"/>
      <c r="D774" s="100" t="s">
        <v>14</v>
      </c>
      <c r="E774" s="17">
        <v>579</v>
      </c>
      <c r="F774" s="18">
        <v>509</v>
      </c>
      <c r="G774" s="23"/>
      <c r="H774" s="22"/>
      <c r="I774" s="4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5" customHeight="1" thickBot="1">
      <c r="A775" s="12"/>
      <c r="B775" s="108"/>
      <c r="C775" s="106"/>
      <c r="D775" s="100" t="s">
        <v>22</v>
      </c>
      <c r="E775" s="17">
        <v>580</v>
      </c>
      <c r="F775" s="18">
        <v>445</v>
      </c>
      <c r="G775" s="23"/>
      <c r="H775" s="22"/>
      <c r="I775" s="4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30.5" customHeight="1" thickBot="1">
      <c r="A776" s="12"/>
      <c r="B776" s="108"/>
      <c r="C776" s="107" t="s">
        <v>506</v>
      </c>
      <c r="D776" s="100" t="s">
        <v>18</v>
      </c>
      <c r="E776" s="17">
        <v>729</v>
      </c>
      <c r="F776" s="18">
        <v>720</v>
      </c>
      <c r="G776" s="23"/>
      <c r="H776" s="22"/>
      <c r="I776" s="4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5" customHeight="1" thickBot="1">
      <c r="A777" s="12"/>
      <c r="B777" s="108"/>
      <c r="C777" s="106"/>
      <c r="D777" s="100" t="s">
        <v>20</v>
      </c>
      <c r="E777" s="17">
        <v>730</v>
      </c>
      <c r="F777" s="18">
        <v>720</v>
      </c>
      <c r="G777" s="23"/>
      <c r="H777" s="22"/>
      <c r="I777" s="4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5" customHeight="1" thickBot="1">
      <c r="A778" s="12"/>
      <c r="B778" s="108"/>
      <c r="C778" s="106"/>
      <c r="D778" s="100" t="s">
        <v>14</v>
      </c>
      <c r="E778" s="17">
        <v>731</v>
      </c>
      <c r="F778" s="18">
        <v>509</v>
      </c>
      <c r="G778" s="23"/>
      <c r="H778" s="22"/>
      <c r="I778" s="4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5" customHeight="1" thickBot="1">
      <c r="A779" s="12"/>
      <c r="B779" s="108"/>
      <c r="C779" s="107" t="s">
        <v>507</v>
      </c>
      <c r="D779" s="100" t="s">
        <v>18</v>
      </c>
      <c r="E779" s="17">
        <v>763</v>
      </c>
      <c r="F779" s="18">
        <v>720</v>
      </c>
      <c r="G779" s="23"/>
      <c r="H779" s="22"/>
      <c r="I779" s="4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5" customHeight="1" thickBot="1">
      <c r="A780" s="12"/>
      <c r="B780" s="108"/>
      <c r="C780" s="106"/>
      <c r="D780" s="100" t="s">
        <v>82</v>
      </c>
      <c r="E780" s="17">
        <v>764</v>
      </c>
      <c r="F780" s="18">
        <v>318</v>
      </c>
      <c r="G780" s="23"/>
      <c r="H780" s="22"/>
      <c r="I780" s="4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5" customHeight="1" thickBot="1">
      <c r="A781" s="12"/>
      <c r="B781" s="108"/>
      <c r="C781" s="106"/>
      <c r="D781" s="100" t="s">
        <v>14</v>
      </c>
      <c r="E781" s="17">
        <v>765</v>
      </c>
      <c r="F781" s="18">
        <v>509</v>
      </c>
      <c r="G781" s="23"/>
      <c r="H781" s="22"/>
      <c r="I781" s="4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30.5" customHeight="1" thickBot="1">
      <c r="A782" s="12"/>
      <c r="B782" s="108"/>
      <c r="C782" s="107" t="s">
        <v>508</v>
      </c>
      <c r="D782" s="100" t="s">
        <v>18</v>
      </c>
      <c r="E782" s="17">
        <v>789</v>
      </c>
      <c r="F782" s="18">
        <v>720</v>
      </c>
      <c r="G782" s="23"/>
      <c r="H782" s="22"/>
      <c r="I782" s="4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5" customHeight="1" thickBot="1">
      <c r="A783" s="12"/>
      <c r="B783" s="108"/>
      <c r="C783" s="107" t="s">
        <v>465</v>
      </c>
      <c r="D783" s="100" t="s">
        <v>18</v>
      </c>
      <c r="E783" s="17">
        <v>1115</v>
      </c>
      <c r="F783" s="18">
        <v>955</v>
      </c>
      <c r="G783" s="23"/>
      <c r="H783" s="22"/>
      <c r="I783" s="4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5" customHeight="1" thickBot="1">
      <c r="A784" s="12"/>
      <c r="B784" s="108"/>
      <c r="C784" s="107" t="s">
        <v>287</v>
      </c>
      <c r="D784" s="100" t="s">
        <v>20</v>
      </c>
      <c r="E784" s="17">
        <v>1116</v>
      </c>
      <c r="F784" s="18">
        <v>955</v>
      </c>
      <c r="G784" s="23"/>
      <c r="H784" s="22"/>
      <c r="I784" s="4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5" customHeight="1" thickBot="1">
      <c r="A785" s="12"/>
      <c r="B785" s="108"/>
      <c r="C785" s="106"/>
      <c r="D785" s="100" t="s">
        <v>14</v>
      </c>
      <c r="E785" s="17">
        <v>1117</v>
      </c>
      <c r="F785" s="18">
        <v>955</v>
      </c>
      <c r="G785" s="23"/>
      <c r="H785" s="22"/>
      <c r="I785" s="4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5" customHeight="1" thickBot="1">
      <c r="A786" s="12"/>
      <c r="B786" s="108"/>
      <c r="C786" s="106"/>
      <c r="D786" s="100" t="s">
        <v>60</v>
      </c>
      <c r="E786" s="17">
        <v>1118</v>
      </c>
      <c r="F786" s="18">
        <v>1273</v>
      </c>
      <c r="G786" s="23"/>
      <c r="H786" s="22"/>
      <c r="I786" s="4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5" customHeight="1" thickBot="1">
      <c r="A787" s="12"/>
      <c r="B787" s="108"/>
      <c r="C787" s="106"/>
      <c r="D787" s="100" t="s">
        <v>61</v>
      </c>
      <c r="E787" s="17">
        <v>1119</v>
      </c>
      <c r="F787" s="18">
        <v>1591</v>
      </c>
      <c r="G787" s="23"/>
      <c r="H787" s="22"/>
      <c r="I787" s="4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5" customHeight="1" thickBot="1">
      <c r="A788" s="12"/>
      <c r="B788" s="108"/>
      <c r="C788" s="106"/>
      <c r="D788" s="100" t="s">
        <v>509</v>
      </c>
      <c r="E788" s="17">
        <v>1120</v>
      </c>
      <c r="F788" s="18">
        <v>191</v>
      </c>
      <c r="G788" s="23"/>
      <c r="H788" s="22"/>
      <c r="I788" s="4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5" customHeight="1" thickBot="1">
      <c r="A789" s="12"/>
      <c r="B789" s="108"/>
      <c r="C789" s="106"/>
      <c r="D789" s="100" t="s">
        <v>510</v>
      </c>
      <c r="E789" s="17">
        <v>1372</v>
      </c>
      <c r="F789" s="18">
        <v>573</v>
      </c>
      <c r="G789" s="23"/>
      <c r="H789" s="22"/>
      <c r="I789" s="4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5" customHeight="1" thickBot="1">
      <c r="A790" s="12"/>
      <c r="B790" s="108"/>
      <c r="C790" s="107" t="s">
        <v>511</v>
      </c>
      <c r="D790" s="100" t="s">
        <v>60</v>
      </c>
      <c r="E790" s="17">
        <v>790</v>
      </c>
      <c r="F790" s="18">
        <v>955</v>
      </c>
      <c r="G790" s="23"/>
      <c r="H790" s="22"/>
      <c r="I790" s="4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5" customHeight="1" thickBot="1">
      <c r="A791" s="12"/>
      <c r="B791" s="108"/>
      <c r="C791" s="106"/>
      <c r="D791" s="100" t="s">
        <v>61</v>
      </c>
      <c r="E791" s="17">
        <v>791</v>
      </c>
      <c r="F791" s="18">
        <v>1145</v>
      </c>
      <c r="G791" s="23"/>
      <c r="H791" s="22"/>
      <c r="I791" s="4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30.5" customHeight="1" thickBot="1">
      <c r="A792" s="12"/>
      <c r="B792" s="108"/>
      <c r="C792" s="107" t="s">
        <v>512</v>
      </c>
      <c r="D792" s="100" t="s">
        <v>18</v>
      </c>
      <c r="E792" s="17">
        <v>823</v>
      </c>
      <c r="F792" s="18">
        <v>720</v>
      </c>
      <c r="G792" s="23"/>
      <c r="H792" s="22"/>
      <c r="I792" s="4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5" customHeight="1" thickBot="1">
      <c r="A793" s="12"/>
      <c r="B793" s="108"/>
      <c r="C793" s="106"/>
      <c r="D793" s="100" t="s">
        <v>20</v>
      </c>
      <c r="E793" s="17">
        <v>1644</v>
      </c>
      <c r="F793" s="18">
        <v>720</v>
      </c>
      <c r="G793" s="23"/>
      <c r="H793" s="22"/>
      <c r="I793" s="4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5" customHeight="1" thickBot="1">
      <c r="A794" s="12"/>
      <c r="B794" s="108"/>
      <c r="C794" s="107" t="s">
        <v>513</v>
      </c>
      <c r="D794" s="100" t="s">
        <v>14</v>
      </c>
      <c r="E794" s="17">
        <v>824</v>
      </c>
      <c r="F794" s="18">
        <v>509</v>
      </c>
      <c r="G794" s="23"/>
      <c r="H794" s="22"/>
      <c r="I794" s="4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5" customHeight="1" thickBot="1">
      <c r="A795" s="12"/>
      <c r="B795" s="108"/>
      <c r="C795" s="106"/>
      <c r="D795" s="100" t="s">
        <v>514</v>
      </c>
      <c r="E795" s="17">
        <v>1429</v>
      </c>
      <c r="F795" s="18">
        <v>445</v>
      </c>
      <c r="G795" s="23"/>
      <c r="H795" s="22"/>
      <c r="I795" s="4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5" customHeight="1" thickBot="1">
      <c r="A796" s="12"/>
      <c r="B796" s="109" t="s">
        <v>505</v>
      </c>
      <c r="C796" s="107" t="s">
        <v>515</v>
      </c>
      <c r="D796" s="100" t="s">
        <v>18</v>
      </c>
      <c r="E796" s="17">
        <v>991</v>
      </c>
      <c r="F796" s="18">
        <v>764</v>
      </c>
      <c r="G796" s="23"/>
      <c r="H796" s="22"/>
      <c r="I796" s="4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5" customHeight="1" thickBot="1">
      <c r="A797" s="12"/>
      <c r="B797" s="108"/>
      <c r="C797" s="106"/>
      <c r="D797" s="100" t="s">
        <v>82</v>
      </c>
      <c r="E797" s="17">
        <v>992</v>
      </c>
      <c r="F797" s="18">
        <v>509</v>
      </c>
      <c r="G797" s="23"/>
      <c r="H797" s="22"/>
      <c r="I797" s="4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5" customHeight="1" thickBot="1">
      <c r="A798" s="12"/>
      <c r="B798" s="108"/>
      <c r="C798" s="106"/>
      <c r="D798" s="100" t="s">
        <v>14</v>
      </c>
      <c r="E798" s="17">
        <v>993</v>
      </c>
      <c r="F798" s="18">
        <v>573</v>
      </c>
      <c r="G798" s="23"/>
      <c r="H798" s="22"/>
      <c r="I798" s="4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5" customHeight="1" thickBot="1">
      <c r="A799" s="12"/>
      <c r="B799" s="108"/>
      <c r="C799" s="106"/>
      <c r="D799" s="100" t="s">
        <v>26</v>
      </c>
      <c r="E799" s="17">
        <v>994</v>
      </c>
      <c r="F799" s="18">
        <v>1095</v>
      </c>
      <c r="G799" s="23"/>
      <c r="H799" s="22"/>
      <c r="I799" s="4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5" customHeight="1" thickBot="1">
      <c r="A800" s="12"/>
      <c r="B800" s="108"/>
      <c r="C800" s="107" t="s">
        <v>516</v>
      </c>
      <c r="D800" s="100" t="s">
        <v>18</v>
      </c>
      <c r="E800" s="17">
        <v>952</v>
      </c>
      <c r="F800" s="18">
        <v>764</v>
      </c>
      <c r="G800" s="23"/>
      <c r="H800" s="22"/>
      <c r="I800" s="4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5" customHeight="1" thickBot="1">
      <c r="A801" s="12"/>
      <c r="B801" s="108"/>
      <c r="C801" s="107" t="s">
        <v>287</v>
      </c>
      <c r="D801" s="100" t="s">
        <v>82</v>
      </c>
      <c r="E801" s="17">
        <v>953</v>
      </c>
      <c r="F801" s="18">
        <v>573</v>
      </c>
      <c r="G801" s="23"/>
      <c r="H801" s="22"/>
      <c r="I801" s="4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5" customHeight="1" thickBot="1">
      <c r="A802" s="12"/>
      <c r="B802" s="108"/>
      <c r="C802" s="107" t="s">
        <v>517</v>
      </c>
      <c r="D802" s="100" t="s">
        <v>14</v>
      </c>
      <c r="E802" s="17">
        <v>954</v>
      </c>
      <c r="F802" s="18">
        <v>764</v>
      </c>
      <c r="G802" s="23"/>
      <c r="H802" s="22"/>
      <c r="I802" s="4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5" customHeight="1" thickBot="1">
      <c r="A803" s="12"/>
      <c r="B803" s="108"/>
      <c r="C803" s="107" t="s">
        <v>518</v>
      </c>
      <c r="D803" s="100" t="s">
        <v>26</v>
      </c>
      <c r="E803" s="17">
        <v>955</v>
      </c>
      <c r="F803" s="18">
        <v>1095</v>
      </c>
      <c r="G803" s="23"/>
      <c r="H803" s="22"/>
      <c r="I803" s="4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5" customHeight="1" thickBot="1">
      <c r="A804" s="12"/>
      <c r="B804" s="108"/>
      <c r="C804" s="106"/>
      <c r="D804" s="100" t="s">
        <v>60</v>
      </c>
      <c r="E804" s="17">
        <v>956</v>
      </c>
      <c r="F804" s="18">
        <v>1145</v>
      </c>
      <c r="G804" s="23"/>
      <c r="H804" s="22"/>
      <c r="I804" s="4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5" customHeight="1" thickBot="1">
      <c r="A805" s="12"/>
      <c r="B805" s="108"/>
      <c r="C805" s="106"/>
      <c r="D805" s="100" t="s">
        <v>61</v>
      </c>
      <c r="E805" s="17">
        <v>957</v>
      </c>
      <c r="F805" s="18">
        <v>955</v>
      </c>
      <c r="G805" s="23"/>
      <c r="H805" s="22"/>
      <c r="I805" s="4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5" customHeight="1" thickBot="1">
      <c r="A806" s="12"/>
      <c r="B806" s="108"/>
      <c r="C806" s="106"/>
      <c r="D806" s="100" t="s">
        <v>22</v>
      </c>
      <c r="E806" s="17">
        <v>958</v>
      </c>
      <c r="F806" s="18">
        <v>955</v>
      </c>
      <c r="G806" s="23"/>
      <c r="H806" s="22"/>
      <c r="I806" s="4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5" customHeight="1" thickBot="1">
      <c r="A807" s="12"/>
      <c r="B807" s="108"/>
      <c r="C807" s="106"/>
      <c r="D807" s="100" t="s">
        <v>509</v>
      </c>
      <c r="E807" s="17">
        <v>959</v>
      </c>
      <c r="F807" s="18">
        <v>191</v>
      </c>
      <c r="G807" s="23"/>
      <c r="H807" s="22"/>
      <c r="I807" s="4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5" customHeight="1" thickBot="1">
      <c r="A808" s="12"/>
      <c r="B808" s="108"/>
      <c r="C808" s="107" t="s">
        <v>358</v>
      </c>
      <c r="D808" s="100" t="s">
        <v>26</v>
      </c>
      <c r="E808" s="17">
        <v>1010</v>
      </c>
      <c r="F808" s="18">
        <v>1095</v>
      </c>
      <c r="G808" s="23"/>
      <c r="H808" s="22"/>
      <c r="I808" s="4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5" customHeight="1" thickBot="1">
      <c r="A809" s="12"/>
      <c r="B809" s="108"/>
      <c r="C809" s="107" t="s">
        <v>519</v>
      </c>
      <c r="D809" s="100" t="s">
        <v>29</v>
      </c>
      <c r="E809" s="17">
        <v>1011</v>
      </c>
      <c r="F809" s="18">
        <v>1295</v>
      </c>
      <c r="G809" s="23"/>
      <c r="H809" s="22"/>
      <c r="I809" s="4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5" customHeight="1" thickBot="1">
      <c r="A810" s="12"/>
      <c r="B810" s="108"/>
      <c r="C810" s="107" t="s">
        <v>520</v>
      </c>
      <c r="D810" s="100" t="s">
        <v>14</v>
      </c>
      <c r="E810" s="17">
        <v>1012</v>
      </c>
      <c r="F810" s="18">
        <v>764</v>
      </c>
      <c r="G810" s="23"/>
      <c r="H810" s="22"/>
      <c r="I810" s="4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5" customHeight="1" thickBot="1">
      <c r="A811" s="12"/>
      <c r="B811" s="108"/>
      <c r="C811" s="107" t="s">
        <v>358</v>
      </c>
      <c r="D811" s="100" t="s">
        <v>18</v>
      </c>
      <c r="E811" s="17">
        <v>995</v>
      </c>
      <c r="F811" s="18">
        <v>764</v>
      </c>
      <c r="G811" s="23"/>
      <c r="H811" s="22"/>
      <c r="I811" s="4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5" customHeight="1" thickBot="1">
      <c r="A812" s="12"/>
      <c r="B812" s="108"/>
      <c r="C812" s="107" t="s">
        <v>287</v>
      </c>
      <c r="D812" s="100" t="s">
        <v>20</v>
      </c>
      <c r="E812" s="17">
        <v>996</v>
      </c>
      <c r="F812" s="18">
        <v>764</v>
      </c>
      <c r="G812" s="23"/>
      <c r="H812" s="22"/>
      <c r="I812" s="4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5" customHeight="1" thickBot="1">
      <c r="A813" s="12"/>
      <c r="B813" s="108"/>
      <c r="C813" s="107" t="s">
        <v>521</v>
      </c>
      <c r="D813" s="100" t="s">
        <v>14</v>
      </c>
      <c r="E813" s="17">
        <v>997</v>
      </c>
      <c r="F813" s="18">
        <v>573</v>
      </c>
      <c r="G813" s="23"/>
      <c r="H813" s="22"/>
      <c r="I813" s="4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5" customHeight="1" thickBot="1">
      <c r="A814" s="12"/>
      <c r="B814" s="108"/>
      <c r="C814" s="106"/>
      <c r="D814" s="100" t="s">
        <v>22</v>
      </c>
      <c r="E814" s="17">
        <v>998</v>
      </c>
      <c r="F814" s="18">
        <v>955</v>
      </c>
      <c r="G814" s="23"/>
      <c r="H814" s="22"/>
      <c r="I814" s="4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5" customHeight="1" thickBot="1">
      <c r="A815" s="12"/>
      <c r="B815" s="108"/>
      <c r="C815" s="106"/>
      <c r="D815" s="100" t="s">
        <v>60</v>
      </c>
      <c r="E815" s="17">
        <v>999</v>
      </c>
      <c r="F815" s="18">
        <v>636</v>
      </c>
      <c r="G815" s="23"/>
      <c r="H815" s="22"/>
      <c r="I815" s="4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5" customHeight="1" thickBot="1">
      <c r="A816" s="12"/>
      <c r="B816" s="108"/>
      <c r="C816" s="106"/>
      <c r="D816" s="100" t="s">
        <v>61</v>
      </c>
      <c r="E816" s="17">
        <v>1000</v>
      </c>
      <c r="F816" s="18">
        <v>636</v>
      </c>
      <c r="G816" s="23"/>
      <c r="H816" s="22"/>
      <c r="I816" s="4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5" customHeight="1" thickBot="1">
      <c r="A817" s="12"/>
      <c r="B817" s="108"/>
      <c r="C817" s="106"/>
      <c r="D817" s="100" t="s">
        <v>29</v>
      </c>
      <c r="E817" s="17">
        <v>1001</v>
      </c>
      <c r="F817" s="18">
        <v>1295</v>
      </c>
      <c r="G817" s="23"/>
      <c r="H817" s="22"/>
      <c r="I817" s="4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5" customHeight="1" thickBot="1">
      <c r="A818" s="12"/>
      <c r="B818" s="108"/>
      <c r="C818" s="107" t="s">
        <v>522</v>
      </c>
      <c r="D818" s="100" t="s">
        <v>18</v>
      </c>
      <c r="E818" s="17">
        <v>1048</v>
      </c>
      <c r="F818" s="18">
        <v>764</v>
      </c>
      <c r="G818" s="23"/>
      <c r="H818" s="22"/>
      <c r="I818" s="4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5" customHeight="1" thickBot="1">
      <c r="A819" s="12"/>
      <c r="B819" s="108"/>
      <c r="C819" s="106"/>
      <c r="D819" s="100" t="s">
        <v>20</v>
      </c>
      <c r="E819" s="17">
        <v>1384</v>
      </c>
      <c r="F819" s="18">
        <v>764</v>
      </c>
      <c r="G819" s="23"/>
      <c r="H819" s="22"/>
      <c r="I819" s="4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5" customHeight="1" thickBot="1">
      <c r="A820" s="12"/>
      <c r="B820" s="108"/>
      <c r="C820" s="106"/>
      <c r="D820" s="100" t="s">
        <v>14</v>
      </c>
      <c r="E820" s="17">
        <v>1049</v>
      </c>
      <c r="F820" s="18">
        <v>573</v>
      </c>
      <c r="G820" s="23"/>
      <c r="H820" s="22"/>
      <c r="I820" s="4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5" customHeight="1" thickBot="1">
      <c r="A821" s="12"/>
      <c r="B821" s="108"/>
      <c r="C821" s="106"/>
      <c r="D821" s="100" t="s">
        <v>22</v>
      </c>
      <c r="E821" s="17">
        <v>1385</v>
      </c>
      <c r="F821" s="18">
        <v>573</v>
      </c>
      <c r="G821" s="23"/>
      <c r="H821" s="22"/>
      <c r="I821" s="4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5" customHeight="1" thickBot="1">
      <c r="A822" s="12"/>
      <c r="B822" s="108"/>
      <c r="C822" s="106"/>
      <c r="D822" s="100" t="s">
        <v>22</v>
      </c>
      <c r="E822" s="17">
        <v>1458</v>
      </c>
      <c r="F822" s="18">
        <v>573</v>
      </c>
      <c r="G822" s="23"/>
      <c r="H822" s="22"/>
      <c r="I822" s="4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5" customHeight="1" thickBot="1">
      <c r="A823" s="12"/>
      <c r="B823" s="108"/>
      <c r="C823" s="107" t="s">
        <v>517</v>
      </c>
      <c r="D823" s="100" t="s">
        <v>22</v>
      </c>
      <c r="E823" s="17">
        <v>1058</v>
      </c>
      <c r="F823" s="18">
        <v>764</v>
      </c>
      <c r="G823" s="23"/>
      <c r="H823" s="22"/>
      <c r="I823" s="4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5" customHeight="1" thickBot="1">
      <c r="A824" s="12"/>
      <c r="B824" s="108"/>
      <c r="C824" s="106"/>
      <c r="D824" s="100" t="s">
        <v>523</v>
      </c>
      <c r="E824" s="17">
        <v>1070</v>
      </c>
      <c r="F824" s="18">
        <v>795</v>
      </c>
      <c r="G824" s="23"/>
      <c r="H824" s="22"/>
      <c r="I824" s="4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5" customHeight="1" thickBot="1">
      <c r="A825" s="12"/>
      <c r="B825" s="109" t="s">
        <v>524</v>
      </c>
      <c r="C825" s="107" t="s">
        <v>525</v>
      </c>
      <c r="D825" s="100" t="s">
        <v>410</v>
      </c>
      <c r="E825" s="17">
        <v>1267</v>
      </c>
      <c r="F825" s="18">
        <v>795</v>
      </c>
      <c r="G825" s="23"/>
      <c r="H825" s="22"/>
      <c r="I825" s="4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5" customHeight="1" thickBot="1">
      <c r="A826" s="12"/>
      <c r="B826" s="108"/>
      <c r="C826" s="107" t="s">
        <v>526</v>
      </c>
      <c r="D826" s="100" t="s">
        <v>411</v>
      </c>
      <c r="E826" s="17">
        <v>1268</v>
      </c>
      <c r="F826" s="18">
        <v>795</v>
      </c>
      <c r="G826" s="23"/>
      <c r="H826" s="22"/>
      <c r="I826" s="4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5" customHeight="1" thickBot="1">
      <c r="A827" s="12"/>
      <c r="B827" s="109" t="s">
        <v>524</v>
      </c>
      <c r="C827" s="107" t="s">
        <v>527</v>
      </c>
      <c r="D827" s="100" t="s">
        <v>29</v>
      </c>
      <c r="E827" s="17">
        <v>1262</v>
      </c>
      <c r="F827" s="18">
        <v>1295</v>
      </c>
      <c r="G827" s="23"/>
      <c r="H827" s="22"/>
      <c r="I827" s="4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5" customHeight="1" thickBot="1">
      <c r="A828" s="12"/>
      <c r="B828" s="108"/>
      <c r="C828" s="107" t="s">
        <v>287</v>
      </c>
      <c r="D828" s="100"/>
      <c r="E828" s="13"/>
      <c r="F828" s="18">
        <v>0</v>
      </c>
      <c r="G828" s="23"/>
      <c r="H828" s="22"/>
      <c r="I828" s="4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5" customHeight="1" thickBot="1">
      <c r="A829" s="12"/>
      <c r="B829" s="109" t="s">
        <v>524</v>
      </c>
      <c r="C829" s="107" t="s">
        <v>528</v>
      </c>
      <c r="D829" s="100" t="s">
        <v>18</v>
      </c>
      <c r="E829" s="17">
        <v>1425</v>
      </c>
      <c r="F829" s="18">
        <v>955</v>
      </c>
      <c r="G829" s="23"/>
      <c r="H829" s="22"/>
      <c r="I829" s="4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5" customHeight="1" thickBot="1">
      <c r="A830" s="12"/>
      <c r="B830" s="108"/>
      <c r="C830" s="106"/>
      <c r="D830" s="100" t="s">
        <v>60</v>
      </c>
      <c r="E830" s="17">
        <v>1426</v>
      </c>
      <c r="F830" s="18">
        <v>1591</v>
      </c>
      <c r="G830" s="23"/>
      <c r="H830" s="22"/>
      <c r="I830" s="4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5" customHeight="1" thickBot="1">
      <c r="A831" s="12"/>
      <c r="B831" s="108"/>
      <c r="C831" s="106"/>
      <c r="D831" s="100" t="s">
        <v>20</v>
      </c>
      <c r="E831" s="17">
        <v>1201</v>
      </c>
      <c r="F831" s="18">
        <v>955</v>
      </c>
      <c r="G831" s="23"/>
      <c r="H831" s="22"/>
      <c r="I831" s="4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5" customHeight="1" thickBot="1">
      <c r="A832" s="12"/>
      <c r="B832" s="108"/>
      <c r="C832" s="106"/>
      <c r="D832" s="100" t="s">
        <v>14</v>
      </c>
      <c r="E832" s="17">
        <v>954</v>
      </c>
      <c r="F832" s="18">
        <v>764</v>
      </c>
      <c r="G832" s="23"/>
      <c r="H832" s="22"/>
      <c r="I832" s="4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5" customHeight="1" thickBot="1">
      <c r="A833" s="12"/>
      <c r="B833" s="108"/>
      <c r="C833" s="106"/>
      <c r="D833" s="100" t="s">
        <v>26</v>
      </c>
      <c r="E833" s="17">
        <v>955</v>
      </c>
      <c r="F833" s="18">
        <v>1095</v>
      </c>
      <c r="G833" s="23"/>
      <c r="H833" s="22"/>
      <c r="I833" s="4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5" customHeight="1" thickBot="1">
      <c r="A834" s="12"/>
      <c r="B834" s="108"/>
      <c r="C834" s="106"/>
      <c r="D834" s="100" t="s">
        <v>61</v>
      </c>
      <c r="E834" s="17">
        <v>957</v>
      </c>
      <c r="F834" s="18">
        <v>955</v>
      </c>
      <c r="G834" s="23"/>
      <c r="H834" s="22"/>
      <c r="I834" s="4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5" customHeight="1" thickBot="1">
      <c r="A835" s="12"/>
      <c r="B835" s="108"/>
      <c r="C835" s="106"/>
      <c r="D835" s="100" t="s">
        <v>22</v>
      </c>
      <c r="E835" s="17">
        <v>958</v>
      </c>
      <c r="F835" s="18">
        <v>955</v>
      </c>
      <c r="G835" s="23"/>
      <c r="H835" s="22"/>
      <c r="I835" s="4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5" customHeight="1" thickBot="1">
      <c r="A836" s="12"/>
      <c r="B836" s="108"/>
      <c r="C836" s="106"/>
      <c r="D836" s="100" t="s">
        <v>201</v>
      </c>
      <c r="E836" s="17">
        <v>959</v>
      </c>
      <c r="F836" s="18">
        <v>191</v>
      </c>
      <c r="G836" s="23"/>
      <c r="H836" s="22"/>
      <c r="I836" s="4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5" customHeight="1" thickBot="1">
      <c r="A837" s="12"/>
      <c r="B837" s="109" t="s">
        <v>524</v>
      </c>
      <c r="C837" s="107" t="s">
        <v>386</v>
      </c>
      <c r="D837" s="100" t="s">
        <v>12</v>
      </c>
      <c r="E837" s="17">
        <v>1455</v>
      </c>
      <c r="F837" s="18">
        <v>1145</v>
      </c>
      <c r="G837" s="23"/>
      <c r="H837" s="22"/>
      <c r="I837" s="4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5" customHeight="1" thickBot="1">
      <c r="A838" s="12"/>
      <c r="B838" s="109" t="s">
        <v>505</v>
      </c>
      <c r="C838" s="107" t="s">
        <v>529</v>
      </c>
      <c r="D838" s="100" t="s">
        <v>18</v>
      </c>
      <c r="E838" s="17">
        <v>1527</v>
      </c>
      <c r="F838" s="18">
        <v>764</v>
      </c>
      <c r="G838" s="23"/>
      <c r="H838" s="22"/>
      <c r="I838" s="4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5" customHeight="1" thickBot="1">
      <c r="A839" s="12"/>
      <c r="B839" s="108"/>
      <c r="C839" s="106"/>
      <c r="D839" s="100" t="s">
        <v>20</v>
      </c>
      <c r="E839" s="17">
        <v>1528</v>
      </c>
      <c r="F839" s="18">
        <v>720</v>
      </c>
      <c r="G839" s="23"/>
      <c r="H839" s="22"/>
      <c r="I839" s="4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5" customHeight="1" thickBot="1">
      <c r="A840" s="12"/>
      <c r="B840" s="108"/>
      <c r="C840" s="106"/>
      <c r="D840" s="100" t="s">
        <v>14</v>
      </c>
      <c r="E840" s="17">
        <v>1529</v>
      </c>
      <c r="F840" s="18">
        <v>573</v>
      </c>
      <c r="G840" s="23"/>
      <c r="H840" s="22"/>
      <c r="I840" s="4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5" customHeight="1" thickBot="1">
      <c r="A841" s="12"/>
      <c r="B841" s="108"/>
      <c r="C841" s="106"/>
      <c r="D841" s="100" t="s">
        <v>26</v>
      </c>
      <c r="E841" s="17">
        <v>1532</v>
      </c>
      <c r="F841" s="18">
        <v>1095</v>
      </c>
      <c r="G841" s="23"/>
      <c r="H841" s="22"/>
      <c r="I841" s="4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5" customHeight="1" thickBot="1">
      <c r="A842" s="12"/>
      <c r="B842" s="108"/>
      <c r="C842" s="106"/>
      <c r="D842" s="100" t="s">
        <v>29</v>
      </c>
      <c r="E842" s="17">
        <v>1594</v>
      </c>
      <c r="F842" s="18">
        <v>1295</v>
      </c>
      <c r="G842" s="23"/>
      <c r="H842" s="22"/>
      <c r="I842" s="4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5" customHeight="1" thickBot="1">
      <c r="A843" s="12"/>
      <c r="B843" s="108"/>
      <c r="C843" s="106"/>
      <c r="D843" s="100" t="s">
        <v>60</v>
      </c>
      <c r="E843" s="17">
        <v>1530</v>
      </c>
      <c r="F843" s="18">
        <v>1273</v>
      </c>
      <c r="G843" s="23"/>
      <c r="H843" s="22"/>
      <c r="I843" s="4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5" customHeight="1" thickBot="1">
      <c r="A844" s="12"/>
      <c r="B844" s="108"/>
      <c r="C844" s="106"/>
      <c r="D844" s="100" t="s">
        <v>530</v>
      </c>
      <c r="E844" s="17">
        <v>1534</v>
      </c>
      <c r="F844" s="18">
        <v>1591</v>
      </c>
      <c r="G844" s="23"/>
      <c r="H844" s="22"/>
      <c r="I844" s="4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5" customHeight="1" thickBot="1">
      <c r="A845" s="12"/>
      <c r="B845" s="108"/>
      <c r="C845" s="106"/>
      <c r="D845" s="100" t="s">
        <v>61</v>
      </c>
      <c r="E845" s="17">
        <v>1531</v>
      </c>
      <c r="F845" s="18">
        <v>1273</v>
      </c>
      <c r="G845" s="23"/>
      <c r="H845" s="22"/>
      <c r="I845" s="4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5" customHeight="1" thickBot="1">
      <c r="A846" s="12"/>
      <c r="B846" s="108"/>
      <c r="C846" s="106"/>
      <c r="D846" s="100" t="s">
        <v>55</v>
      </c>
      <c r="E846" s="17">
        <v>1567</v>
      </c>
      <c r="F846" s="18">
        <v>795</v>
      </c>
      <c r="G846" s="23"/>
      <c r="H846" s="22"/>
      <c r="I846" s="4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5" customHeight="1" thickBot="1">
      <c r="A847" s="12"/>
      <c r="B847" s="108"/>
      <c r="C847" s="106"/>
      <c r="D847" s="100" t="s">
        <v>531</v>
      </c>
      <c r="E847" s="17">
        <v>1568</v>
      </c>
      <c r="F847" s="18">
        <v>573</v>
      </c>
      <c r="G847" s="23"/>
      <c r="H847" s="22"/>
      <c r="I847" s="4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5" customHeight="1" thickBot="1">
      <c r="A848" s="12"/>
      <c r="B848" s="108"/>
      <c r="C848" s="106"/>
      <c r="D848" s="100" t="s">
        <v>532</v>
      </c>
      <c r="E848" s="17">
        <v>1569</v>
      </c>
      <c r="F848" s="18">
        <v>573</v>
      </c>
      <c r="G848" s="23"/>
      <c r="H848" s="22"/>
      <c r="I848" s="4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5" customHeight="1" thickBot="1">
      <c r="A849" s="12"/>
      <c r="B849" s="108"/>
      <c r="C849" s="106"/>
      <c r="D849" s="100" t="s">
        <v>200</v>
      </c>
      <c r="E849" s="17">
        <v>1199</v>
      </c>
      <c r="F849" s="18">
        <v>2864</v>
      </c>
      <c r="G849" s="23"/>
      <c r="H849" s="22"/>
      <c r="I849" s="4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5" customHeight="1" thickBot="1">
      <c r="A850" s="12"/>
      <c r="B850" s="109" t="s">
        <v>505</v>
      </c>
      <c r="C850" s="107" t="s">
        <v>533</v>
      </c>
      <c r="D850" s="100" t="s">
        <v>18</v>
      </c>
      <c r="E850" s="17">
        <v>2313</v>
      </c>
      <c r="F850" s="18">
        <v>764</v>
      </c>
      <c r="G850" s="23"/>
      <c r="H850" s="22"/>
      <c r="I850" s="4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5" customHeight="1" thickBot="1">
      <c r="A851" s="12"/>
      <c r="B851" s="108"/>
      <c r="C851" s="107" t="s">
        <v>534</v>
      </c>
      <c r="D851" s="100" t="s">
        <v>20</v>
      </c>
      <c r="E851" s="17">
        <v>2314</v>
      </c>
      <c r="F851" s="18">
        <v>720</v>
      </c>
      <c r="G851" s="23"/>
      <c r="H851" s="22"/>
      <c r="I851" s="4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5" customHeight="1" thickBot="1">
      <c r="A852" s="12"/>
      <c r="B852" s="108"/>
      <c r="C852" s="106"/>
      <c r="D852" s="100" t="s">
        <v>14</v>
      </c>
      <c r="E852" s="17">
        <v>2316</v>
      </c>
      <c r="F852" s="18">
        <v>573</v>
      </c>
      <c r="G852" s="23"/>
      <c r="H852" s="22"/>
      <c r="I852" s="4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5" customHeight="1" thickBot="1">
      <c r="A853" s="12"/>
      <c r="B853" s="109" t="s">
        <v>505</v>
      </c>
      <c r="C853" s="107" t="s">
        <v>68</v>
      </c>
      <c r="D853" s="100" t="s">
        <v>18</v>
      </c>
      <c r="E853" s="17">
        <v>2030</v>
      </c>
      <c r="F853" s="18">
        <v>720</v>
      </c>
      <c r="G853" s="23"/>
      <c r="H853" s="22"/>
      <c r="I853" s="4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5" customHeight="1" thickBot="1">
      <c r="A854" s="12"/>
      <c r="B854" s="108"/>
      <c r="C854" s="107" t="s">
        <v>535</v>
      </c>
      <c r="D854" s="100" t="s">
        <v>18</v>
      </c>
      <c r="E854" s="17">
        <v>2310</v>
      </c>
      <c r="F854" s="18">
        <v>720</v>
      </c>
      <c r="G854" s="23"/>
      <c r="H854" s="22"/>
      <c r="I854" s="4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5" customHeight="1" thickBot="1">
      <c r="A855" s="12"/>
      <c r="B855" s="108"/>
      <c r="C855" s="107" t="s">
        <v>344</v>
      </c>
      <c r="D855" s="100" t="s">
        <v>20</v>
      </c>
      <c r="E855" s="17">
        <v>2031</v>
      </c>
      <c r="F855" s="18">
        <v>720</v>
      </c>
      <c r="G855" s="23"/>
      <c r="H855" s="22"/>
      <c r="I855" s="4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5" customHeight="1" thickBot="1">
      <c r="A856" s="12"/>
      <c r="B856" s="108"/>
      <c r="C856" s="106"/>
      <c r="D856" s="100" t="s">
        <v>14</v>
      </c>
      <c r="E856" s="17">
        <v>2032</v>
      </c>
      <c r="F856" s="18">
        <v>509</v>
      </c>
      <c r="G856" s="23"/>
      <c r="H856" s="22"/>
      <c r="I856" s="4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5" customHeight="1" thickBot="1">
      <c r="A857" s="12"/>
      <c r="B857" s="108"/>
      <c r="C857" s="106"/>
      <c r="D857" s="100" t="s">
        <v>26</v>
      </c>
      <c r="E857" s="17">
        <v>2034</v>
      </c>
      <c r="F857" s="18">
        <v>1095</v>
      </c>
      <c r="G857" s="23"/>
      <c r="H857" s="22"/>
      <c r="I857" s="4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5" customHeight="1" thickBot="1">
      <c r="A858" s="12"/>
      <c r="B858" s="108"/>
      <c r="C858" s="106"/>
      <c r="D858" s="100" t="s">
        <v>29</v>
      </c>
      <c r="E858" s="17">
        <v>2033</v>
      </c>
      <c r="F858" s="18">
        <v>1295</v>
      </c>
      <c r="G858" s="23"/>
      <c r="H858" s="22"/>
      <c r="I858" s="4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5" customHeight="1" thickBot="1">
      <c r="A859" s="12"/>
      <c r="B859" s="108"/>
      <c r="C859" s="106"/>
      <c r="D859" s="100" t="s">
        <v>55</v>
      </c>
      <c r="E859" s="13"/>
      <c r="F859" s="18">
        <v>795</v>
      </c>
      <c r="G859" s="23"/>
      <c r="H859" s="22"/>
      <c r="I859" s="4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5" customHeight="1" thickBot="1">
      <c r="A860" s="12"/>
      <c r="B860" s="108"/>
      <c r="C860" s="106"/>
      <c r="D860" s="100" t="s">
        <v>60</v>
      </c>
      <c r="E860" s="17">
        <v>2026</v>
      </c>
      <c r="F860" s="18">
        <v>2227</v>
      </c>
      <c r="G860" s="23"/>
      <c r="H860" s="22"/>
      <c r="I860" s="4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5" customHeight="1" thickBot="1">
      <c r="A861" s="12"/>
      <c r="B861" s="108"/>
      <c r="C861" s="106"/>
      <c r="D861" s="100" t="s">
        <v>536</v>
      </c>
      <c r="E861" s="17">
        <v>2029</v>
      </c>
      <c r="F861" s="18">
        <v>1295</v>
      </c>
      <c r="G861" s="23"/>
      <c r="H861" s="22"/>
      <c r="I861" s="4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5" customHeight="1" thickBot="1">
      <c r="A862" s="12"/>
      <c r="B862" s="108"/>
      <c r="C862" s="106"/>
      <c r="D862" s="100" t="s">
        <v>61</v>
      </c>
      <c r="E862" s="17">
        <v>2027</v>
      </c>
      <c r="F862" s="18">
        <v>2227</v>
      </c>
      <c r="G862" s="23"/>
      <c r="H862" s="22"/>
      <c r="I862" s="4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5" customHeight="1" thickBot="1">
      <c r="A863" s="12"/>
      <c r="B863" s="108"/>
      <c r="C863" s="106"/>
      <c r="D863" s="100" t="s">
        <v>200</v>
      </c>
      <c r="E863" s="17">
        <v>2035</v>
      </c>
      <c r="F863" s="18">
        <v>2864</v>
      </c>
      <c r="G863" s="23"/>
      <c r="H863" s="22"/>
      <c r="I863" s="4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5" customHeight="1" thickBot="1">
      <c r="A864" s="12"/>
      <c r="B864" s="108"/>
      <c r="C864" s="107" t="s">
        <v>537</v>
      </c>
      <c r="D864" s="100" t="s">
        <v>206</v>
      </c>
      <c r="E864" s="17">
        <v>2028</v>
      </c>
      <c r="F864" s="18">
        <v>573</v>
      </c>
      <c r="G864" s="23"/>
      <c r="H864" s="22"/>
      <c r="I864" s="4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5" customHeight="1" thickBot="1">
      <c r="A865" s="12"/>
      <c r="B865" s="108"/>
      <c r="C865" s="107" t="s">
        <v>538</v>
      </c>
      <c r="D865" s="100" t="s">
        <v>273</v>
      </c>
      <c r="E865" s="17">
        <v>2036</v>
      </c>
      <c r="F865" s="18">
        <v>764</v>
      </c>
      <c r="G865" s="23"/>
      <c r="H865" s="22"/>
      <c r="I865" s="4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5" customHeight="1" thickBot="1">
      <c r="A866" s="12"/>
      <c r="B866" s="109" t="s">
        <v>524</v>
      </c>
      <c r="C866" s="107" t="s">
        <v>539</v>
      </c>
      <c r="D866" s="100" t="s">
        <v>18</v>
      </c>
      <c r="E866" s="17">
        <v>2310</v>
      </c>
      <c r="F866" s="18">
        <v>955</v>
      </c>
      <c r="G866" s="23"/>
      <c r="H866" s="22"/>
      <c r="I866" s="4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5" customHeight="1" thickBot="1">
      <c r="A867" s="12"/>
      <c r="B867" s="108"/>
      <c r="C867" s="107" t="s">
        <v>540</v>
      </c>
      <c r="D867" s="100" t="s">
        <v>20</v>
      </c>
      <c r="E867" s="17">
        <v>3115</v>
      </c>
      <c r="F867" s="18">
        <v>955</v>
      </c>
      <c r="G867" s="23"/>
      <c r="H867" s="22"/>
      <c r="I867" s="4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5" customHeight="1" thickBot="1">
      <c r="A868" s="12"/>
      <c r="B868" s="108"/>
      <c r="C868" s="106"/>
      <c r="D868" s="100" t="s">
        <v>26</v>
      </c>
      <c r="E868" s="17">
        <v>3418</v>
      </c>
      <c r="F868" s="18">
        <v>1095</v>
      </c>
      <c r="G868" s="23"/>
      <c r="H868" s="22"/>
      <c r="I868" s="4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5" customHeight="1" thickBot="1">
      <c r="A869" s="12"/>
      <c r="B869" s="108"/>
      <c r="C869" s="106"/>
      <c r="D869" s="100" t="s">
        <v>14</v>
      </c>
      <c r="E869" s="17">
        <v>3116</v>
      </c>
      <c r="F869" s="18">
        <v>955</v>
      </c>
      <c r="G869" s="23"/>
      <c r="H869" s="22"/>
      <c r="I869" s="4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5" customHeight="1" thickBot="1">
      <c r="A870" s="12"/>
      <c r="B870" s="108"/>
      <c r="C870" s="106"/>
      <c r="D870" s="100" t="s">
        <v>22</v>
      </c>
      <c r="E870" s="17">
        <v>3117</v>
      </c>
      <c r="F870" s="18">
        <v>955</v>
      </c>
      <c r="G870" s="23"/>
      <c r="H870" s="22"/>
      <c r="I870" s="4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5" customHeight="1" thickBot="1">
      <c r="A871" s="12"/>
      <c r="B871" s="109" t="s">
        <v>524</v>
      </c>
      <c r="C871" s="107" t="s">
        <v>541</v>
      </c>
      <c r="D871" s="100" t="s">
        <v>29</v>
      </c>
      <c r="E871" s="17">
        <v>3257</v>
      </c>
      <c r="F871" s="18">
        <v>1295</v>
      </c>
      <c r="G871" s="23"/>
      <c r="H871" s="22"/>
      <c r="I871" s="4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5" customHeight="1" thickBot="1">
      <c r="A872" s="12"/>
      <c r="B872" s="109" t="s">
        <v>524</v>
      </c>
      <c r="C872" s="107" t="s">
        <v>68</v>
      </c>
      <c r="D872" s="100" t="s">
        <v>542</v>
      </c>
      <c r="E872" s="17">
        <v>3377</v>
      </c>
      <c r="F872" s="18">
        <v>1145</v>
      </c>
      <c r="G872" s="23"/>
      <c r="H872" s="22"/>
      <c r="I872" s="4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5" customHeight="1" thickBot="1">
      <c r="A873" s="12"/>
      <c r="B873" s="109" t="s">
        <v>543</v>
      </c>
      <c r="C873" s="107" t="s">
        <v>544</v>
      </c>
      <c r="D873" s="100" t="s">
        <v>18</v>
      </c>
      <c r="E873" s="17">
        <v>1200</v>
      </c>
      <c r="F873" s="18">
        <v>955</v>
      </c>
      <c r="G873" s="23"/>
      <c r="H873" s="22"/>
      <c r="I873" s="4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5" customHeight="1" thickBot="1">
      <c r="A874" s="12"/>
      <c r="B874" s="108"/>
      <c r="C874" s="106"/>
      <c r="D874" s="100" t="s">
        <v>20</v>
      </c>
      <c r="E874" s="17">
        <v>1201</v>
      </c>
      <c r="F874" s="18">
        <v>955</v>
      </c>
      <c r="G874" s="23"/>
      <c r="H874" s="22"/>
      <c r="I874" s="4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5" customHeight="1" thickBot="1">
      <c r="A875" s="12"/>
      <c r="B875" s="108"/>
      <c r="C875" s="106"/>
      <c r="D875" s="100" t="s">
        <v>14</v>
      </c>
      <c r="E875" s="17">
        <v>1202</v>
      </c>
      <c r="F875" s="18">
        <v>955</v>
      </c>
      <c r="G875" s="23"/>
      <c r="H875" s="22"/>
      <c r="I875" s="4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5" customHeight="1" thickBot="1">
      <c r="A876" s="12"/>
      <c r="B876" s="108"/>
      <c r="C876" s="106"/>
      <c r="D876" s="100" t="s">
        <v>22</v>
      </c>
      <c r="E876" s="17">
        <v>1203</v>
      </c>
      <c r="F876" s="18">
        <v>1145</v>
      </c>
      <c r="G876" s="23"/>
      <c r="H876" s="22"/>
      <c r="I876" s="4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5" customHeight="1" thickBot="1">
      <c r="A877" s="12"/>
      <c r="B877" s="108"/>
      <c r="C877" s="106"/>
      <c r="D877" s="100" t="s">
        <v>60</v>
      </c>
      <c r="E877" s="17">
        <v>1204</v>
      </c>
      <c r="F877" s="18">
        <v>764</v>
      </c>
      <c r="G877" s="23"/>
      <c r="H877" s="22"/>
      <c r="I877" s="4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5" customHeight="1" thickBot="1">
      <c r="A878" s="12"/>
      <c r="B878" s="108"/>
      <c r="C878" s="106"/>
      <c r="D878" s="100" t="s">
        <v>55</v>
      </c>
      <c r="E878" s="17">
        <v>1433</v>
      </c>
      <c r="F878" s="18">
        <v>795</v>
      </c>
      <c r="G878" s="23"/>
      <c r="H878" s="22"/>
      <c r="I878" s="4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5" customHeight="1" thickBot="1">
      <c r="A879" s="12"/>
      <c r="B879" s="109" t="s">
        <v>543</v>
      </c>
      <c r="C879" s="107" t="s">
        <v>544</v>
      </c>
      <c r="D879" s="100" t="s">
        <v>18</v>
      </c>
      <c r="E879" s="17">
        <v>1240</v>
      </c>
      <c r="F879" s="18">
        <v>955</v>
      </c>
      <c r="G879" s="23"/>
      <c r="H879" s="22"/>
      <c r="I879" s="4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5" customHeight="1" thickBot="1">
      <c r="A880" s="12"/>
      <c r="B880" s="108"/>
      <c r="C880" s="107" t="s">
        <v>287</v>
      </c>
      <c r="D880" s="100" t="s">
        <v>20</v>
      </c>
      <c r="E880" s="17">
        <v>1241</v>
      </c>
      <c r="F880" s="18">
        <v>955</v>
      </c>
      <c r="G880" s="23"/>
      <c r="H880" s="22"/>
      <c r="I880" s="4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5" customHeight="1" thickBot="1">
      <c r="A881" s="12"/>
      <c r="B881" s="108"/>
      <c r="C881" s="106"/>
      <c r="D881" s="100" t="s">
        <v>14</v>
      </c>
      <c r="E881" s="17">
        <v>1242</v>
      </c>
      <c r="F881" s="18">
        <v>955</v>
      </c>
      <c r="G881" s="23"/>
      <c r="H881" s="22"/>
      <c r="I881" s="4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5" customHeight="1" thickBot="1">
      <c r="A882" s="12"/>
      <c r="B882" s="108"/>
      <c r="C882" s="106"/>
      <c r="D882" s="100" t="s">
        <v>22</v>
      </c>
      <c r="E882" s="17" t="s">
        <v>545</v>
      </c>
      <c r="F882" s="18">
        <v>1145</v>
      </c>
      <c r="G882" s="23"/>
      <c r="H882" s="22"/>
      <c r="I882" s="4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5" customHeight="1" thickBot="1">
      <c r="A883" s="12"/>
      <c r="B883" s="108"/>
      <c r="C883" s="106"/>
      <c r="D883" s="100" t="s">
        <v>546</v>
      </c>
      <c r="E883" s="17" t="s">
        <v>547</v>
      </c>
      <c r="F883" s="18">
        <v>795</v>
      </c>
      <c r="G883" s="23"/>
      <c r="H883" s="22"/>
      <c r="I883" s="4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5" customHeight="1" thickBot="1">
      <c r="A884" s="12"/>
      <c r="B884" s="108"/>
      <c r="C884" s="106"/>
      <c r="D884" s="100" t="s">
        <v>548</v>
      </c>
      <c r="E884" s="17">
        <v>1277</v>
      </c>
      <c r="F884" s="18">
        <v>795</v>
      </c>
      <c r="G884" s="23"/>
      <c r="H884" s="22"/>
      <c r="I884" s="4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5" customHeight="1" thickBot="1">
      <c r="A885" s="12"/>
      <c r="B885" s="108"/>
      <c r="C885" s="106"/>
      <c r="D885" s="100" t="s">
        <v>60</v>
      </c>
      <c r="E885" s="17">
        <v>1244</v>
      </c>
      <c r="F885" s="18">
        <v>955</v>
      </c>
      <c r="G885" s="23"/>
      <c r="H885" s="22"/>
      <c r="I885" s="4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5" customHeight="1" thickBot="1">
      <c r="A886" s="12"/>
      <c r="B886" s="108"/>
      <c r="C886" s="106"/>
      <c r="D886" s="100" t="s">
        <v>61</v>
      </c>
      <c r="E886" s="17">
        <v>1245</v>
      </c>
      <c r="F886" s="18">
        <v>1273</v>
      </c>
      <c r="G886" s="23"/>
      <c r="H886" s="22"/>
      <c r="I886" s="4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5" customHeight="1" thickBot="1">
      <c r="A887" s="12"/>
      <c r="B887" s="108"/>
      <c r="C887" s="107" t="s">
        <v>549</v>
      </c>
      <c r="D887" s="100" t="s">
        <v>26</v>
      </c>
      <c r="E887" s="17">
        <v>1246</v>
      </c>
      <c r="F887" s="18">
        <v>1095</v>
      </c>
      <c r="G887" s="23"/>
      <c r="H887" s="22"/>
      <c r="I887" s="4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30.5" customHeight="1" thickBot="1">
      <c r="A888" s="12"/>
      <c r="B888" s="108"/>
      <c r="C888" s="107" t="s">
        <v>550</v>
      </c>
      <c r="D888" s="100" t="s">
        <v>27</v>
      </c>
      <c r="E888" s="17">
        <v>1247</v>
      </c>
      <c r="F888" s="18">
        <v>1145</v>
      </c>
      <c r="G888" s="23"/>
      <c r="H888" s="22"/>
      <c r="I888" s="4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5" customHeight="1" thickBot="1">
      <c r="A889" s="12"/>
      <c r="B889" s="108"/>
      <c r="C889" s="106"/>
      <c r="D889" s="100" t="s">
        <v>29</v>
      </c>
      <c r="E889" s="17">
        <v>1248</v>
      </c>
      <c r="F889" s="18">
        <v>1295</v>
      </c>
      <c r="G889" s="23"/>
      <c r="H889" s="22"/>
      <c r="I889" s="4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5" customHeight="1" thickBot="1">
      <c r="A890" s="12"/>
      <c r="B890" s="109" t="s">
        <v>543</v>
      </c>
      <c r="C890" s="107" t="s">
        <v>102</v>
      </c>
      <c r="D890" s="100" t="s">
        <v>22</v>
      </c>
      <c r="E890" s="17">
        <v>1257</v>
      </c>
      <c r="F890" s="18">
        <v>509</v>
      </c>
      <c r="G890" s="23"/>
      <c r="H890" s="22"/>
      <c r="I890" s="4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5" customHeight="1" thickBot="1">
      <c r="A891" s="12"/>
      <c r="B891" s="108"/>
      <c r="C891" s="106"/>
      <c r="D891" s="100" t="s">
        <v>551</v>
      </c>
      <c r="E891" s="17">
        <v>1258</v>
      </c>
      <c r="F891" s="18">
        <v>191</v>
      </c>
      <c r="G891" s="23"/>
      <c r="H891" s="22"/>
      <c r="I891" s="4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5" customHeight="1" thickBot="1">
      <c r="A892" s="12"/>
      <c r="B892" s="108"/>
      <c r="C892" s="106"/>
      <c r="D892" s="100" t="s">
        <v>552</v>
      </c>
      <c r="E892" s="17">
        <v>1259</v>
      </c>
      <c r="F892" s="18">
        <v>191</v>
      </c>
      <c r="G892" s="23"/>
      <c r="H892" s="22"/>
      <c r="I892" s="4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5" customHeight="1" thickBot="1">
      <c r="A893" s="12"/>
      <c r="B893" s="109" t="s">
        <v>543</v>
      </c>
      <c r="C893" s="107" t="s">
        <v>553</v>
      </c>
      <c r="D893" s="100" t="s">
        <v>554</v>
      </c>
      <c r="E893" s="17">
        <v>1260</v>
      </c>
      <c r="F893" s="18">
        <v>1095</v>
      </c>
      <c r="G893" s="23"/>
      <c r="H893" s="22"/>
      <c r="I893" s="4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5" customHeight="1" thickBot="1">
      <c r="A894" s="12"/>
      <c r="B894" s="108"/>
      <c r="C894" s="106"/>
      <c r="D894" s="100" t="s">
        <v>555</v>
      </c>
      <c r="E894" s="17">
        <v>1261</v>
      </c>
      <c r="F894" s="18">
        <v>795</v>
      </c>
      <c r="G894" s="23"/>
      <c r="H894" s="22"/>
      <c r="I894" s="4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5" customHeight="1" thickBot="1">
      <c r="A895" s="12"/>
      <c r="B895" s="109" t="s">
        <v>543</v>
      </c>
      <c r="C895" s="107" t="s">
        <v>556</v>
      </c>
      <c r="D895" s="100" t="s">
        <v>18</v>
      </c>
      <c r="E895" s="17">
        <v>1373</v>
      </c>
      <c r="F895" s="18">
        <v>764</v>
      </c>
      <c r="G895" s="23"/>
      <c r="H895" s="22"/>
      <c r="I895" s="4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5" customHeight="1" thickBot="1">
      <c r="A896" s="12"/>
      <c r="B896" s="108"/>
      <c r="C896" s="106"/>
      <c r="D896" s="100" t="s">
        <v>20</v>
      </c>
      <c r="E896" s="17">
        <v>1374</v>
      </c>
      <c r="F896" s="18">
        <v>764</v>
      </c>
      <c r="G896" s="23"/>
      <c r="H896" s="22"/>
      <c r="I896" s="4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5" customHeight="1" thickBot="1">
      <c r="A897" s="12"/>
      <c r="B897" s="108"/>
      <c r="C897" s="106"/>
      <c r="D897" s="100" t="s">
        <v>14</v>
      </c>
      <c r="E897" s="17">
        <v>1375</v>
      </c>
      <c r="F897" s="18">
        <v>573</v>
      </c>
      <c r="G897" s="23"/>
      <c r="H897" s="22"/>
      <c r="I897" s="4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5" customHeight="1" thickBot="1">
      <c r="A898" s="12"/>
      <c r="B898" s="108"/>
      <c r="C898" s="106"/>
      <c r="D898" s="100" t="s">
        <v>557</v>
      </c>
      <c r="E898" s="17" t="s">
        <v>558</v>
      </c>
      <c r="F898" s="18">
        <v>955</v>
      </c>
      <c r="G898" s="23"/>
      <c r="H898" s="22"/>
      <c r="I898" s="4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5" customHeight="1" thickBot="1">
      <c r="A899" s="12"/>
      <c r="B899" s="108"/>
      <c r="C899" s="106"/>
      <c r="D899" s="100" t="s">
        <v>22</v>
      </c>
      <c r="E899" s="17" t="s">
        <v>559</v>
      </c>
      <c r="F899" s="18">
        <v>955</v>
      </c>
      <c r="G899" s="23"/>
      <c r="H899" s="22"/>
      <c r="I899" s="4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5" customHeight="1" thickBot="1">
      <c r="A900" s="12"/>
      <c r="B900" s="108"/>
      <c r="C900" s="106"/>
      <c r="D900" s="100" t="s">
        <v>455</v>
      </c>
      <c r="E900" s="17">
        <v>1379</v>
      </c>
      <c r="F900" s="18">
        <v>191</v>
      </c>
      <c r="G900" s="23"/>
      <c r="H900" s="22"/>
      <c r="I900" s="4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5" customHeight="1" thickBot="1">
      <c r="A901" s="12"/>
      <c r="B901" s="108"/>
      <c r="C901" s="106"/>
      <c r="D901" s="100" t="s">
        <v>455</v>
      </c>
      <c r="E901" s="17">
        <v>1380</v>
      </c>
      <c r="F901" s="18">
        <v>191</v>
      </c>
      <c r="G901" s="23"/>
      <c r="H901" s="22"/>
      <c r="I901" s="4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5" customHeight="1" thickBot="1">
      <c r="A902" s="12"/>
      <c r="B902" s="108"/>
      <c r="C902" s="106"/>
      <c r="D902" s="100" t="s">
        <v>560</v>
      </c>
      <c r="E902" s="17">
        <v>1377</v>
      </c>
      <c r="F902" s="18">
        <v>191</v>
      </c>
      <c r="G902" s="23"/>
      <c r="H902" s="22"/>
      <c r="I902" s="4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5" customHeight="1" thickBot="1">
      <c r="A903" s="12"/>
      <c r="B903" s="108"/>
      <c r="C903" s="106"/>
      <c r="D903" s="100" t="s">
        <v>561</v>
      </c>
      <c r="E903" s="17">
        <v>1378</v>
      </c>
      <c r="F903" s="18">
        <v>191</v>
      </c>
      <c r="G903" s="23"/>
      <c r="H903" s="22"/>
      <c r="I903" s="4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5" customHeight="1" thickBot="1">
      <c r="A904" s="12"/>
      <c r="B904" s="109" t="s">
        <v>543</v>
      </c>
      <c r="C904" s="107" t="s">
        <v>562</v>
      </c>
      <c r="D904" s="100" t="s">
        <v>18</v>
      </c>
      <c r="E904" s="17">
        <v>2220</v>
      </c>
      <c r="F904" s="18">
        <v>764</v>
      </c>
      <c r="G904" s="23"/>
      <c r="H904" s="22"/>
      <c r="I904" s="4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5" customHeight="1" thickBot="1">
      <c r="A905" s="12"/>
      <c r="B905" s="108"/>
      <c r="C905" s="106"/>
      <c r="D905" s="100" t="s">
        <v>20</v>
      </c>
      <c r="E905" s="17">
        <v>2299</v>
      </c>
      <c r="F905" s="18">
        <v>764</v>
      </c>
      <c r="G905" s="23"/>
      <c r="H905" s="22"/>
      <c r="I905" s="4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5" customHeight="1" thickBot="1">
      <c r="A906" s="12"/>
      <c r="B906" s="108"/>
      <c r="C906" s="106"/>
      <c r="D906" s="100" t="s">
        <v>14</v>
      </c>
      <c r="E906" s="17">
        <v>2300</v>
      </c>
      <c r="F906" s="18">
        <v>573</v>
      </c>
      <c r="G906" s="23"/>
      <c r="H906" s="22"/>
      <c r="I906" s="4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5" customHeight="1" thickBot="1">
      <c r="A907" s="12"/>
      <c r="B907" s="108"/>
      <c r="C907" s="106"/>
      <c r="D907" s="100" t="s">
        <v>22</v>
      </c>
      <c r="E907" s="17">
        <v>2298</v>
      </c>
      <c r="F907" s="18">
        <v>955</v>
      </c>
      <c r="G907" s="23"/>
      <c r="H907" s="22"/>
      <c r="I907" s="4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5" customHeight="1" thickBot="1">
      <c r="A908" s="12"/>
      <c r="B908" s="109" t="s">
        <v>543</v>
      </c>
      <c r="C908" s="107" t="s">
        <v>563</v>
      </c>
      <c r="D908" s="100" t="s">
        <v>22</v>
      </c>
      <c r="E908" s="17">
        <v>3156</v>
      </c>
      <c r="F908" s="18">
        <v>764</v>
      </c>
      <c r="G908" s="23"/>
      <c r="H908" s="22"/>
      <c r="I908" s="4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5" customHeight="1" thickBot="1">
      <c r="A909" s="12"/>
      <c r="B909" s="109" t="s">
        <v>543</v>
      </c>
      <c r="C909" s="107" t="s">
        <v>564</v>
      </c>
      <c r="D909" s="100" t="s">
        <v>18</v>
      </c>
      <c r="E909" s="17">
        <v>2220</v>
      </c>
      <c r="F909" s="18">
        <v>955</v>
      </c>
      <c r="G909" s="23"/>
      <c r="H909" s="22"/>
      <c r="I909" s="4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5" customHeight="1" thickBot="1">
      <c r="A910" s="12"/>
      <c r="B910" s="108"/>
      <c r="C910" s="107" t="s">
        <v>565</v>
      </c>
      <c r="D910" s="100" t="s">
        <v>20</v>
      </c>
      <c r="E910" s="17">
        <v>2221</v>
      </c>
      <c r="F910" s="18">
        <v>955</v>
      </c>
      <c r="G910" s="23"/>
      <c r="H910" s="22"/>
      <c r="I910" s="4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5" customHeight="1" thickBot="1">
      <c r="A911" s="12"/>
      <c r="B911" s="108"/>
      <c r="C911" s="106"/>
      <c r="D911" s="100" t="s">
        <v>60</v>
      </c>
      <c r="E911" s="17">
        <v>2222</v>
      </c>
      <c r="F911" s="18">
        <v>2227</v>
      </c>
      <c r="G911" s="23"/>
      <c r="H911" s="22"/>
      <c r="I911" s="4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5" customHeight="1" thickBot="1">
      <c r="A912" s="12"/>
      <c r="B912" s="108"/>
      <c r="C912" s="106"/>
      <c r="D912" s="100" t="s">
        <v>61</v>
      </c>
      <c r="E912" s="17">
        <v>2223</v>
      </c>
      <c r="F912" s="18">
        <v>2227</v>
      </c>
      <c r="G912" s="23"/>
      <c r="H912" s="22"/>
      <c r="I912" s="4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5" customHeight="1" thickBot="1">
      <c r="A913" s="12"/>
      <c r="B913" s="108"/>
      <c r="C913" s="106"/>
      <c r="D913" s="100" t="s">
        <v>273</v>
      </c>
      <c r="E913" s="17">
        <v>2224</v>
      </c>
      <c r="F913" s="18">
        <v>955</v>
      </c>
      <c r="G913" s="23"/>
      <c r="H913" s="22"/>
      <c r="I913" s="4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5" customHeight="1" thickBot="1">
      <c r="A914" s="12"/>
      <c r="B914" s="108"/>
      <c r="C914" s="106"/>
      <c r="D914" s="100" t="s">
        <v>26</v>
      </c>
      <c r="E914" s="17">
        <v>2225</v>
      </c>
      <c r="F914" s="18">
        <v>1145</v>
      </c>
      <c r="G914" s="23"/>
      <c r="H914" s="22"/>
      <c r="I914" s="4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5" customHeight="1" thickBot="1">
      <c r="A915" s="12"/>
      <c r="B915" s="108"/>
      <c r="C915" s="106"/>
      <c r="D915" s="100" t="s">
        <v>27</v>
      </c>
      <c r="E915" s="17">
        <v>2226</v>
      </c>
      <c r="F915" s="18">
        <v>1782</v>
      </c>
      <c r="G915" s="23"/>
      <c r="H915" s="22"/>
      <c r="I915" s="4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5" customHeight="1" thickBot="1">
      <c r="A916" s="12"/>
      <c r="B916" s="108"/>
      <c r="C916" s="106"/>
      <c r="D916" s="100" t="s">
        <v>29</v>
      </c>
      <c r="E916" s="17">
        <v>2227</v>
      </c>
      <c r="F916" s="18">
        <v>1591</v>
      </c>
      <c r="G916" s="23"/>
      <c r="H916" s="22"/>
      <c r="I916" s="4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5" customHeight="1" thickBot="1">
      <c r="A917" s="12"/>
      <c r="B917" s="108"/>
      <c r="C917" s="106"/>
      <c r="D917" s="100" t="s">
        <v>200</v>
      </c>
      <c r="E917" s="17">
        <v>2035</v>
      </c>
      <c r="F917" s="18">
        <v>1591</v>
      </c>
      <c r="G917" s="23"/>
      <c r="H917" s="22"/>
      <c r="I917" s="4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5" customHeight="1" thickBot="1">
      <c r="A918" s="12"/>
      <c r="B918" s="108"/>
      <c r="C918" s="106"/>
      <c r="D918" s="100" t="s">
        <v>566</v>
      </c>
      <c r="E918" s="17">
        <v>2236</v>
      </c>
      <c r="F918" s="18">
        <v>573</v>
      </c>
      <c r="G918" s="23"/>
      <c r="H918" s="22"/>
      <c r="I918" s="4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5" customHeight="1" thickBot="1">
      <c r="A919" s="12"/>
      <c r="B919" s="109" t="s">
        <v>543</v>
      </c>
      <c r="C919" s="107" t="s">
        <v>567</v>
      </c>
      <c r="D919" s="100" t="s">
        <v>18</v>
      </c>
      <c r="E919" s="17">
        <v>2220</v>
      </c>
      <c r="F919" s="18">
        <v>955</v>
      </c>
      <c r="G919" s="23"/>
      <c r="H919" s="22"/>
      <c r="I919" s="4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5" customHeight="1" thickBot="1">
      <c r="A920" s="12"/>
      <c r="B920" s="108"/>
      <c r="C920" s="107" t="s">
        <v>568</v>
      </c>
      <c r="D920" s="100" t="s">
        <v>20</v>
      </c>
      <c r="E920" s="17">
        <v>2299</v>
      </c>
      <c r="F920" s="18">
        <v>955</v>
      </c>
      <c r="G920" s="23"/>
      <c r="H920" s="22"/>
      <c r="I920" s="4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5" customHeight="1" thickBot="1">
      <c r="A921" s="12"/>
      <c r="B921" s="108"/>
      <c r="C921" s="106"/>
      <c r="D921" s="100" t="s">
        <v>14</v>
      </c>
      <c r="E921" s="17">
        <v>2300</v>
      </c>
      <c r="F921" s="18">
        <v>2227</v>
      </c>
      <c r="G921" s="23"/>
      <c r="H921" s="22"/>
      <c r="I921" s="4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5" customHeight="1" thickBot="1">
      <c r="A922" s="12"/>
      <c r="B922" s="108"/>
      <c r="C922" s="106"/>
      <c r="D922" s="100" t="s">
        <v>22</v>
      </c>
      <c r="E922" s="17">
        <v>2298</v>
      </c>
      <c r="F922" s="18">
        <v>2227</v>
      </c>
      <c r="G922" s="23"/>
      <c r="H922" s="22"/>
      <c r="I922" s="4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5" customHeight="1" thickBot="1">
      <c r="A923" s="12"/>
      <c r="B923" s="108"/>
      <c r="C923" s="106"/>
      <c r="D923" s="100" t="s">
        <v>156</v>
      </c>
      <c r="E923" s="17">
        <v>2360</v>
      </c>
      <c r="F923" s="18">
        <v>2227</v>
      </c>
      <c r="G923" s="23"/>
      <c r="H923" s="22"/>
      <c r="I923" s="4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5" customHeight="1" thickBot="1">
      <c r="A924" s="12"/>
      <c r="B924" s="108"/>
      <c r="C924" s="106"/>
      <c r="D924" s="100" t="s">
        <v>60</v>
      </c>
      <c r="E924" s="17">
        <v>22361</v>
      </c>
      <c r="F924" s="18">
        <v>2227</v>
      </c>
      <c r="G924" s="23"/>
      <c r="H924" s="22"/>
      <c r="I924" s="4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5" customHeight="1" thickBot="1">
      <c r="A925" s="12"/>
      <c r="B925" s="108"/>
      <c r="C925" s="106"/>
      <c r="D925" s="100" t="s">
        <v>61</v>
      </c>
      <c r="E925" s="17">
        <v>2362</v>
      </c>
      <c r="F925" s="18">
        <v>955</v>
      </c>
      <c r="G925" s="23"/>
      <c r="H925" s="22"/>
      <c r="I925" s="4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5" customHeight="1" thickBot="1">
      <c r="A926" s="12"/>
      <c r="B926" s="108"/>
      <c r="C926" s="106"/>
      <c r="D926" s="100" t="s">
        <v>26</v>
      </c>
      <c r="E926" s="17">
        <v>2363</v>
      </c>
      <c r="F926" s="18">
        <v>1145</v>
      </c>
      <c r="G926" s="23"/>
      <c r="H926" s="22"/>
      <c r="I926" s="4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5" customHeight="1" thickBot="1">
      <c r="A927" s="12"/>
      <c r="B927" s="108"/>
      <c r="C927" s="106"/>
      <c r="D927" s="100" t="s">
        <v>27</v>
      </c>
      <c r="E927" s="17">
        <v>2226</v>
      </c>
      <c r="F927" s="18">
        <v>1782</v>
      </c>
      <c r="G927" s="23"/>
      <c r="H927" s="22"/>
      <c r="I927" s="4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5" customHeight="1" thickBot="1">
      <c r="A928" s="12"/>
      <c r="B928" s="108"/>
      <c r="C928" s="106"/>
      <c r="D928" s="100" t="s">
        <v>29</v>
      </c>
      <c r="E928" s="17">
        <v>2364</v>
      </c>
      <c r="F928" s="18">
        <v>1591</v>
      </c>
      <c r="G928" s="23"/>
      <c r="H928" s="22"/>
      <c r="I928" s="4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5" customHeight="1" thickBot="1">
      <c r="A929" s="12"/>
      <c r="B929" s="109" t="s">
        <v>543</v>
      </c>
      <c r="C929" s="107" t="s">
        <v>569</v>
      </c>
      <c r="D929" s="100" t="s">
        <v>18</v>
      </c>
      <c r="E929" s="17">
        <v>2317</v>
      </c>
      <c r="F929" s="18">
        <v>955</v>
      </c>
      <c r="G929" s="23"/>
      <c r="H929" s="22"/>
      <c r="I929" s="4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5" customHeight="1" thickBot="1">
      <c r="A930" s="12"/>
      <c r="B930" s="108"/>
      <c r="C930" s="107" t="s">
        <v>570</v>
      </c>
      <c r="D930" s="100" t="s">
        <v>20</v>
      </c>
      <c r="E930" s="17">
        <v>2318</v>
      </c>
      <c r="F930" s="18">
        <v>955</v>
      </c>
      <c r="G930" s="23"/>
      <c r="H930" s="22"/>
      <c r="I930" s="4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5" customHeight="1" thickBot="1">
      <c r="A931" s="12"/>
      <c r="B931" s="108"/>
      <c r="C931" s="106"/>
      <c r="D931" s="100" t="s">
        <v>571</v>
      </c>
      <c r="E931" s="17">
        <v>1204</v>
      </c>
      <c r="F931" s="18">
        <v>2227</v>
      </c>
      <c r="G931" s="23"/>
      <c r="H931" s="22"/>
      <c r="I931" s="4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5" customHeight="1" thickBot="1">
      <c r="A932" s="12"/>
      <c r="B932" s="108"/>
      <c r="C932" s="106"/>
      <c r="D932" s="100" t="s">
        <v>60</v>
      </c>
      <c r="E932" s="17">
        <v>2319</v>
      </c>
      <c r="F932" s="18">
        <v>2227</v>
      </c>
      <c r="G932" s="23"/>
      <c r="H932" s="22"/>
      <c r="I932" s="4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5" customHeight="1" thickBot="1">
      <c r="A933" s="12"/>
      <c r="B933" s="108"/>
      <c r="C933" s="106"/>
      <c r="D933" s="100" t="s">
        <v>61</v>
      </c>
      <c r="E933" s="17">
        <v>2320</v>
      </c>
      <c r="F933" s="18">
        <v>2227</v>
      </c>
      <c r="G933" s="23"/>
      <c r="H933" s="22"/>
      <c r="I933" s="4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5" customHeight="1" thickBot="1">
      <c r="A934" s="12"/>
      <c r="B934" s="108"/>
      <c r="C934" s="106"/>
      <c r="D934" s="100" t="s">
        <v>26</v>
      </c>
      <c r="E934" s="17">
        <v>3136</v>
      </c>
      <c r="F934" s="18">
        <v>1145</v>
      </c>
      <c r="G934" s="23"/>
      <c r="H934" s="22"/>
      <c r="I934" s="4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5" customHeight="1" thickBot="1">
      <c r="A935" s="12"/>
      <c r="B935" s="108"/>
      <c r="C935" s="106"/>
      <c r="D935" s="100" t="s">
        <v>27</v>
      </c>
      <c r="E935" s="17">
        <v>2322</v>
      </c>
      <c r="F935" s="18">
        <v>1782</v>
      </c>
      <c r="G935" s="23"/>
      <c r="H935" s="22"/>
      <c r="I935" s="4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5" customHeight="1" thickBot="1">
      <c r="A936" s="12"/>
      <c r="B936" s="108"/>
      <c r="C936" s="106"/>
      <c r="D936" s="100" t="s">
        <v>200</v>
      </c>
      <c r="E936" s="17">
        <v>2323</v>
      </c>
      <c r="F936" s="18">
        <v>1591</v>
      </c>
      <c r="G936" s="23"/>
      <c r="H936" s="22"/>
      <c r="I936" s="4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5" customHeight="1" thickBot="1">
      <c r="A937" s="12"/>
      <c r="B937" s="108"/>
      <c r="C937" s="106"/>
      <c r="D937" s="100" t="s">
        <v>566</v>
      </c>
      <c r="E937" s="17">
        <v>2236</v>
      </c>
      <c r="F937" s="18">
        <v>573</v>
      </c>
      <c r="G937" s="23"/>
      <c r="H937" s="22"/>
      <c r="I937" s="4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5" customHeight="1" thickBot="1">
      <c r="A938" s="12"/>
      <c r="B938" s="109" t="s">
        <v>543</v>
      </c>
      <c r="C938" s="107" t="s">
        <v>63</v>
      </c>
      <c r="D938" s="100"/>
      <c r="E938" s="17">
        <v>3409</v>
      </c>
      <c r="F938" s="18">
        <v>1095</v>
      </c>
      <c r="G938" s="23"/>
      <c r="H938" s="22"/>
      <c r="I938" s="4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5" customHeight="1" thickBot="1">
      <c r="A939" s="12"/>
      <c r="B939" s="109" t="s">
        <v>543</v>
      </c>
      <c r="C939" s="106"/>
      <c r="D939" s="100" t="s">
        <v>29</v>
      </c>
      <c r="E939" s="17">
        <v>3137</v>
      </c>
      <c r="F939" s="18">
        <v>1295</v>
      </c>
      <c r="G939" s="23"/>
      <c r="H939" s="22"/>
      <c r="I939" s="4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30.5" customHeight="1" thickBot="1">
      <c r="A940" s="12"/>
      <c r="B940" s="109" t="s">
        <v>543</v>
      </c>
      <c r="C940" s="107" t="s">
        <v>68</v>
      </c>
      <c r="D940" s="100" t="s">
        <v>572</v>
      </c>
      <c r="E940" s="17">
        <v>3171</v>
      </c>
      <c r="F940" s="18">
        <v>318</v>
      </c>
      <c r="G940" s="23"/>
      <c r="H940" s="22"/>
      <c r="I940" s="4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5" customHeight="1" thickBot="1">
      <c r="A941" s="12"/>
      <c r="B941" s="108"/>
      <c r="C941" s="107" t="s">
        <v>68</v>
      </c>
      <c r="D941" s="100" t="s">
        <v>573</v>
      </c>
      <c r="E941" s="17" t="s">
        <v>574</v>
      </c>
      <c r="F941" s="18">
        <v>255</v>
      </c>
      <c r="G941" s="23"/>
      <c r="H941" s="22"/>
      <c r="I941" s="4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5" customHeight="1" thickBot="1">
      <c r="A942" s="12"/>
      <c r="B942" s="108"/>
      <c r="C942" s="107" t="s">
        <v>68</v>
      </c>
      <c r="D942" s="100" t="s">
        <v>575</v>
      </c>
      <c r="E942" s="17" t="s">
        <v>576</v>
      </c>
      <c r="F942" s="18">
        <v>445</v>
      </c>
      <c r="G942" s="23"/>
      <c r="H942" s="22"/>
      <c r="I942" s="4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5" customHeight="1" thickBot="1">
      <c r="A943" s="12"/>
      <c r="B943" s="109" t="s">
        <v>543</v>
      </c>
      <c r="C943" s="107" t="s">
        <v>577</v>
      </c>
      <c r="D943" s="100" t="s">
        <v>18</v>
      </c>
      <c r="E943" s="17">
        <v>3240</v>
      </c>
      <c r="F943" s="18">
        <v>764</v>
      </c>
      <c r="G943" s="23"/>
      <c r="H943" s="22"/>
      <c r="I943" s="4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5" customHeight="1" thickBot="1">
      <c r="A944" s="12"/>
      <c r="B944" s="108"/>
      <c r="C944" s="106"/>
      <c r="D944" s="100" t="s">
        <v>20</v>
      </c>
      <c r="E944" s="17">
        <v>3241</v>
      </c>
      <c r="F944" s="18">
        <v>764</v>
      </c>
      <c r="G944" s="23"/>
      <c r="H944" s="22"/>
      <c r="I944" s="4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" customHeight="1">
      <c r="A945" s="12"/>
      <c r="B945" s="108"/>
      <c r="C945" s="106"/>
      <c r="D945" s="100" t="s">
        <v>14</v>
      </c>
      <c r="E945" s="17">
        <v>3242</v>
      </c>
      <c r="F945" s="18">
        <v>573</v>
      </c>
      <c r="G945" s="23"/>
      <c r="H945" s="1"/>
      <c r="I945" s="1"/>
      <c r="J945" s="1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" customHeight="1">
      <c r="A946" s="12"/>
      <c r="B946" s="108"/>
      <c r="C946" s="106"/>
      <c r="D946" s="100" t="s">
        <v>60</v>
      </c>
      <c r="E946" s="17">
        <v>3515</v>
      </c>
      <c r="F946" s="18">
        <v>955</v>
      </c>
      <c r="G946" s="27"/>
      <c r="H946" s="1"/>
      <c r="I946" s="1"/>
      <c r="J946" s="1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30.5" customHeight="1">
      <c r="A947" s="12"/>
      <c r="B947" s="108"/>
      <c r="C947" s="106"/>
      <c r="D947" s="100" t="s">
        <v>530</v>
      </c>
      <c r="E947" s="17">
        <v>3516</v>
      </c>
      <c r="F947" s="18">
        <v>1273</v>
      </c>
      <c r="G947" s="27"/>
      <c r="H947" s="1"/>
      <c r="I947" s="1"/>
      <c r="J947" s="1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30.5" customHeight="1">
      <c r="A948" s="12"/>
      <c r="B948" s="108"/>
      <c r="C948" s="106"/>
      <c r="D948" s="100" t="s">
        <v>578</v>
      </c>
      <c r="E948" s="17">
        <v>3517</v>
      </c>
      <c r="F948" s="18">
        <v>955</v>
      </c>
      <c r="G948" s="27"/>
      <c r="H948" s="1"/>
      <c r="I948" s="1"/>
      <c r="J948" s="1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" customHeight="1">
      <c r="A949" s="12"/>
      <c r="B949" s="108"/>
      <c r="C949" s="106"/>
      <c r="D949" s="100" t="s">
        <v>63</v>
      </c>
      <c r="E949" s="17">
        <v>3243</v>
      </c>
      <c r="F949" s="18">
        <v>1095</v>
      </c>
      <c r="G949" s="27"/>
      <c r="H949" s="1"/>
      <c r="I949" s="1"/>
      <c r="J949" s="1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" customHeight="1">
      <c r="A950" s="12"/>
      <c r="B950" s="108"/>
      <c r="C950" s="106"/>
      <c r="D950" s="100" t="s">
        <v>29</v>
      </c>
      <c r="E950" s="17">
        <v>3244</v>
      </c>
      <c r="F950" s="18">
        <v>1295</v>
      </c>
      <c r="G950" s="27"/>
      <c r="H950" s="1"/>
      <c r="I950" s="1"/>
      <c r="J950" s="1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" customHeight="1">
      <c r="A951" s="12"/>
      <c r="B951" s="108"/>
      <c r="C951" s="106"/>
      <c r="D951" s="100" t="s">
        <v>27</v>
      </c>
      <c r="E951" s="17">
        <v>3245</v>
      </c>
      <c r="F951" s="18">
        <v>1145</v>
      </c>
      <c r="G951" s="27"/>
      <c r="H951" s="1"/>
      <c r="I951" s="1"/>
      <c r="J951" s="1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" customHeight="1">
      <c r="A952" s="12"/>
      <c r="B952" s="108"/>
      <c r="C952" s="106"/>
      <c r="D952" s="100" t="s">
        <v>579</v>
      </c>
      <c r="E952" s="17">
        <v>3237</v>
      </c>
      <c r="F952" s="18">
        <v>509</v>
      </c>
      <c r="G952" s="27"/>
      <c r="H952" s="1"/>
      <c r="I952" s="1"/>
      <c r="J952" s="1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" customHeight="1">
      <c r="A953" s="12"/>
      <c r="B953" s="108"/>
      <c r="C953" s="106"/>
      <c r="D953" s="100" t="s">
        <v>33</v>
      </c>
      <c r="E953" s="17">
        <v>3238</v>
      </c>
      <c r="F953" s="18">
        <v>955</v>
      </c>
      <c r="G953" s="27"/>
      <c r="H953" s="1"/>
      <c r="I953" s="1"/>
      <c r="J953" s="1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30.5" customHeight="1">
      <c r="A954" s="12"/>
      <c r="B954" s="108"/>
      <c r="C954" s="106"/>
      <c r="D954" s="100" t="s">
        <v>580</v>
      </c>
      <c r="E954" s="17">
        <v>2278</v>
      </c>
      <c r="F954" s="18">
        <v>318</v>
      </c>
      <c r="G954" s="27"/>
      <c r="H954" s="1"/>
      <c r="I954" s="1"/>
      <c r="J954" s="1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30" customHeight="1">
      <c r="A955" s="12"/>
      <c r="B955" s="109" t="s">
        <v>543</v>
      </c>
      <c r="C955" s="107" t="s">
        <v>68</v>
      </c>
      <c r="D955" s="100" t="s">
        <v>542</v>
      </c>
      <c r="E955" s="17">
        <v>3433</v>
      </c>
      <c r="F955" s="18">
        <v>1145</v>
      </c>
      <c r="G955" s="27"/>
      <c r="H955" s="1"/>
      <c r="I955" s="1"/>
      <c r="J955" s="1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" customHeight="1">
      <c r="A956" s="12"/>
      <c r="B956" s="109" t="s">
        <v>581</v>
      </c>
      <c r="C956" s="107" t="s">
        <v>582</v>
      </c>
      <c r="D956" s="100" t="s">
        <v>18</v>
      </c>
      <c r="E956" s="17">
        <v>425</v>
      </c>
      <c r="F956" s="18">
        <v>720</v>
      </c>
      <c r="G956" s="27"/>
      <c r="H956" s="1"/>
      <c r="I956" s="1"/>
      <c r="J956" s="1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" customHeight="1">
      <c r="A957" s="12"/>
      <c r="B957" s="109" t="s">
        <v>583</v>
      </c>
      <c r="C957" s="106"/>
      <c r="D957" s="100" t="s">
        <v>60</v>
      </c>
      <c r="E957" s="17">
        <v>426</v>
      </c>
      <c r="F957" s="18">
        <v>764</v>
      </c>
      <c r="G957" s="27"/>
      <c r="H957" s="1"/>
      <c r="I957" s="1"/>
      <c r="J957" s="1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" customHeight="1">
      <c r="A958" s="12"/>
      <c r="B958" s="108"/>
      <c r="C958" s="106"/>
      <c r="D958" s="100" t="s">
        <v>61</v>
      </c>
      <c r="E958" s="17">
        <v>427</v>
      </c>
      <c r="F958" s="18">
        <v>1145</v>
      </c>
      <c r="G958" s="27"/>
      <c r="H958" s="1"/>
      <c r="I958" s="1"/>
      <c r="J958" s="1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" customHeight="1">
      <c r="A959" s="12"/>
      <c r="B959" s="108"/>
      <c r="C959" s="106"/>
      <c r="D959" s="100" t="s">
        <v>584</v>
      </c>
      <c r="E959" s="17">
        <v>1371</v>
      </c>
      <c r="F959" s="18">
        <v>318</v>
      </c>
      <c r="G959" s="27"/>
      <c r="H959" s="1"/>
      <c r="I959" s="1"/>
      <c r="J959" s="1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30" customHeight="1">
      <c r="A960" s="12"/>
      <c r="B960" s="109" t="s">
        <v>581</v>
      </c>
      <c r="C960" s="107" t="s">
        <v>585</v>
      </c>
      <c r="D960" s="100" t="s">
        <v>586</v>
      </c>
      <c r="E960" s="17">
        <v>3224</v>
      </c>
      <c r="F960" s="18">
        <v>1145</v>
      </c>
      <c r="G960" s="27"/>
      <c r="H960" s="1"/>
      <c r="I960" s="1"/>
      <c r="J960" s="1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" customHeight="1">
      <c r="A961" s="12"/>
      <c r="B961" s="109" t="s">
        <v>587</v>
      </c>
      <c r="C961" s="106"/>
      <c r="D961" s="100" t="s">
        <v>588</v>
      </c>
      <c r="E961" s="17">
        <v>3225</v>
      </c>
      <c r="F961" s="18">
        <v>764</v>
      </c>
      <c r="G961" s="27"/>
      <c r="H961" s="1"/>
      <c r="I961" s="1"/>
      <c r="J961" s="1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" customHeight="1">
      <c r="A962" s="12"/>
      <c r="B962" s="108" t="s">
        <v>581</v>
      </c>
      <c r="C962" s="106" t="s">
        <v>109</v>
      </c>
      <c r="D962" s="100" t="s">
        <v>18</v>
      </c>
      <c r="E962" s="13">
        <v>3401</v>
      </c>
      <c r="F962" s="18">
        <v>955</v>
      </c>
      <c r="G962" s="27"/>
      <c r="H962" s="1"/>
      <c r="I962" s="1"/>
      <c r="J962" s="1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" customHeight="1">
      <c r="A963" s="12"/>
      <c r="B963" s="109" t="s">
        <v>587</v>
      </c>
      <c r="C963" s="107" t="s">
        <v>589</v>
      </c>
      <c r="D963" s="100" t="s">
        <v>20</v>
      </c>
      <c r="E963" s="17">
        <v>3402</v>
      </c>
      <c r="F963" s="18">
        <v>955</v>
      </c>
      <c r="G963" s="27"/>
      <c r="H963" s="1"/>
      <c r="I963" s="1"/>
      <c r="J963" s="1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" customHeight="1">
      <c r="A964" s="12"/>
      <c r="B964" s="109"/>
      <c r="C964" s="107"/>
      <c r="D964" s="100" t="s">
        <v>14</v>
      </c>
      <c r="E964" s="17">
        <v>3403</v>
      </c>
      <c r="F964" s="18">
        <v>764</v>
      </c>
      <c r="G964" s="27"/>
      <c r="H964" s="1"/>
      <c r="I964" s="1"/>
      <c r="J964" s="1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" customHeight="1">
      <c r="A965" s="12"/>
      <c r="B965" s="108"/>
      <c r="C965" s="106"/>
      <c r="D965" s="100" t="s">
        <v>33</v>
      </c>
      <c r="E965" s="17">
        <v>3404</v>
      </c>
      <c r="F965" s="18">
        <v>1145</v>
      </c>
      <c r="G965" s="27"/>
      <c r="H965" s="1"/>
      <c r="I965" s="1"/>
      <c r="J965" s="1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" customHeight="1">
      <c r="A966" s="12"/>
      <c r="B966" s="108"/>
      <c r="C966" s="106"/>
      <c r="D966" s="100" t="s">
        <v>440</v>
      </c>
      <c r="E966" s="17">
        <v>3405</v>
      </c>
      <c r="F966" s="18">
        <v>318</v>
      </c>
      <c r="G966" s="27"/>
      <c r="H966" s="1"/>
      <c r="I966" s="1"/>
      <c r="J966" s="1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" customHeight="1">
      <c r="A967" s="12"/>
      <c r="B967" s="108"/>
      <c r="C967" s="106"/>
      <c r="D967" s="100" t="s">
        <v>60</v>
      </c>
      <c r="E967" s="17">
        <v>3406</v>
      </c>
      <c r="F967" s="18">
        <v>1273</v>
      </c>
      <c r="G967" s="27"/>
      <c r="H967" s="1"/>
      <c r="I967" s="1"/>
      <c r="J967" s="1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" customHeight="1">
      <c r="A968" s="12"/>
      <c r="B968" s="108"/>
      <c r="C968" s="106"/>
      <c r="D968" s="100" t="s">
        <v>590</v>
      </c>
      <c r="E968" s="17">
        <v>3407</v>
      </c>
      <c r="F968" s="18">
        <v>1273</v>
      </c>
      <c r="G968" s="27"/>
      <c r="H968" s="1"/>
      <c r="I968" s="1"/>
      <c r="J968" s="1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30.5" customHeight="1">
      <c r="A969" s="12"/>
      <c r="B969" s="108"/>
      <c r="C969" s="106"/>
      <c r="D969" s="100" t="s">
        <v>591</v>
      </c>
      <c r="E969" s="17">
        <v>3408</v>
      </c>
      <c r="F969" s="18">
        <v>509</v>
      </c>
      <c r="G969" s="27"/>
      <c r="H969" s="1"/>
      <c r="I969" s="1"/>
      <c r="J969" s="1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" customHeight="1">
      <c r="A970" s="12"/>
      <c r="B970" s="108"/>
      <c r="C970" s="106"/>
      <c r="D970" s="100" t="s">
        <v>592</v>
      </c>
      <c r="E970" s="17">
        <v>3554</v>
      </c>
      <c r="F970" s="18">
        <v>318</v>
      </c>
      <c r="G970" s="27"/>
      <c r="H970" s="1"/>
      <c r="I970" s="1"/>
      <c r="J970" s="1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" customHeight="1">
      <c r="A971" s="12"/>
      <c r="B971" s="109" t="s">
        <v>581</v>
      </c>
      <c r="C971" s="107" t="s">
        <v>582</v>
      </c>
      <c r="D971" s="100" t="s">
        <v>12</v>
      </c>
      <c r="E971" s="17">
        <v>616</v>
      </c>
      <c r="F971" s="18">
        <v>318</v>
      </c>
      <c r="G971" s="27"/>
      <c r="H971" s="1"/>
      <c r="I971" s="1"/>
      <c r="J971" s="1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" customHeight="1">
      <c r="A972" s="12"/>
      <c r="B972" s="109" t="s">
        <v>593</v>
      </c>
      <c r="C972" s="106"/>
      <c r="D972" s="100" t="s">
        <v>33</v>
      </c>
      <c r="E972" s="17" t="s">
        <v>594</v>
      </c>
      <c r="F972" s="18">
        <v>764</v>
      </c>
      <c r="G972" s="27"/>
      <c r="H972" s="1"/>
      <c r="I972" s="1"/>
      <c r="J972" s="1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" customHeight="1">
      <c r="A973" s="12"/>
      <c r="B973" s="108"/>
      <c r="C973" s="106"/>
      <c r="D973" s="100" t="s">
        <v>33</v>
      </c>
      <c r="E973" s="17" t="s">
        <v>595</v>
      </c>
      <c r="F973" s="18">
        <v>955</v>
      </c>
      <c r="G973" s="27"/>
      <c r="H973" s="1"/>
      <c r="I973" s="1"/>
      <c r="J973" s="1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" customHeight="1">
      <c r="A974" s="12"/>
      <c r="B974" s="109" t="s">
        <v>581</v>
      </c>
      <c r="C974" s="107" t="s">
        <v>343</v>
      </c>
      <c r="D974" s="100" t="s">
        <v>18</v>
      </c>
      <c r="E974" s="17">
        <v>1391</v>
      </c>
      <c r="F974" s="18">
        <v>720</v>
      </c>
      <c r="G974" s="27"/>
      <c r="H974" s="1"/>
      <c r="I974" s="1"/>
      <c r="J974" s="1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" customHeight="1">
      <c r="A975" s="12"/>
      <c r="B975" s="109" t="s">
        <v>593</v>
      </c>
      <c r="C975" s="106"/>
      <c r="D975" s="100" t="s">
        <v>20</v>
      </c>
      <c r="E975" s="17">
        <v>1392</v>
      </c>
      <c r="F975" s="18">
        <v>720</v>
      </c>
      <c r="G975" s="27"/>
      <c r="H975" s="1"/>
      <c r="I975" s="1"/>
      <c r="J975" s="1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" customHeight="1">
      <c r="A976" s="12"/>
      <c r="B976" s="108"/>
      <c r="C976" s="106"/>
      <c r="D976" s="100" t="s">
        <v>14</v>
      </c>
      <c r="E976" s="17">
        <v>1393</v>
      </c>
      <c r="F976" s="18">
        <v>573</v>
      </c>
      <c r="G976" s="27"/>
      <c r="H976" s="1"/>
      <c r="I976" s="1"/>
      <c r="J976" s="1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" customHeight="1">
      <c r="A977" s="12"/>
      <c r="B977" s="109" t="s">
        <v>581</v>
      </c>
      <c r="C977" s="107" t="s">
        <v>596</v>
      </c>
      <c r="D977" s="100" t="s">
        <v>14</v>
      </c>
      <c r="E977" s="17">
        <v>1515</v>
      </c>
      <c r="F977" s="18">
        <v>573</v>
      </c>
      <c r="G977" s="27"/>
      <c r="H977" s="1"/>
      <c r="I977" s="1"/>
      <c r="J977" s="1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" customHeight="1">
      <c r="A978" s="12"/>
      <c r="B978" s="109" t="s">
        <v>593</v>
      </c>
      <c r="C978" s="106"/>
      <c r="D978" s="100"/>
      <c r="E978" s="13"/>
      <c r="F978" s="18"/>
      <c r="G978" s="27"/>
      <c r="H978" s="1"/>
      <c r="I978" s="1"/>
      <c r="J978" s="1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" customHeight="1">
      <c r="A979" s="12"/>
      <c r="B979" s="109" t="s">
        <v>581</v>
      </c>
      <c r="C979" s="107" t="s">
        <v>229</v>
      </c>
      <c r="D979" s="100" t="s">
        <v>18</v>
      </c>
      <c r="E979" s="17">
        <v>432</v>
      </c>
      <c r="F979" s="18">
        <v>720</v>
      </c>
      <c r="G979" s="27"/>
      <c r="H979" s="1"/>
      <c r="I979" s="1"/>
      <c r="J979" s="1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" customHeight="1">
      <c r="A980" s="12"/>
      <c r="B980" s="109" t="s">
        <v>597</v>
      </c>
      <c r="C980" s="106"/>
      <c r="D980" s="100" t="s">
        <v>20</v>
      </c>
      <c r="E980" s="17">
        <v>433</v>
      </c>
      <c r="F980" s="18">
        <v>720</v>
      </c>
      <c r="G980" s="27"/>
      <c r="H980" s="1"/>
      <c r="I980" s="1"/>
      <c r="J980" s="1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" customHeight="1">
      <c r="A981" s="12"/>
      <c r="B981" s="108"/>
      <c r="C981" s="106"/>
      <c r="D981" s="100" t="s">
        <v>14</v>
      </c>
      <c r="E981" s="17">
        <v>434</v>
      </c>
      <c r="F981" s="18">
        <v>609</v>
      </c>
      <c r="G981" s="27"/>
      <c r="H981" s="1"/>
      <c r="I981" s="1"/>
      <c r="J981" s="1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" customHeight="1">
      <c r="A982" s="12"/>
      <c r="B982" s="108"/>
      <c r="C982" s="106"/>
      <c r="D982" s="100" t="s">
        <v>60</v>
      </c>
      <c r="E982" s="17">
        <v>435</v>
      </c>
      <c r="F982" s="18">
        <v>815</v>
      </c>
      <c r="G982" s="27"/>
      <c r="H982" s="1"/>
      <c r="I982" s="1"/>
      <c r="J982" s="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" customHeight="1">
      <c r="A983" s="12"/>
      <c r="B983" s="108"/>
      <c r="C983" s="106"/>
      <c r="D983" s="100" t="s">
        <v>61</v>
      </c>
      <c r="E983" s="17">
        <v>436</v>
      </c>
      <c r="F983" s="18">
        <v>1245</v>
      </c>
      <c r="G983" s="27"/>
      <c r="H983" s="1"/>
      <c r="I983" s="1"/>
      <c r="J983" s="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" customHeight="1">
      <c r="A984" s="12"/>
      <c r="B984" s="109" t="s">
        <v>581</v>
      </c>
      <c r="C984" s="107" t="s">
        <v>598</v>
      </c>
      <c r="D984" s="100" t="s">
        <v>18</v>
      </c>
      <c r="E984" s="17">
        <v>757</v>
      </c>
      <c r="F984" s="18">
        <v>720</v>
      </c>
      <c r="G984" s="27"/>
      <c r="H984" s="1"/>
      <c r="I984" s="1"/>
      <c r="J984" s="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" customHeight="1">
      <c r="A985" s="12"/>
      <c r="B985" s="109" t="s">
        <v>597</v>
      </c>
      <c r="C985" s="107" t="s">
        <v>599</v>
      </c>
      <c r="D985" s="100" t="s">
        <v>20</v>
      </c>
      <c r="E985" s="17">
        <v>758</v>
      </c>
      <c r="F985" s="18">
        <v>720</v>
      </c>
      <c r="G985" s="27"/>
      <c r="H985" s="1"/>
      <c r="I985" s="1"/>
      <c r="J985" s="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" customHeight="1">
      <c r="A986" s="12"/>
      <c r="B986" s="108"/>
      <c r="C986" s="107" t="s">
        <v>600</v>
      </c>
      <c r="D986" s="100" t="s">
        <v>14</v>
      </c>
      <c r="E986" s="17">
        <v>759</v>
      </c>
      <c r="F986" s="18">
        <v>609</v>
      </c>
      <c r="G986" s="27"/>
      <c r="H986" s="1"/>
      <c r="I986" s="1"/>
      <c r="J986" s="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" customHeight="1">
      <c r="A987" s="12"/>
      <c r="B987" s="108"/>
      <c r="C987" s="106"/>
      <c r="D987" s="100" t="s">
        <v>60</v>
      </c>
      <c r="E987" s="17">
        <v>760</v>
      </c>
      <c r="F987" s="18">
        <v>1245</v>
      </c>
      <c r="G987" s="27"/>
      <c r="H987" s="1"/>
      <c r="I987" s="1"/>
      <c r="J987" s="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" customHeight="1">
      <c r="A988" s="12"/>
      <c r="B988" s="108"/>
      <c r="C988" s="106"/>
      <c r="D988" s="100" t="s">
        <v>61</v>
      </c>
      <c r="E988" s="17">
        <v>761</v>
      </c>
      <c r="F988" s="18">
        <v>1691</v>
      </c>
      <c r="G988" s="27"/>
      <c r="H988" s="1"/>
      <c r="I988" s="1"/>
      <c r="J988" s="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" customHeight="1">
      <c r="A989" s="12"/>
      <c r="B989" s="108"/>
      <c r="C989" s="107" t="s">
        <v>582</v>
      </c>
      <c r="D989" s="100" t="s">
        <v>601</v>
      </c>
      <c r="E989" s="17">
        <v>766</v>
      </c>
      <c r="F989" s="18">
        <v>1395</v>
      </c>
      <c r="G989" s="27"/>
      <c r="H989" s="1"/>
      <c r="I989" s="1"/>
      <c r="J989" s="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" customHeight="1">
      <c r="A990" s="12"/>
      <c r="B990" s="109" t="s">
        <v>581</v>
      </c>
      <c r="C990" s="107" t="s">
        <v>582</v>
      </c>
      <c r="D990" s="100" t="s">
        <v>18</v>
      </c>
      <c r="E990" s="17">
        <v>1573</v>
      </c>
      <c r="F990" s="18">
        <v>720</v>
      </c>
      <c r="G990" s="27"/>
      <c r="H990" s="1"/>
      <c r="I990" s="1"/>
      <c r="J990" s="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" customHeight="1">
      <c r="A991" s="12"/>
      <c r="B991" s="109" t="s">
        <v>597</v>
      </c>
      <c r="C991" s="106"/>
      <c r="D991" s="100" t="s">
        <v>12</v>
      </c>
      <c r="E991" s="17">
        <v>1574</v>
      </c>
      <c r="F991" s="18">
        <v>368</v>
      </c>
      <c r="G991" s="27"/>
      <c r="H991" s="1"/>
      <c r="I991" s="1"/>
      <c r="J991" s="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27" customHeight="1">
      <c r="A992" s="12"/>
      <c r="B992" s="108"/>
      <c r="C992" s="106"/>
      <c r="D992" s="100" t="s">
        <v>14</v>
      </c>
      <c r="E992" s="17" t="s">
        <v>602</v>
      </c>
      <c r="F992" s="18">
        <v>623</v>
      </c>
      <c r="G992" s="27"/>
      <c r="H992" s="1"/>
      <c r="I992" s="1"/>
      <c r="J992" s="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" customHeight="1">
      <c r="A993" s="12"/>
      <c r="B993" s="108"/>
      <c r="C993" s="106"/>
      <c r="D993" s="100" t="s">
        <v>60</v>
      </c>
      <c r="E993" s="17">
        <v>1576</v>
      </c>
      <c r="F993" s="18">
        <v>815</v>
      </c>
      <c r="G993" s="27"/>
      <c r="H993" s="1"/>
      <c r="I993" s="1"/>
      <c r="J993" s="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" customHeight="1">
      <c r="A994" s="12"/>
      <c r="B994" s="108"/>
      <c r="C994" s="106"/>
      <c r="D994" s="100" t="s">
        <v>61</v>
      </c>
      <c r="E994" s="17">
        <v>1577</v>
      </c>
      <c r="F994" s="18">
        <v>1245</v>
      </c>
      <c r="G994" s="27"/>
      <c r="H994" s="1"/>
      <c r="I994" s="1"/>
      <c r="J994" s="1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" customHeight="1">
      <c r="A995" s="12"/>
      <c r="B995" s="108"/>
      <c r="C995" s="107" t="s">
        <v>603</v>
      </c>
      <c r="D995" s="100" t="s">
        <v>27</v>
      </c>
      <c r="E995" s="17">
        <v>1578</v>
      </c>
      <c r="F995" s="18">
        <v>1245</v>
      </c>
      <c r="G995" s="27"/>
      <c r="H995" s="1"/>
      <c r="I995" s="1"/>
      <c r="J995" s="1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" customHeight="1">
      <c r="A996" s="12"/>
      <c r="B996" s="108"/>
      <c r="C996" s="107" t="s">
        <v>603</v>
      </c>
      <c r="D996" s="100" t="s">
        <v>29</v>
      </c>
      <c r="E996" s="17">
        <v>1579</v>
      </c>
      <c r="F996" s="18">
        <v>1395</v>
      </c>
      <c r="G996" s="27"/>
      <c r="H996" s="1"/>
      <c r="I996" s="1"/>
      <c r="J996" s="1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27" customHeight="1">
      <c r="A997" s="12"/>
      <c r="B997" s="108"/>
      <c r="C997" s="106"/>
      <c r="D997" s="100" t="s">
        <v>33</v>
      </c>
      <c r="E997" s="17" t="s">
        <v>604</v>
      </c>
      <c r="F997" s="18">
        <v>1095</v>
      </c>
      <c r="G997" s="27"/>
      <c r="H997" s="1"/>
      <c r="I997" s="1"/>
      <c r="J997" s="1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" customHeight="1">
      <c r="A998" s="12"/>
      <c r="B998" s="109" t="s">
        <v>581</v>
      </c>
      <c r="C998" s="107" t="s">
        <v>605</v>
      </c>
      <c r="D998" s="100"/>
      <c r="E998" s="17"/>
      <c r="F998" s="18"/>
      <c r="G998" s="27"/>
      <c r="H998" s="1"/>
      <c r="I998" s="1"/>
      <c r="J998" s="1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customHeight="1">
      <c r="A999" s="12"/>
      <c r="B999" s="109" t="s">
        <v>597</v>
      </c>
      <c r="C999" s="106"/>
      <c r="D999" s="100" t="s">
        <v>20</v>
      </c>
      <c r="E999" s="17">
        <v>3119</v>
      </c>
      <c r="F999" s="18">
        <v>720</v>
      </c>
      <c r="G999" s="27"/>
      <c r="H999" s="1"/>
      <c r="I999" s="1"/>
      <c r="J999" s="1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 customHeight="1">
      <c r="A1000" s="12"/>
      <c r="B1000" s="108"/>
      <c r="C1000" s="106"/>
      <c r="D1000" s="100" t="s">
        <v>14</v>
      </c>
      <c r="E1000" s="17">
        <v>3120</v>
      </c>
      <c r="F1000" s="18">
        <v>509</v>
      </c>
      <c r="G1000" s="27"/>
      <c r="H1000" s="1"/>
      <c r="I1000" s="1"/>
      <c r="J1000" s="1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30.5" customHeight="1">
      <c r="A1001" s="12"/>
      <c r="B1001" s="108"/>
      <c r="C1001" s="106"/>
      <c r="D1001" s="100" t="s">
        <v>606</v>
      </c>
      <c r="E1001" s="17">
        <v>3126</v>
      </c>
      <c r="F1001" s="18">
        <v>573</v>
      </c>
      <c r="G1001" s="27"/>
      <c r="H1001" s="1"/>
      <c r="I1001" s="1"/>
      <c r="J1001" s="1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6" customHeight="1">
      <c r="A1002" s="12"/>
      <c r="B1002" s="109" t="s">
        <v>581</v>
      </c>
      <c r="C1002" s="107" t="s">
        <v>607</v>
      </c>
      <c r="D1002" s="100" t="s">
        <v>22</v>
      </c>
      <c r="E1002" s="17">
        <v>1064</v>
      </c>
      <c r="F1002" s="18">
        <v>764</v>
      </c>
      <c r="G1002" s="27"/>
      <c r="H1002" s="1"/>
      <c r="I1002" s="1"/>
      <c r="J1002" s="1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6" customHeight="1">
      <c r="A1003" s="12"/>
      <c r="B1003" s="109" t="s">
        <v>608</v>
      </c>
      <c r="C1003" s="106"/>
      <c r="D1003" s="100"/>
      <c r="E1003" s="13"/>
      <c r="F1003" s="18">
        <v>764</v>
      </c>
      <c r="G1003" s="27"/>
      <c r="H1003" s="1"/>
      <c r="I1003" s="1"/>
      <c r="J1003" s="1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6" customHeight="1">
      <c r="A1004" s="12"/>
      <c r="B1004" s="108"/>
      <c r="C1004" s="107" t="s">
        <v>609</v>
      </c>
      <c r="D1004" s="100" t="s">
        <v>610</v>
      </c>
      <c r="E1004" s="17">
        <v>3416</v>
      </c>
      <c r="F1004" s="18">
        <v>434</v>
      </c>
      <c r="G1004" s="27"/>
      <c r="H1004" s="1"/>
      <c r="I1004" s="1"/>
      <c r="J1004" s="1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6" customHeight="1">
      <c r="A1005" s="12"/>
      <c r="B1005" s="109" t="s">
        <v>581</v>
      </c>
      <c r="C1005" s="107" t="s">
        <v>611</v>
      </c>
      <c r="D1005" s="100" t="s">
        <v>12</v>
      </c>
      <c r="E1005" s="17">
        <v>3427</v>
      </c>
      <c r="F1005" s="18">
        <v>2795</v>
      </c>
      <c r="G1005" s="27"/>
      <c r="H1005" s="1"/>
      <c r="I1005" s="1"/>
      <c r="J1005" s="1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6" customHeight="1">
      <c r="A1006" s="12"/>
      <c r="B1006" s="109" t="s">
        <v>608</v>
      </c>
      <c r="C1006" s="106"/>
      <c r="D1006" s="100"/>
      <c r="E1006" s="13"/>
      <c r="F1006" s="18">
        <v>2795</v>
      </c>
      <c r="G1006" s="27"/>
      <c r="H1006" s="1"/>
      <c r="I1006" s="1"/>
      <c r="J1006" s="1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6" customHeight="1">
      <c r="A1007" s="12"/>
      <c r="B1007" s="109" t="s">
        <v>581</v>
      </c>
      <c r="C1007" s="107" t="s">
        <v>474</v>
      </c>
      <c r="D1007" s="100" t="s">
        <v>124</v>
      </c>
      <c r="E1007" s="17">
        <v>3157</v>
      </c>
      <c r="F1007" s="18">
        <v>764</v>
      </c>
      <c r="G1007" s="27"/>
      <c r="H1007" s="1"/>
      <c r="I1007" s="1"/>
      <c r="J1007" s="1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6" customHeight="1">
      <c r="A1008" s="12"/>
      <c r="B1008" s="109" t="s">
        <v>608</v>
      </c>
      <c r="C1008" s="106"/>
      <c r="D1008" s="100"/>
      <c r="E1008" s="13"/>
      <c r="F1008" s="18">
        <v>764</v>
      </c>
      <c r="G1008" s="27"/>
      <c r="H1008" s="1"/>
      <c r="I1008" s="1"/>
      <c r="J1008" s="1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6" customHeight="1">
      <c r="A1009" s="12"/>
      <c r="B1009" s="109" t="s">
        <v>581</v>
      </c>
      <c r="C1009" s="107" t="s">
        <v>612</v>
      </c>
      <c r="D1009" s="100" t="s">
        <v>18</v>
      </c>
      <c r="E1009" s="17">
        <v>1459</v>
      </c>
      <c r="F1009" s="18">
        <v>955</v>
      </c>
      <c r="G1009" s="27"/>
      <c r="H1009" s="1"/>
      <c r="I1009" s="1"/>
      <c r="J1009" s="1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6" customHeight="1">
      <c r="A1010" s="12"/>
      <c r="B1010" s="109" t="s">
        <v>608</v>
      </c>
      <c r="C1010" s="106"/>
      <c r="D1010" s="100" t="s">
        <v>103</v>
      </c>
      <c r="E1010" s="17">
        <v>1460</v>
      </c>
      <c r="F1010" s="18">
        <v>764</v>
      </c>
      <c r="G1010" s="27"/>
      <c r="H1010" s="1"/>
      <c r="I1010" s="1"/>
      <c r="J1010" s="1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6" customHeight="1">
      <c r="A1011" s="12"/>
      <c r="B1011" s="108"/>
      <c r="C1011" s="106"/>
      <c r="D1011" s="100" t="s">
        <v>14</v>
      </c>
      <c r="E1011" s="17">
        <v>1461</v>
      </c>
      <c r="F1011" s="18">
        <v>1273</v>
      </c>
      <c r="G1011" s="27"/>
      <c r="H1011" s="1"/>
      <c r="I1011" s="1"/>
      <c r="J1011" s="1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6" customHeight="1">
      <c r="A1012" s="12"/>
      <c r="B1012" s="108"/>
      <c r="C1012" s="106"/>
      <c r="D1012" s="100" t="s">
        <v>29</v>
      </c>
      <c r="E1012" s="17">
        <v>1462</v>
      </c>
      <c r="F1012" s="18">
        <v>1145</v>
      </c>
      <c r="G1012" s="27"/>
      <c r="H1012" s="1"/>
      <c r="I1012" s="1"/>
      <c r="J1012" s="1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6" customHeight="1">
      <c r="A1013" s="12"/>
      <c r="B1013" s="108"/>
      <c r="C1013" s="106"/>
      <c r="D1013" s="100" t="s">
        <v>65</v>
      </c>
      <c r="E1013" s="17">
        <v>1475</v>
      </c>
      <c r="F1013" s="18">
        <v>318</v>
      </c>
      <c r="G1013" s="27"/>
      <c r="H1013" s="1"/>
      <c r="I1013" s="1"/>
      <c r="J1013" s="1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6" customHeight="1">
      <c r="A1014" s="12"/>
      <c r="B1014" s="108"/>
      <c r="C1014" s="106"/>
      <c r="D1014" s="100" t="s">
        <v>22</v>
      </c>
      <c r="E1014" s="13"/>
      <c r="F1014" s="18">
        <v>1591</v>
      </c>
      <c r="G1014" s="27"/>
      <c r="H1014" s="1"/>
      <c r="I1014" s="1"/>
      <c r="J1014" s="1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30" customHeight="1">
      <c r="A1015" s="12"/>
      <c r="B1015" s="109" t="s">
        <v>581</v>
      </c>
      <c r="C1015" s="107" t="s">
        <v>516</v>
      </c>
      <c r="D1015" s="100" t="s">
        <v>26</v>
      </c>
      <c r="E1015" s="17">
        <v>1472</v>
      </c>
      <c r="F1015" s="18">
        <v>764</v>
      </c>
      <c r="G1015" s="27"/>
      <c r="H1015" s="1"/>
      <c r="I1015" s="1"/>
      <c r="J1015" s="1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6" customHeight="1">
      <c r="A1016" s="12"/>
      <c r="B1016" s="109" t="s">
        <v>608</v>
      </c>
      <c r="C1016" s="106"/>
      <c r="D1016" s="100" t="s">
        <v>22</v>
      </c>
      <c r="E1016" s="17">
        <v>1463</v>
      </c>
      <c r="F1016" s="18">
        <v>955</v>
      </c>
      <c r="G1016" s="27"/>
      <c r="H1016" s="1"/>
      <c r="I1016" s="1"/>
      <c r="J1016" s="1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6" customHeight="1">
      <c r="A1017" s="12"/>
      <c r="B1017" s="108"/>
      <c r="C1017" s="106"/>
      <c r="D1017" s="100" t="s">
        <v>34</v>
      </c>
      <c r="E1017" s="17" t="s">
        <v>613</v>
      </c>
      <c r="F1017" s="18">
        <v>573</v>
      </c>
      <c r="G1017" s="27"/>
      <c r="H1017" s="1"/>
      <c r="I1017" s="1"/>
      <c r="J1017" s="1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ht="16" customHeight="1">
      <c r="A1018" s="12"/>
      <c r="B1018" s="109" t="s">
        <v>581</v>
      </c>
      <c r="C1018" s="107" t="s">
        <v>614</v>
      </c>
      <c r="D1018" s="100" t="s">
        <v>103</v>
      </c>
      <c r="E1018" s="17">
        <v>1675</v>
      </c>
      <c r="F1018" s="18">
        <v>1145</v>
      </c>
      <c r="G1018" s="27"/>
      <c r="H1018" s="1"/>
      <c r="I1018" s="1"/>
      <c r="J1018" s="1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ht="16" customHeight="1">
      <c r="A1019" s="12"/>
      <c r="B1019" s="109" t="s">
        <v>608</v>
      </c>
      <c r="C1019" s="107" t="s">
        <v>614</v>
      </c>
      <c r="D1019" s="100" t="s">
        <v>53</v>
      </c>
      <c r="E1019" s="17">
        <v>3400</v>
      </c>
      <c r="F1019" s="18">
        <v>1145</v>
      </c>
      <c r="G1019" s="27"/>
      <c r="H1019" s="1"/>
      <c r="I1019" s="1"/>
      <c r="J1019" s="1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ht="16" customHeight="1">
      <c r="A1020" s="12"/>
      <c r="B1020" s="109" t="s">
        <v>608</v>
      </c>
      <c r="C1020" s="107" t="s">
        <v>615</v>
      </c>
      <c r="D1020" s="100" t="s">
        <v>103</v>
      </c>
      <c r="E1020" s="17">
        <v>1625</v>
      </c>
      <c r="F1020" s="18">
        <v>1273</v>
      </c>
      <c r="G1020" s="27"/>
      <c r="H1020" s="1"/>
      <c r="I1020" s="1"/>
      <c r="J1020" s="1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ht="16" customHeight="1">
      <c r="A1021" s="12"/>
      <c r="B1021" s="108"/>
      <c r="C1021" s="106"/>
      <c r="D1021" s="100" t="s">
        <v>156</v>
      </c>
      <c r="E1021" s="17">
        <v>1762</v>
      </c>
      <c r="F1021" s="18">
        <v>318</v>
      </c>
      <c r="G1021" s="27"/>
      <c r="H1021" s="1"/>
      <c r="I1021" s="1"/>
      <c r="J1021" s="1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ht="16" customHeight="1">
      <c r="A1022" s="12"/>
      <c r="B1022" s="108"/>
      <c r="C1022" s="107" t="s">
        <v>577</v>
      </c>
      <c r="D1022" s="100" t="s">
        <v>103</v>
      </c>
      <c r="E1022" s="17">
        <v>1715</v>
      </c>
      <c r="F1022" s="18">
        <v>1591</v>
      </c>
      <c r="G1022" s="27"/>
      <c r="H1022" s="1"/>
      <c r="I1022" s="1"/>
      <c r="J1022" s="1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ht="16" customHeight="1">
      <c r="A1023" s="12"/>
      <c r="B1023" s="109" t="s">
        <v>581</v>
      </c>
      <c r="C1023" s="107" t="s">
        <v>616</v>
      </c>
      <c r="D1023" s="100" t="s">
        <v>18</v>
      </c>
      <c r="E1023" s="17">
        <v>3380</v>
      </c>
      <c r="F1023" s="18">
        <v>1955</v>
      </c>
      <c r="G1023" s="27"/>
      <c r="H1023" s="1"/>
      <c r="I1023" s="1"/>
      <c r="J1023" s="1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ht="16" customHeight="1">
      <c r="A1024" s="12"/>
      <c r="B1024" s="109" t="s">
        <v>608</v>
      </c>
      <c r="C1024" s="106"/>
      <c r="D1024" s="100" t="s">
        <v>20</v>
      </c>
      <c r="E1024" s="17">
        <v>3381</v>
      </c>
      <c r="F1024" s="18">
        <v>1955</v>
      </c>
      <c r="G1024" s="27"/>
      <c r="H1024" s="1"/>
      <c r="I1024" s="1"/>
      <c r="J1024" s="1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ht="16" customHeight="1">
      <c r="A1025" s="12"/>
      <c r="B1025" s="108"/>
      <c r="C1025" s="106"/>
      <c r="D1025" s="100" t="s">
        <v>14</v>
      </c>
      <c r="E1025" s="17">
        <v>3382</v>
      </c>
      <c r="F1025" s="18">
        <v>1273</v>
      </c>
      <c r="G1025" s="27"/>
      <c r="H1025" s="1"/>
      <c r="I1025" s="1"/>
      <c r="J1025" s="1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 ht="16" customHeight="1">
      <c r="A1026" s="12"/>
      <c r="B1026" s="108"/>
      <c r="C1026" s="106"/>
      <c r="D1026" s="100" t="s">
        <v>60</v>
      </c>
      <c r="E1026" s="17">
        <v>3383</v>
      </c>
      <c r="F1026" s="18">
        <v>2227</v>
      </c>
      <c r="G1026" s="27"/>
      <c r="H1026" s="1"/>
      <c r="I1026" s="1"/>
      <c r="J1026" s="1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spans="1:27" ht="16" customHeight="1">
      <c r="A1027" s="12"/>
      <c r="B1027" s="108"/>
      <c r="C1027" s="106"/>
      <c r="D1027" s="100" t="s">
        <v>61</v>
      </c>
      <c r="E1027" s="17">
        <v>3384</v>
      </c>
      <c r="F1027" s="18">
        <v>2227</v>
      </c>
      <c r="G1027" s="27"/>
      <c r="H1027" s="1"/>
      <c r="I1027" s="1"/>
      <c r="J1027" s="1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spans="1:27" ht="30.5" customHeight="1">
      <c r="A1028" s="12"/>
      <c r="B1028" s="108"/>
      <c r="C1028" s="106"/>
      <c r="D1028" s="100" t="s">
        <v>26</v>
      </c>
      <c r="E1028" s="17">
        <v>3385</v>
      </c>
      <c r="F1028" s="18">
        <v>1145</v>
      </c>
      <c r="G1028" s="27"/>
      <c r="H1028" s="1"/>
      <c r="I1028" s="1"/>
      <c r="J1028" s="1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spans="1:27" ht="16" customHeight="1">
      <c r="A1029" s="12"/>
      <c r="B1029" s="108"/>
      <c r="C1029" s="106"/>
      <c r="D1029" s="100" t="s">
        <v>27</v>
      </c>
      <c r="E1029" s="17">
        <v>3386</v>
      </c>
      <c r="F1029" s="18">
        <v>1782</v>
      </c>
      <c r="G1029" s="27"/>
      <c r="H1029" s="1"/>
      <c r="I1029" s="1"/>
      <c r="J1029" s="1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spans="1:27" ht="16" customHeight="1">
      <c r="A1030" s="12"/>
      <c r="B1030" s="108"/>
      <c r="C1030" s="106"/>
      <c r="D1030" s="100" t="s">
        <v>29</v>
      </c>
      <c r="E1030" s="17">
        <v>3387</v>
      </c>
      <c r="F1030" s="18">
        <v>1591</v>
      </c>
      <c r="G1030" s="27"/>
      <c r="H1030" s="1"/>
      <c r="I1030" s="1"/>
      <c r="J1030" s="1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spans="1:27" ht="16" customHeight="1">
      <c r="A1031" s="12"/>
      <c r="B1031" s="108"/>
      <c r="C1031" s="106"/>
      <c r="D1031" s="100" t="s">
        <v>617</v>
      </c>
      <c r="E1031" s="17">
        <v>3388</v>
      </c>
      <c r="F1031" s="18">
        <v>764</v>
      </c>
      <c r="G1031" s="27"/>
      <c r="H1031" s="1"/>
      <c r="I1031" s="1"/>
      <c r="J1031" s="1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spans="1:27" ht="16" customHeight="1">
      <c r="A1032" s="12"/>
      <c r="B1032" s="108"/>
      <c r="C1032" s="106"/>
      <c r="D1032" s="100" t="s">
        <v>200</v>
      </c>
      <c r="E1032" s="17">
        <v>3389</v>
      </c>
      <c r="F1032" s="18">
        <v>2864</v>
      </c>
      <c r="G1032" s="27"/>
      <c r="H1032" s="1"/>
      <c r="I1032" s="1"/>
      <c r="J1032" s="1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spans="1:27" ht="16" customHeight="1">
      <c r="A1033" s="12"/>
      <c r="B1033" s="108"/>
      <c r="C1033" s="106"/>
      <c r="D1033" s="100" t="s">
        <v>65</v>
      </c>
      <c r="E1033" s="17">
        <v>3390</v>
      </c>
      <c r="F1033" s="18">
        <v>2418</v>
      </c>
      <c r="G1033" s="27"/>
      <c r="H1033" s="1"/>
      <c r="I1033" s="1"/>
      <c r="J1033" s="1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spans="1:27" ht="16" customHeight="1">
      <c r="A1034" s="12"/>
      <c r="B1034" s="109" t="s">
        <v>581</v>
      </c>
      <c r="C1034" s="107" t="s">
        <v>527</v>
      </c>
      <c r="D1034" s="100" t="s">
        <v>18</v>
      </c>
      <c r="E1034" s="17">
        <v>1652</v>
      </c>
      <c r="F1034" s="18">
        <v>955</v>
      </c>
      <c r="G1034" s="27"/>
      <c r="H1034" s="1"/>
      <c r="I1034" s="1"/>
      <c r="J1034" s="1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spans="1:27" ht="16" customHeight="1">
      <c r="A1035" s="12"/>
      <c r="B1035" s="109" t="s">
        <v>618</v>
      </c>
      <c r="C1035" s="107" t="s">
        <v>619</v>
      </c>
      <c r="D1035" s="100" t="s">
        <v>18</v>
      </c>
      <c r="E1035" s="17">
        <v>1708</v>
      </c>
      <c r="F1035" s="18">
        <v>1591</v>
      </c>
      <c r="G1035" s="27"/>
      <c r="H1035" s="1"/>
      <c r="I1035" s="1"/>
      <c r="J1035" s="1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spans="1:27" ht="16" customHeight="1">
      <c r="A1036" s="12"/>
      <c r="B1036" s="108"/>
      <c r="C1036" s="106"/>
      <c r="D1036" s="100" t="s">
        <v>103</v>
      </c>
      <c r="E1036" s="17">
        <v>1709</v>
      </c>
      <c r="F1036" s="18">
        <v>955</v>
      </c>
      <c r="G1036" s="27"/>
      <c r="H1036" s="1"/>
      <c r="I1036" s="1"/>
      <c r="J1036" s="1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spans="1:27" ht="16" customHeight="1">
      <c r="A1037" s="12"/>
      <c r="B1037" s="108"/>
      <c r="C1037" s="106"/>
      <c r="D1037" s="100" t="s">
        <v>402</v>
      </c>
      <c r="E1037" s="17">
        <v>1710</v>
      </c>
      <c r="F1037" s="18">
        <v>1145</v>
      </c>
      <c r="G1037" s="27"/>
      <c r="H1037" s="1"/>
      <c r="I1037" s="1"/>
      <c r="J1037" s="1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spans="1:27" ht="16" customHeight="1">
      <c r="A1038" s="12"/>
      <c r="B1038" s="108"/>
      <c r="C1038" s="106"/>
      <c r="D1038" s="100" t="s">
        <v>54</v>
      </c>
      <c r="E1038" s="17">
        <v>1711</v>
      </c>
      <c r="F1038" s="18">
        <v>191</v>
      </c>
      <c r="G1038" s="27"/>
      <c r="H1038" s="1"/>
      <c r="I1038" s="1"/>
      <c r="J1038" s="1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 ht="16" customHeight="1">
      <c r="A1039" s="12"/>
      <c r="B1039" s="108"/>
      <c r="C1039" s="106"/>
      <c r="D1039" s="100" t="s">
        <v>152</v>
      </c>
      <c r="E1039" s="17">
        <v>1712</v>
      </c>
      <c r="F1039" s="18">
        <v>955</v>
      </c>
      <c r="G1039" s="27"/>
      <c r="H1039" s="1"/>
      <c r="I1039" s="1"/>
      <c r="J1039" s="1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spans="1:27" ht="16" customHeight="1">
      <c r="A1040" s="12"/>
      <c r="B1040" s="109" t="s">
        <v>581</v>
      </c>
      <c r="C1040" s="107" t="s">
        <v>620</v>
      </c>
      <c r="D1040" s="100" t="s">
        <v>18</v>
      </c>
      <c r="E1040" s="17">
        <v>2000</v>
      </c>
      <c r="F1040" s="18">
        <v>955</v>
      </c>
      <c r="G1040" s="27"/>
      <c r="H1040" s="1"/>
      <c r="I1040" s="1"/>
      <c r="J1040" s="1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spans="1:27" ht="16" customHeight="1">
      <c r="A1041" s="12"/>
      <c r="B1041" s="109" t="s">
        <v>618</v>
      </c>
      <c r="C1041" s="106"/>
      <c r="D1041" s="100" t="s">
        <v>103</v>
      </c>
      <c r="E1041" s="17">
        <v>2001</v>
      </c>
      <c r="F1041" s="18">
        <v>1145</v>
      </c>
      <c r="G1041" s="27"/>
      <c r="H1041" s="1"/>
      <c r="I1041" s="1"/>
      <c r="J1041" s="1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spans="1:27" ht="16" customHeight="1">
      <c r="A1042" s="12"/>
      <c r="B1042" s="108"/>
      <c r="C1042" s="106"/>
      <c r="D1042" s="100" t="s">
        <v>63</v>
      </c>
      <c r="E1042" s="17" t="s">
        <v>621</v>
      </c>
      <c r="F1042" s="18">
        <v>955</v>
      </c>
      <c r="G1042" s="27"/>
      <c r="H1042" s="1"/>
      <c r="I1042" s="1"/>
      <c r="J1042" s="1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spans="1:27" ht="16" customHeight="1">
      <c r="A1043" s="12"/>
      <c r="B1043" s="108"/>
      <c r="C1043" s="106"/>
      <c r="D1043" s="100" t="s">
        <v>29</v>
      </c>
      <c r="E1043" s="17">
        <v>2003</v>
      </c>
      <c r="F1043" s="18">
        <v>764</v>
      </c>
      <c r="G1043" s="27"/>
      <c r="H1043" s="1"/>
      <c r="I1043" s="1"/>
      <c r="J1043" s="1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spans="1:27" ht="16" customHeight="1">
      <c r="A1044" s="12"/>
      <c r="B1044" s="108"/>
      <c r="C1044" s="106"/>
      <c r="D1044" s="100" t="s">
        <v>60</v>
      </c>
      <c r="E1044" s="17">
        <v>2004</v>
      </c>
      <c r="F1044" s="18">
        <v>2227</v>
      </c>
      <c r="G1044" s="27"/>
      <c r="H1044" s="1"/>
      <c r="I1044" s="1"/>
      <c r="J1044" s="1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spans="1:27" ht="16" customHeight="1">
      <c r="A1045" s="12"/>
      <c r="B1045" s="108"/>
      <c r="C1045" s="106"/>
      <c r="D1045" s="100" t="s">
        <v>60</v>
      </c>
      <c r="E1045" s="17">
        <v>2005</v>
      </c>
      <c r="F1045" s="18">
        <v>318</v>
      </c>
      <c r="G1045" s="27"/>
      <c r="H1045" s="1"/>
      <c r="I1045" s="1"/>
      <c r="J1045" s="1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spans="1:27" ht="16" customHeight="1">
      <c r="A1046" s="12"/>
      <c r="B1046" s="108"/>
      <c r="C1046" s="106"/>
      <c r="D1046" s="100" t="s">
        <v>61</v>
      </c>
      <c r="E1046" s="17">
        <v>2006</v>
      </c>
      <c r="F1046" s="18">
        <v>2227</v>
      </c>
      <c r="G1046" s="27"/>
      <c r="H1046" s="1"/>
      <c r="I1046" s="1"/>
      <c r="J1046" s="1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spans="1:27" ht="16" customHeight="1">
      <c r="A1047" s="12"/>
      <c r="B1047" s="108"/>
      <c r="C1047" s="106"/>
      <c r="D1047" s="100" t="s">
        <v>61</v>
      </c>
      <c r="E1047" s="17">
        <v>2007</v>
      </c>
      <c r="F1047" s="18">
        <v>318</v>
      </c>
      <c r="G1047" s="27"/>
      <c r="H1047" s="1"/>
      <c r="I1047" s="1"/>
      <c r="J1047" s="1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spans="1:27" ht="18.75" customHeight="1">
      <c r="A1048" s="12"/>
      <c r="B1048" s="108"/>
      <c r="C1048" s="106"/>
      <c r="D1048" s="100" t="s">
        <v>200</v>
      </c>
      <c r="E1048" s="17">
        <v>2008</v>
      </c>
      <c r="F1048" s="18">
        <v>2864</v>
      </c>
      <c r="G1048" s="27"/>
      <c r="H1048" s="1"/>
      <c r="I1048" s="1"/>
      <c r="J1048" s="1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spans="1:27" ht="16" customHeight="1">
      <c r="A1049" s="12"/>
      <c r="B1049" s="108"/>
      <c r="C1049" s="107" t="s">
        <v>622</v>
      </c>
      <c r="D1049" s="100" t="s">
        <v>623</v>
      </c>
      <c r="E1049" s="17">
        <v>2009</v>
      </c>
      <c r="F1049" s="18">
        <v>509</v>
      </c>
      <c r="G1049" s="27"/>
      <c r="H1049" s="1"/>
      <c r="I1049" s="1"/>
      <c r="J1049" s="1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 ht="16" customHeight="1">
      <c r="A1050" s="12"/>
      <c r="B1050" s="108"/>
      <c r="C1050" s="106"/>
      <c r="D1050" s="100" t="s">
        <v>34</v>
      </c>
      <c r="E1050" s="17">
        <v>2010</v>
      </c>
      <c r="F1050" s="18">
        <v>382</v>
      </c>
      <c r="G1050" s="27"/>
      <c r="H1050" s="1"/>
      <c r="I1050" s="1"/>
      <c r="J1050" s="1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spans="1:27" ht="16" customHeight="1">
      <c r="A1051" s="12"/>
      <c r="B1051" s="108"/>
      <c r="C1051" s="106"/>
      <c r="D1051" s="100" t="s">
        <v>624</v>
      </c>
      <c r="E1051" s="17">
        <v>2011</v>
      </c>
      <c r="F1051" s="18">
        <v>127</v>
      </c>
      <c r="G1051" s="27"/>
      <c r="H1051" s="1"/>
      <c r="I1051" s="1"/>
      <c r="J1051" s="1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spans="1:27" ht="16" customHeight="1">
      <c r="A1052" s="12"/>
      <c r="B1052" s="109" t="s">
        <v>581</v>
      </c>
      <c r="C1052" s="107" t="s">
        <v>109</v>
      </c>
      <c r="D1052" s="100" t="s">
        <v>18</v>
      </c>
      <c r="E1052" s="17">
        <v>2021</v>
      </c>
      <c r="F1052" s="18">
        <v>955</v>
      </c>
      <c r="G1052" s="27"/>
      <c r="H1052" s="1"/>
      <c r="I1052" s="1"/>
      <c r="J1052" s="1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spans="1:27" ht="16" customHeight="1">
      <c r="A1053" s="12"/>
      <c r="B1053" s="109" t="s">
        <v>618</v>
      </c>
      <c r="C1053" s="106"/>
      <c r="D1053" s="100" t="s">
        <v>60</v>
      </c>
      <c r="E1053" s="17">
        <v>2019</v>
      </c>
      <c r="F1053" s="18">
        <v>2227</v>
      </c>
      <c r="G1053" s="27"/>
      <c r="H1053" s="1"/>
      <c r="I1053" s="1"/>
      <c r="J1053" s="1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spans="1:27" ht="16" customHeight="1">
      <c r="A1054" s="12"/>
      <c r="B1054" s="108"/>
      <c r="C1054" s="106"/>
      <c r="D1054" s="100" t="s">
        <v>61</v>
      </c>
      <c r="E1054" s="17">
        <v>2020</v>
      </c>
      <c r="F1054" s="18">
        <v>2227</v>
      </c>
      <c r="G1054" s="27"/>
      <c r="H1054" s="1"/>
      <c r="I1054" s="1"/>
      <c r="J1054" s="1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spans="1:27" ht="27" customHeight="1">
      <c r="A1055" s="12"/>
      <c r="B1055" s="108"/>
      <c r="C1055" s="106"/>
      <c r="D1055" s="100" t="s">
        <v>29</v>
      </c>
      <c r="E1055" s="17" t="s">
        <v>625</v>
      </c>
      <c r="F1055" s="18">
        <v>955</v>
      </c>
      <c r="G1055" s="27"/>
      <c r="H1055" s="1"/>
      <c r="I1055" s="1"/>
      <c r="J1055" s="1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spans="1:27" ht="16" customHeight="1">
      <c r="A1056" s="12"/>
      <c r="B1056" s="108"/>
      <c r="C1056" s="107" t="s">
        <v>109</v>
      </c>
      <c r="D1056" s="100" t="s">
        <v>626</v>
      </c>
      <c r="E1056" s="17">
        <v>2372</v>
      </c>
      <c r="F1056" s="18">
        <v>1145</v>
      </c>
      <c r="G1056" s="27"/>
      <c r="H1056" s="1"/>
      <c r="I1056" s="1"/>
      <c r="J1056" s="1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spans="1:27" ht="16" customHeight="1">
      <c r="A1057" s="12"/>
      <c r="B1057" s="109" t="s">
        <v>581</v>
      </c>
      <c r="C1057" s="107" t="s">
        <v>465</v>
      </c>
      <c r="D1057" s="100" t="s">
        <v>18</v>
      </c>
      <c r="E1057" s="17">
        <v>1683</v>
      </c>
      <c r="F1057" s="18">
        <v>1273</v>
      </c>
      <c r="G1057" s="27"/>
      <c r="H1057" s="1"/>
      <c r="I1057" s="1"/>
      <c r="J1057" s="1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:27" ht="30" customHeight="1">
      <c r="A1058" s="12"/>
      <c r="B1058" s="109" t="s">
        <v>618</v>
      </c>
      <c r="C1058" s="107" t="s">
        <v>287</v>
      </c>
      <c r="D1058" s="100" t="s">
        <v>627</v>
      </c>
      <c r="E1058" s="17">
        <v>1685</v>
      </c>
      <c r="F1058" s="18">
        <v>1591</v>
      </c>
      <c r="G1058" s="27"/>
      <c r="H1058" s="1"/>
      <c r="I1058" s="1"/>
      <c r="J1058" s="1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 ht="16" customHeight="1">
      <c r="A1059" s="12"/>
      <c r="B1059" s="108"/>
      <c r="C1059" s="106"/>
      <c r="D1059" s="100" t="s">
        <v>628</v>
      </c>
      <c r="E1059" s="17">
        <v>1684</v>
      </c>
      <c r="F1059" s="18">
        <v>286</v>
      </c>
      <c r="G1059" s="27"/>
      <c r="H1059" s="1"/>
      <c r="I1059" s="1"/>
      <c r="J1059" s="1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spans="1:27" ht="30.5" customHeight="1">
      <c r="A1060" s="12"/>
      <c r="B1060" s="108"/>
      <c r="C1060" s="106"/>
      <c r="D1060" s="100" t="s">
        <v>629</v>
      </c>
      <c r="E1060" s="17">
        <v>1692</v>
      </c>
      <c r="F1060" s="18">
        <v>127</v>
      </c>
      <c r="G1060" s="27"/>
      <c r="H1060" s="1"/>
      <c r="I1060" s="1"/>
      <c r="J1060" s="1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spans="1:27" ht="16" customHeight="1">
      <c r="A1061" s="12"/>
      <c r="B1061" s="108"/>
      <c r="C1061" s="106"/>
      <c r="D1061" s="100" t="s">
        <v>60</v>
      </c>
      <c r="E1061" s="17">
        <v>1686</v>
      </c>
      <c r="F1061" s="18">
        <v>2227</v>
      </c>
      <c r="G1061" s="27"/>
      <c r="H1061" s="1"/>
      <c r="I1061" s="1"/>
      <c r="J1061" s="1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spans="1:27" ht="18.75" customHeight="1">
      <c r="A1062" s="12"/>
      <c r="B1062" s="108"/>
      <c r="C1062" s="106"/>
      <c r="D1062" s="100" t="s">
        <v>628</v>
      </c>
      <c r="E1062" s="17">
        <v>1687</v>
      </c>
      <c r="F1062" s="18">
        <v>509</v>
      </c>
      <c r="G1062" s="27"/>
      <c r="H1062" s="1"/>
      <c r="I1062" s="1"/>
      <c r="J1062" s="1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spans="1:27" ht="30.5" customHeight="1">
      <c r="A1063" s="12"/>
      <c r="B1063" s="108"/>
      <c r="C1063" s="106"/>
      <c r="D1063" s="100" t="s">
        <v>630</v>
      </c>
      <c r="E1063" s="17">
        <v>1688</v>
      </c>
      <c r="F1063" s="18">
        <v>1145</v>
      </c>
      <c r="G1063" s="27"/>
      <c r="H1063" s="1"/>
      <c r="I1063" s="1"/>
      <c r="J1063" s="1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spans="1:27" ht="30.5" customHeight="1">
      <c r="A1064" s="12"/>
      <c r="B1064" s="108"/>
      <c r="C1064" s="106"/>
      <c r="D1064" s="100" t="s">
        <v>631</v>
      </c>
      <c r="E1064" s="17">
        <v>1689</v>
      </c>
      <c r="F1064" s="18">
        <v>764</v>
      </c>
      <c r="G1064" s="27"/>
      <c r="H1064" s="1"/>
      <c r="I1064" s="1"/>
      <c r="J1064" s="1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:27" ht="16" customHeight="1">
      <c r="A1065" s="12"/>
      <c r="B1065" s="108"/>
      <c r="C1065" s="106"/>
      <c r="D1065" s="100" t="s">
        <v>22</v>
      </c>
      <c r="E1065" s="17">
        <v>1723</v>
      </c>
      <c r="F1065" s="18">
        <v>1591</v>
      </c>
      <c r="G1065" s="27"/>
      <c r="H1065" s="1"/>
      <c r="I1065" s="1"/>
      <c r="J1065" s="1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spans="1:27" ht="16" customHeight="1">
      <c r="A1066" s="12"/>
      <c r="B1066" s="108"/>
      <c r="C1066" s="106"/>
      <c r="D1066" s="100" t="s">
        <v>632</v>
      </c>
      <c r="E1066" s="17">
        <v>2245</v>
      </c>
      <c r="F1066" s="18">
        <v>1782</v>
      </c>
      <c r="G1066" s="27"/>
      <c r="H1066" s="1"/>
      <c r="I1066" s="1"/>
      <c r="J1066" s="1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spans="1:27" ht="27" customHeight="1">
      <c r="A1067" s="12"/>
      <c r="B1067" s="108"/>
      <c r="C1067" s="106"/>
      <c r="D1067" s="100" t="s">
        <v>55</v>
      </c>
      <c r="E1067" s="17" t="s">
        <v>633</v>
      </c>
      <c r="F1067" s="18">
        <v>509</v>
      </c>
      <c r="G1067" s="27"/>
      <c r="H1067" s="1"/>
      <c r="I1067" s="1"/>
      <c r="J1067" s="1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 ht="16" customHeight="1">
      <c r="A1068" s="12"/>
      <c r="B1068" s="108"/>
      <c r="C1068" s="106"/>
      <c r="D1068" s="100" t="s">
        <v>632</v>
      </c>
      <c r="E1068" s="17">
        <v>2247</v>
      </c>
      <c r="F1068" s="18">
        <v>1782</v>
      </c>
      <c r="G1068" s="27"/>
      <c r="H1068" s="1"/>
      <c r="I1068" s="1"/>
      <c r="J1068" s="1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spans="1:27" ht="16" customHeight="1">
      <c r="A1069" s="12"/>
      <c r="B1069" s="108"/>
      <c r="C1069" s="106"/>
      <c r="D1069" s="100" t="s">
        <v>634</v>
      </c>
      <c r="E1069" s="17">
        <v>3186</v>
      </c>
      <c r="F1069" s="18">
        <v>1145</v>
      </c>
      <c r="G1069" s="27"/>
      <c r="H1069" s="1"/>
      <c r="I1069" s="1"/>
      <c r="J1069" s="1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spans="1:27" ht="16" customHeight="1">
      <c r="A1070" s="12"/>
      <c r="B1070" s="108"/>
      <c r="C1070" s="106"/>
      <c r="D1070" s="100" t="s">
        <v>635</v>
      </c>
      <c r="E1070" s="17">
        <v>1770</v>
      </c>
      <c r="F1070" s="18">
        <v>1273</v>
      </c>
      <c r="G1070" s="27"/>
      <c r="H1070" s="1"/>
      <c r="I1070" s="1"/>
      <c r="J1070" s="1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spans="1:27" ht="16" customHeight="1">
      <c r="A1071" s="12"/>
      <c r="B1071" s="109" t="s">
        <v>581</v>
      </c>
      <c r="C1071" s="107" t="s">
        <v>636</v>
      </c>
      <c r="D1071" s="100" t="s">
        <v>65</v>
      </c>
      <c r="E1071" s="17">
        <v>3068</v>
      </c>
      <c r="F1071" s="18">
        <v>2418</v>
      </c>
      <c r="G1071" s="27"/>
      <c r="H1071" s="1"/>
      <c r="I1071" s="1"/>
      <c r="J1071" s="1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spans="1:27" ht="16" customHeight="1">
      <c r="A1072" s="12"/>
      <c r="B1072" s="109" t="s">
        <v>618</v>
      </c>
      <c r="C1072" s="107" t="s">
        <v>637</v>
      </c>
      <c r="D1072" s="100" t="s">
        <v>18</v>
      </c>
      <c r="E1072" s="17">
        <v>2442</v>
      </c>
      <c r="F1072" s="18">
        <v>2227</v>
      </c>
      <c r="G1072" s="27"/>
      <c r="H1072" s="1"/>
      <c r="I1072" s="1"/>
      <c r="J1072" s="1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spans="1:27" ht="16" customHeight="1">
      <c r="A1073" s="12"/>
      <c r="B1073" s="108"/>
      <c r="C1073" s="106"/>
      <c r="D1073" s="100" t="s">
        <v>20</v>
      </c>
      <c r="E1073" s="17">
        <v>0</v>
      </c>
      <c r="F1073" s="18">
        <v>955</v>
      </c>
      <c r="G1073" s="27"/>
      <c r="H1073" s="1"/>
      <c r="I1073" s="1"/>
      <c r="J1073" s="1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spans="1:27" ht="16" customHeight="1">
      <c r="A1074" s="12"/>
      <c r="B1074" s="108"/>
      <c r="C1074" s="106"/>
      <c r="D1074" s="100" t="s">
        <v>14</v>
      </c>
      <c r="E1074" s="17">
        <v>3247</v>
      </c>
      <c r="F1074" s="18">
        <v>2227</v>
      </c>
      <c r="G1074" s="27"/>
      <c r="H1074" s="1"/>
      <c r="I1074" s="1"/>
      <c r="J1074" s="1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spans="1:27" ht="30.5" customHeight="1">
      <c r="A1075" s="12"/>
      <c r="B1075" s="108"/>
      <c r="C1075" s="106"/>
      <c r="D1075" s="100" t="s">
        <v>638</v>
      </c>
      <c r="E1075" s="17">
        <v>2443</v>
      </c>
      <c r="F1075" s="18">
        <v>1145</v>
      </c>
      <c r="G1075" s="27"/>
      <c r="H1075" s="1"/>
      <c r="I1075" s="1"/>
      <c r="J1075" s="1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spans="1:27" ht="30.5" customHeight="1">
      <c r="A1076" s="12"/>
      <c r="B1076" s="108"/>
      <c r="C1076" s="106"/>
      <c r="D1076" s="100" t="s">
        <v>639</v>
      </c>
      <c r="E1076" s="17">
        <v>2446</v>
      </c>
      <c r="F1076" s="18">
        <v>1782</v>
      </c>
      <c r="G1076" s="27"/>
      <c r="H1076" s="1"/>
      <c r="I1076" s="1"/>
      <c r="J1076" s="1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spans="1:27" ht="16" customHeight="1">
      <c r="A1077" s="12"/>
      <c r="B1077" s="108"/>
      <c r="C1077" s="106"/>
      <c r="D1077" s="100" t="s">
        <v>640</v>
      </c>
      <c r="E1077" s="17">
        <v>0</v>
      </c>
      <c r="F1077" s="18">
        <v>573</v>
      </c>
      <c r="G1077" s="27"/>
      <c r="H1077" s="1"/>
      <c r="I1077" s="1"/>
      <c r="J1077" s="1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spans="1:27" ht="30.5" customHeight="1">
      <c r="A1078" s="12"/>
      <c r="B1078" s="108"/>
      <c r="C1078" s="106"/>
      <c r="D1078" s="100" t="s">
        <v>641</v>
      </c>
      <c r="E1078" s="17">
        <v>0</v>
      </c>
      <c r="F1078" s="18">
        <v>764</v>
      </c>
      <c r="G1078" s="27"/>
      <c r="H1078" s="1"/>
      <c r="I1078" s="1"/>
      <c r="J1078" s="1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spans="1:27" ht="30.5" customHeight="1">
      <c r="A1079" s="12"/>
      <c r="B1079" s="108"/>
      <c r="C1079" s="106"/>
      <c r="D1079" s="100" t="s">
        <v>642</v>
      </c>
      <c r="E1079" s="17">
        <v>0</v>
      </c>
      <c r="F1079" s="18">
        <v>382</v>
      </c>
      <c r="G1079" s="27"/>
      <c r="H1079" s="1"/>
      <c r="I1079" s="1"/>
      <c r="J1079" s="1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spans="1:27" ht="16" customHeight="1">
      <c r="A1080" s="12"/>
      <c r="B1080" s="108"/>
      <c r="C1080" s="106"/>
      <c r="D1080" s="100" t="s">
        <v>643</v>
      </c>
      <c r="E1080" s="17">
        <v>2448</v>
      </c>
      <c r="F1080" s="18">
        <v>955</v>
      </c>
      <c r="G1080" s="27"/>
      <c r="H1080" s="1"/>
      <c r="I1080" s="1"/>
      <c r="J1080" s="1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spans="1:27" ht="16" customHeight="1">
      <c r="A1081" s="12"/>
      <c r="B1081" s="108"/>
      <c r="C1081" s="106"/>
      <c r="D1081" s="100" t="s">
        <v>644</v>
      </c>
      <c r="E1081" s="17">
        <v>0</v>
      </c>
      <c r="F1081" s="18">
        <v>382</v>
      </c>
      <c r="G1081" s="27"/>
      <c r="H1081" s="1"/>
      <c r="I1081" s="1"/>
      <c r="J1081" s="1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spans="1:27" ht="16" customHeight="1">
      <c r="A1082" s="12"/>
      <c r="B1082" s="108"/>
      <c r="C1082" s="107" t="s">
        <v>645</v>
      </c>
      <c r="D1082" s="100" t="s">
        <v>646</v>
      </c>
      <c r="E1082" s="17">
        <v>0</v>
      </c>
      <c r="F1082" s="18">
        <v>509</v>
      </c>
      <c r="G1082" s="27"/>
      <c r="H1082" s="1"/>
      <c r="I1082" s="1"/>
      <c r="J1082" s="1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spans="1:27" ht="16" customHeight="1">
      <c r="A1083" s="12"/>
      <c r="B1083" s="108"/>
      <c r="C1083" s="106"/>
      <c r="D1083" s="100" t="s">
        <v>647</v>
      </c>
      <c r="E1083" s="17">
        <v>0</v>
      </c>
      <c r="F1083" s="18">
        <v>318</v>
      </c>
      <c r="G1083" s="27"/>
      <c r="H1083" s="1"/>
      <c r="I1083" s="1"/>
      <c r="J1083" s="1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spans="1:27" ht="16" customHeight="1">
      <c r="A1084" s="12"/>
      <c r="B1084" s="108"/>
      <c r="C1084" s="106"/>
      <c r="D1084" s="100" t="s">
        <v>648</v>
      </c>
      <c r="E1084" s="17">
        <v>0</v>
      </c>
      <c r="F1084" s="18">
        <v>509</v>
      </c>
      <c r="G1084" s="27"/>
      <c r="H1084" s="1"/>
      <c r="I1084" s="1"/>
      <c r="J1084" s="1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spans="1:27" ht="16" customHeight="1">
      <c r="A1085" s="12"/>
      <c r="B1085" s="108"/>
      <c r="C1085" s="106"/>
      <c r="D1085" s="100" t="s">
        <v>648</v>
      </c>
      <c r="E1085" s="13"/>
      <c r="F1085" s="18">
        <v>509</v>
      </c>
      <c r="G1085" s="27"/>
      <c r="H1085" s="1"/>
      <c r="I1085" s="1"/>
      <c r="J1085" s="1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spans="1:27" ht="30" customHeight="1">
      <c r="A1086" s="12"/>
      <c r="B1086" s="108"/>
      <c r="C1086" s="107" t="s">
        <v>649</v>
      </c>
      <c r="D1086" s="100" t="s">
        <v>650</v>
      </c>
      <c r="E1086" s="13"/>
      <c r="F1086" s="18">
        <v>573</v>
      </c>
      <c r="G1086" s="27"/>
      <c r="H1086" s="1"/>
      <c r="I1086" s="1"/>
      <c r="J1086" s="1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spans="1:27" ht="30" customHeight="1">
      <c r="A1087" s="12"/>
      <c r="B1087" s="108"/>
      <c r="C1087" s="107" t="s">
        <v>474</v>
      </c>
      <c r="D1087" s="100" t="s">
        <v>651</v>
      </c>
      <c r="E1087" s="17">
        <v>3432</v>
      </c>
      <c r="F1087" s="18">
        <v>318</v>
      </c>
      <c r="G1087" s="27"/>
      <c r="H1087" s="1"/>
      <c r="I1087" s="1"/>
      <c r="J1087" s="1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spans="1:27" ht="16" customHeight="1">
      <c r="A1088" s="12"/>
      <c r="B1088" s="109" t="s">
        <v>581</v>
      </c>
      <c r="C1088" s="107" t="s">
        <v>636</v>
      </c>
      <c r="D1088" s="100" t="s">
        <v>26</v>
      </c>
      <c r="E1088" s="17">
        <v>3522</v>
      </c>
      <c r="F1088" s="18">
        <v>1145</v>
      </c>
      <c r="G1088" s="27"/>
      <c r="H1088" s="1"/>
      <c r="I1088" s="1"/>
      <c r="J1088" s="1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spans="1:27" ht="16" customHeight="1">
      <c r="A1089" s="12"/>
      <c r="B1089" s="109" t="s">
        <v>652</v>
      </c>
      <c r="C1089" s="106"/>
      <c r="D1089" s="100"/>
      <c r="E1089" s="13"/>
      <c r="F1089" s="18"/>
      <c r="G1089" s="27"/>
      <c r="H1089" s="1"/>
      <c r="I1089" s="1"/>
      <c r="J1089" s="1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spans="1:27" ht="16" customHeight="1">
      <c r="A1090" s="12"/>
      <c r="B1090" s="108"/>
      <c r="C1090" s="106"/>
      <c r="D1090" s="100"/>
      <c r="E1090" s="13"/>
      <c r="F1090" s="18"/>
      <c r="G1090" s="27"/>
      <c r="H1090" s="1"/>
      <c r="I1090" s="1"/>
      <c r="J1090" s="1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spans="1:27" ht="16" customHeight="1">
      <c r="A1091" s="12"/>
      <c r="B1091" s="109" t="s">
        <v>581</v>
      </c>
      <c r="C1091" s="107" t="s">
        <v>636</v>
      </c>
      <c r="D1091" s="100" t="s">
        <v>14</v>
      </c>
      <c r="E1091" s="17">
        <v>3105</v>
      </c>
      <c r="F1091" s="18">
        <v>2227</v>
      </c>
      <c r="G1091" s="27"/>
      <c r="H1091" s="1"/>
      <c r="I1091" s="1"/>
      <c r="J1091" s="1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spans="1:27" ht="16" customHeight="1">
      <c r="A1092" s="12"/>
      <c r="B1092" s="109" t="s">
        <v>652</v>
      </c>
      <c r="C1092" s="106"/>
      <c r="D1092" s="100"/>
      <c r="E1092" s="13"/>
      <c r="F1092" s="18"/>
      <c r="G1092" s="27"/>
      <c r="H1092" s="1"/>
      <c r="I1092" s="1"/>
      <c r="J1092" s="1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spans="1:27" ht="30" customHeight="1">
      <c r="A1093" s="12"/>
      <c r="B1093" s="108"/>
      <c r="C1093" s="107" t="s">
        <v>653</v>
      </c>
      <c r="D1093" s="100" t="s">
        <v>29</v>
      </c>
      <c r="E1093" s="17">
        <v>3067</v>
      </c>
      <c r="F1093" s="18">
        <v>1273</v>
      </c>
      <c r="G1093" s="27"/>
      <c r="H1093" s="1"/>
      <c r="I1093" s="1"/>
      <c r="J1093" s="1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spans="1:27" ht="30" customHeight="1">
      <c r="A1094" s="12"/>
      <c r="B1094" s="109" t="s">
        <v>581</v>
      </c>
      <c r="C1094" s="107" t="s">
        <v>654</v>
      </c>
      <c r="D1094" s="100" t="s">
        <v>26</v>
      </c>
      <c r="E1094" s="17">
        <v>3206</v>
      </c>
      <c r="F1094" s="18">
        <v>1273</v>
      </c>
      <c r="G1094" s="27"/>
      <c r="H1094" s="1"/>
      <c r="I1094" s="1"/>
      <c r="J1094" s="1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spans="1:27" ht="16" customHeight="1">
      <c r="A1095" s="12"/>
      <c r="B1095" s="109" t="s">
        <v>652</v>
      </c>
      <c r="C1095" s="106"/>
      <c r="D1095" s="100" t="s">
        <v>27</v>
      </c>
      <c r="E1095" s="17">
        <v>3207</v>
      </c>
      <c r="F1095" s="18">
        <v>955</v>
      </c>
      <c r="G1095" s="27"/>
      <c r="H1095" s="1"/>
      <c r="I1095" s="1"/>
      <c r="J1095" s="1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spans="1:27" ht="20.25" customHeight="1">
      <c r="A1096" s="12"/>
      <c r="B1096" s="108"/>
      <c r="C1096" s="106"/>
      <c r="D1096" s="100" t="s">
        <v>151</v>
      </c>
      <c r="E1096" s="17">
        <v>3208</v>
      </c>
      <c r="F1096" s="18">
        <v>509</v>
      </c>
      <c r="G1096" s="27"/>
      <c r="H1096" s="1"/>
      <c r="I1096" s="1"/>
      <c r="J1096" s="1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spans="1:27" ht="15.5" customHeight="1">
      <c r="A1097" s="155" t="s">
        <v>655</v>
      </c>
      <c r="B1097" s="134"/>
      <c r="C1097" s="134"/>
      <c r="D1097" s="134"/>
      <c r="E1097" s="135"/>
      <c r="F1097" s="135"/>
      <c r="G1097" s="135"/>
      <c r="H1097" s="1"/>
      <c r="I1097" s="1"/>
      <c r="J1097" s="1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spans="1:27" ht="16" customHeight="1">
      <c r="A1098" s="12"/>
      <c r="B1098" s="109" t="s">
        <v>656</v>
      </c>
      <c r="C1098" s="107" t="s">
        <v>657</v>
      </c>
      <c r="D1098" s="100" t="s">
        <v>12</v>
      </c>
      <c r="E1098" s="17">
        <v>469</v>
      </c>
      <c r="F1098" s="18">
        <v>445</v>
      </c>
      <c r="G1098" s="27"/>
      <c r="H1098" s="1"/>
      <c r="I1098" s="1"/>
      <c r="J1098" s="1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spans="1:27" ht="16" customHeight="1">
      <c r="A1099" s="12"/>
      <c r="B1099" s="108"/>
      <c r="C1099" s="106"/>
      <c r="D1099" s="100" t="s">
        <v>340</v>
      </c>
      <c r="E1099" s="17">
        <v>470</v>
      </c>
      <c r="F1099" s="18">
        <v>955</v>
      </c>
      <c r="G1099" s="27"/>
      <c r="H1099" s="1"/>
      <c r="I1099" s="1"/>
      <c r="J1099" s="1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spans="1:27" ht="16" customHeight="1">
      <c r="A1100" s="12"/>
      <c r="B1100" s="108"/>
      <c r="C1100" s="107" t="s">
        <v>231</v>
      </c>
      <c r="D1100" s="100" t="s">
        <v>18</v>
      </c>
      <c r="E1100" s="17">
        <v>471</v>
      </c>
      <c r="F1100" s="18">
        <v>1045</v>
      </c>
      <c r="G1100" s="27"/>
      <c r="H1100" s="1"/>
      <c r="I1100" s="1"/>
      <c r="J1100" s="1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spans="1:27" ht="16" customHeight="1">
      <c r="A1101" s="12"/>
      <c r="B1101" s="108"/>
      <c r="C1101" s="107" t="s">
        <v>331</v>
      </c>
      <c r="D1101" s="100" t="s">
        <v>82</v>
      </c>
      <c r="E1101" s="17">
        <v>472</v>
      </c>
      <c r="F1101" s="18">
        <v>509</v>
      </c>
      <c r="G1101" s="27"/>
      <c r="H1101" s="1"/>
      <c r="I1101" s="1"/>
      <c r="J1101" s="1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spans="1:27" ht="16" customHeight="1">
      <c r="A1102" s="12"/>
      <c r="B1102" s="108"/>
      <c r="C1102" s="106"/>
      <c r="D1102" s="100" t="s">
        <v>14</v>
      </c>
      <c r="E1102" s="17">
        <v>473</v>
      </c>
      <c r="F1102" s="18">
        <v>573</v>
      </c>
      <c r="G1102" s="27"/>
      <c r="H1102" s="1"/>
      <c r="I1102" s="1"/>
      <c r="J1102" s="1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spans="1:27" ht="16" customHeight="1">
      <c r="A1103" s="12"/>
      <c r="B1103" s="108"/>
      <c r="C1103" s="107" t="s">
        <v>658</v>
      </c>
      <c r="D1103" s="100" t="s">
        <v>22</v>
      </c>
      <c r="E1103" s="17">
        <v>474</v>
      </c>
      <c r="F1103" s="18">
        <v>573</v>
      </c>
      <c r="G1103" s="27"/>
      <c r="H1103" s="1"/>
      <c r="I1103" s="1"/>
      <c r="J1103" s="1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spans="1:27" ht="16" customHeight="1">
      <c r="A1104" s="12"/>
      <c r="B1104" s="108"/>
      <c r="C1104" s="107" t="s">
        <v>659</v>
      </c>
      <c r="D1104" s="100" t="s">
        <v>18</v>
      </c>
      <c r="E1104" s="17">
        <v>475</v>
      </c>
      <c r="F1104" s="18">
        <v>955</v>
      </c>
      <c r="G1104" s="27"/>
      <c r="H1104" s="1"/>
      <c r="I1104" s="1"/>
      <c r="J1104" s="1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spans="1:27" ht="16" customHeight="1">
      <c r="A1105" s="12"/>
      <c r="B1105" s="108"/>
      <c r="C1105" s="107" t="s">
        <v>660</v>
      </c>
      <c r="D1105" s="100" t="s">
        <v>20</v>
      </c>
      <c r="E1105" s="17">
        <v>476</v>
      </c>
      <c r="F1105" s="18">
        <v>955</v>
      </c>
      <c r="G1105" s="27"/>
      <c r="H1105" s="1"/>
      <c r="I1105" s="1"/>
      <c r="J1105" s="1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spans="1:27" ht="16" customHeight="1">
      <c r="A1106" s="12"/>
      <c r="B1106" s="108"/>
      <c r="C1106" s="106"/>
      <c r="D1106" s="100" t="s">
        <v>14</v>
      </c>
      <c r="E1106" s="17">
        <v>477</v>
      </c>
      <c r="F1106" s="18">
        <v>573</v>
      </c>
      <c r="G1106" s="27"/>
      <c r="H1106" s="1"/>
      <c r="I1106" s="1"/>
      <c r="J1106" s="1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spans="1:27" ht="16" customHeight="1">
      <c r="A1107" s="12"/>
      <c r="B1107" s="108"/>
      <c r="C1107" s="106"/>
      <c r="D1107" s="100" t="s">
        <v>60</v>
      </c>
      <c r="E1107" s="17">
        <v>478</v>
      </c>
      <c r="F1107" s="18">
        <v>955</v>
      </c>
      <c r="G1107" s="27"/>
      <c r="H1107" s="1"/>
      <c r="I1107" s="1"/>
      <c r="J1107" s="1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spans="1:27" ht="16" customHeight="1">
      <c r="A1108" s="12"/>
      <c r="B1108" s="108"/>
      <c r="C1108" s="106"/>
      <c r="D1108" s="100" t="s">
        <v>61</v>
      </c>
      <c r="E1108" s="17">
        <v>479</v>
      </c>
      <c r="F1108" s="18">
        <v>955</v>
      </c>
      <c r="G1108" s="27"/>
      <c r="H1108" s="1"/>
      <c r="I1108" s="1"/>
      <c r="J1108" s="1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spans="1:27" ht="16" customHeight="1">
      <c r="A1109" s="12"/>
      <c r="B1109" s="108"/>
      <c r="C1109" s="106"/>
      <c r="D1109" s="100" t="s">
        <v>65</v>
      </c>
      <c r="E1109" s="17">
        <v>480</v>
      </c>
      <c r="F1109" s="18">
        <v>955</v>
      </c>
      <c r="G1109" s="27"/>
      <c r="H1109" s="1"/>
      <c r="I1109" s="1"/>
      <c r="J1109" s="1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spans="1:27" ht="16" customHeight="1">
      <c r="A1110" s="12"/>
      <c r="B1110" s="108"/>
      <c r="C1110" s="106"/>
      <c r="D1110" s="100" t="s">
        <v>22</v>
      </c>
      <c r="E1110" s="17">
        <v>481</v>
      </c>
      <c r="F1110" s="18">
        <v>573</v>
      </c>
      <c r="G1110" s="27"/>
      <c r="H1110" s="1"/>
      <c r="I1110" s="1"/>
      <c r="J1110" s="1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spans="1:27" ht="16" customHeight="1">
      <c r="A1111" s="12"/>
      <c r="B1111" s="108"/>
      <c r="C1111" s="106"/>
      <c r="D1111" s="100" t="s">
        <v>201</v>
      </c>
      <c r="E1111" s="17">
        <v>482</v>
      </c>
      <c r="F1111" s="18">
        <v>95</v>
      </c>
      <c r="G1111" s="27"/>
      <c r="H1111" s="1"/>
      <c r="I1111" s="1"/>
      <c r="J1111" s="1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spans="1:27" ht="16" customHeight="1">
      <c r="A1112" s="12"/>
      <c r="B1112" s="109" t="s">
        <v>661</v>
      </c>
      <c r="C1112" s="107" t="s">
        <v>102</v>
      </c>
      <c r="D1112" s="100" t="s">
        <v>12</v>
      </c>
      <c r="E1112" s="17">
        <v>483</v>
      </c>
      <c r="F1112" s="18">
        <v>445</v>
      </c>
      <c r="G1112" s="27"/>
      <c r="H1112" s="1"/>
      <c r="I1112" s="1"/>
      <c r="J1112" s="1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spans="1:27" ht="16" customHeight="1">
      <c r="A1113" s="12"/>
      <c r="B1113" s="108"/>
      <c r="C1113" s="107" t="s">
        <v>662</v>
      </c>
      <c r="D1113" s="100" t="s">
        <v>14</v>
      </c>
      <c r="E1113" s="17">
        <v>484</v>
      </c>
      <c r="F1113" s="18">
        <v>573</v>
      </c>
      <c r="G1113" s="27"/>
      <c r="H1113" s="1"/>
      <c r="I1113" s="1"/>
      <c r="J1113" s="1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spans="1:27" ht="16" customHeight="1">
      <c r="A1114" s="12"/>
      <c r="B1114" s="108"/>
      <c r="C1114" s="107" t="s">
        <v>663</v>
      </c>
      <c r="D1114" s="100" t="s">
        <v>18</v>
      </c>
      <c r="E1114" s="17">
        <v>772</v>
      </c>
      <c r="F1114" s="18">
        <v>1045</v>
      </c>
      <c r="G1114" s="27"/>
      <c r="H1114" s="1"/>
      <c r="I1114" s="1"/>
      <c r="J1114" s="1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spans="1:27" ht="16" customHeight="1">
      <c r="A1115" s="12"/>
      <c r="B1115" s="108"/>
      <c r="C1115" s="106"/>
      <c r="D1115" s="100" t="s">
        <v>20</v>
      </c>
      <c r="E1115" s="17">
        <v>773</v>
      </c>
      <c r="F1115" s="18">
        <v>1045</v>
      </c>
      <c r="G1115" s="27"/>
      <c r="H1115" s="1"/>
      <c r="I1115" s="1"/>
      <c r="J1115" s="1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spans="1:27" ht="16" customHeight="1">
      <c r="A1116" s="12"/>
      <c r="B1116" s="108"/>
      <c r="C1116" s="106"/>
      <c r="D1116" s="100" t="s">
        <v>14</v>
      </c>
      <c r="E1116" s="17">
        <v>774</v>
      </c>
      <c r="F1116" s="18">
        <v>573</v>
      </c>
      <c r="G1116" s="27"/>
      <c r="H1116" s="1"/>
      <c r="I1116" s="1"/>
      <c r="J1116" s="1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spans="1:27" ht="16" customHeight="1">
      <c r="A1117" s="12"/>
      <c r="B1117" s="108"/>
      <c r="C1117" s="106"/>
      <c r="D1117" s="100" t="s">
        <v>60</v>
      </c>
      <c r="E1117" s="17">
        <v>775</v>
      </c>
      <c r="F1117" s="18">
        <v>1450</v>
      </c>
      <c r="G1117" s="27"/>
      <c r="H1117" s="1"/>
      <c r="I1117" s="1"/>
      <c r="J1117" s="1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spans="1:27" ht="16" customHeight="1">
      <c r="A1118" s="12"/>
      <c r="B1118" s="108"/>
      <c r="C1118" s="106"/>
      <c r="D1118" s="100" t="s">
        <v>61</v>
      </c>
      <c r="E1118" s="17">
        <v>776</v>
      </c>
      <c r="F1118" s="18">
        <v>1750</v>
      </c>
      <c r="G1118" s="27"/>
      <c r="H1118" s="1"/>
      <c r="I1118" s="1"/>
      <c r="J1118" s="1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spans="1:27" ht="16" customHeight="1">
      <c r="A1119" s="12"/>
      <c r="B1119" s="109" t="s">
        <v>661</v>
      </c>
      <c r="C1119" s="107" t="s">
        <v>664</v>
      </c>
      <c r="D1119" s="100" t="s">
        <v>18</v>
      </c>
      <c r="E1119" s="17">
        <v>1322</v>
      </c>
      <c r="F1119" s="18">
        <v>764</v>
      </c>
      <c r="G1119" s="27"/>
      <c r="H1119" s="1"/>
      <c r="I1119" s="1"/>
      <c r="J1119" s="1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spans="1:27" ht="30" customHeight="1">
      <c r="A1120" s="12"/>
      <c r="B1120" s="108"/>
      <c r="C1120" s="107" t="s">
        <v>665</v>
      </c>
      <c r="D1120" s="100" t="s">
        <v>20</v>
      </c>
      <c r="E1120" s="17">
        <v>1323</v>
      </c>
      <c r="F1120" s="18">
        <v>764</v>
      </c>
      <c r="G1120" s="27"/>
      <c r="H1120" s="1"/>
      <c r="I1120" s="1"/>
      <c r="J1120" s="1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spans="1:27" ht="16" customHeight="1">
      <c r="A1121" s="12"/>
      <c r="B1121" s="108"/>
      <c r="C1121" s="107" t="s">
        <v>344</v>
      </c>
      <c r="D1121" s="100" t="s">
        <v>14</v>
      </c>
      <c r="E1121" s="17">
        <v>1324</v>
      </c>
      <c r="F1121" s="18">
        <v>764</v>
      </c>
      <c r="G1121" s="27"/>
      <c r="H1121" s="1"/>
      <c r="I1121" s="1"/>
      <c r="J1121" s="1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 ht="16" customHeight="1">
      <c r="A1122" s="12"/>
      <c r="B1122" s="108"/>
      <c r="C1122" s="106" t="s">
        <v>666</v>
      </c>
      <c r="D1122" s="100" t="s">
        <v>60</v>
      </c>
      <c r="E1122" s="17">
        <v>1325</v>
      </c>
      <c r="F1122" s="18">
        <v>1145</v>
      </c>
      <c r="G1122" s="27"/>
      <c r="H1122" s="1"/>
      <c r="I1122" s="1"/>
      <c r="J1122" s="1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 ht="16" customHeight="1">
      <c r="A1123" s="12"/>
      <c r="B1123" s="108"/>
      <c r="C1123" s="118">
        <v>8995</v>
      </c>
      <c r="D1123" s="100" t="s">
        <v>61</v>
      </c>
      <c r="E1123" s="17">
        <v>1326</v>
      </c>
      <c r="F1123" s="18">
        <v>1591</v>
      </c>
      <c r="G1123" s="27"/>
      <c r="H1123" s="1"/>
      <c r="I1123" s="1"/>
      <c r="J1123" s="1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 ht="16" customHeight="1">
      <c r="A1124" s="12"/>
      <c r="B1124" s="108"/>
      <c r="C1124" s="106" t="s">
        <v>667</v>
      </c>
      <c r="D1124" s="100" t="s">
        <v>340</v>
      </c>
      <c r="E1124" s="17">
        <v>1327</v>
      </c>
      <c r="F1124" s="18">
        <v>955</v>
      </c>
      <c r="G1124" s="27"/>
      <c r="H1124" s="1"/>
      <c r="I1124" s="1"/>
      <c r="J1124" s="1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spans="1:27" ht="16" customHeight="1">
      <c r="A1125" s="12"/>
      <c r="B1125" s="108"/>
      <c r="C1125" s="118">
        <v>4995</v>
      </c>
      <c r="D1125" s="100" t="s">
        <v>668</v>
      </c>
      <c r="E1125" s="17">
        <v>1328</v>
      </c>
      <c r="F1125" s="18">
        <v>509</v>
      </c>
      <c r="G1125" s="27"/>
      <c r="H1125" s="1"/>
      <c r="I1125" s="1"/>
      <c r="J1125" s="1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spans="1:27" ht="16" customHeight="1">
      <c r="A1126" s="12"/>
      <c r="B1126" s="108"/>
      <c r="C1126" s="106" t="s">
        <v>669</v>
      </c>
      <c r="D1126" s="100" t="s">
        <v>396</v>
      </c>
      <c r="E1126" s="17">
        <v>1343</v>
      </c>
      <c r="F1126" s="18">
        <v>382</v>
      </c>
      <c r="G1126" s="27"/>
      <c r="H1126" s="1"/>
      <c r="I1126" s="1"/>
      <c r="J1126" s="1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spans="1:27" ht="16" customHeight="1">
      <c r="A1127" s="12"/>
      <c r="B1127" s="108"/>
      <c r="C1127" s="118">
        <v>13995</v>
      </c>
      <c r="D1127" s="100" t="s">
        <v>670</v>
      </c>
      <c r="E1127" s="17">
        <v>1341</v>
      </c>
      <c r="F1127" s="18">
        <v>1145</v>
      </c>
      <c r="G1127" s="27"/>
      <c r="H1127" s="1"/>
      <c r="I1127" s="1"/>
      <c r="J1127" s="1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 ht="16" customHeight="1">
      <c r="A1128" s="12"/>
      <c r="B1128" s="108"/>
      <c r="C1128" s="106"/>
      <c r="D1128" s="100" t="s">
        <v>65</v>
      </c>
      <c r="E1128" s="17">
        <v>1329</v>
      </c>
      <c r="F1128" s="18">
        <v>1273</v>
      </c>
      <c r="G1128" s="27"/>
      <c r="H1128" s="1"/>
      <c r="I1128" s="1"/>
      <c r="J1128" s="1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spans="1:27" ht="16" customHeight="1">
      <c r="A1129" s="12"/>
      <c r="B1129" s="108"/>
      <c r="C1129" s="106"/>
      <c r="D1129" s="100" t="s">
        <v>212</v>
      </c>
      <c r="E1129" s="17">
        <v>1330</v>
      </c>
      <c r="F1129" s="18">
        <v>955</v>
      </c>
      <c r="G1129" s="27"/>
      <c r="H1129" s="1"/>
      <c r="I1129" s="1"/>
      <c r="J1129" s="1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spans="1:27" ht="16" customHeight="1">
      <c r="A1130" s="12"/>
      <c r="B1130" s="108"/>
      <c r="C1130" s="106"/>
      <c r="D1130" s="100" t="s">
        <v>671</v>
      </c>
      <c r="E1130" s="17" t="s">
        <v>672</v>
      </c>
      <c r="F1130" s="18">
        <v>764</v>
      </c>
      <c r="G1130" s="27"/>
      <c r="H1130" s="1"/>
      <c r="I1130" s="1"/>
      <c r="J1130" s="1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spans="1:27" ht="16" customHeight="1">
      <c r="A1131" s="12"/>
      <c r="B1131" s="108"/>
      <c r="C1131" s="106"/>
      <c r="D1131" s="100" t="s">
        <v>673</v>
      </c>
      <c r="E1131" s="17" t="s">
        <v>674</v>
      </c>
      <c r="F1131" s="18">
        <v>1145</v>
      </c>
      <c r="G1131" s="27"/>
      <c r="H1131" s="1"/>
      <c r="I1131" s="1"/>
      <c r="J1131" s="1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spans="1:27" ht="16" customHeight="1">
      <c r="A1132" s="12"/>
      <c r="B1132" s="108"/>
      <c r="C1132" s="106"/>
      <c r="D1132" s="100" t="s">
        <v>124</v>
      </c>
      <c r="E1132" s="17" t="s">
        <v>675</v>
      </c>
      <c r="F1132" s="18">
        <v>509</v>
      </c>
      <c r="G1132" s="27"/>
      <c r="H1132" s="1"/>
      <c r="I1132" s="1"/>
      <c r="J1132" s="1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spans="1:27" ht="16" customHeight="1">
      <c r="A1133" s="12"/>
      <c r="B1133" s="108"/>
      <c r="C1133" s="106"/>
      <c r="D1133" s="100" t="s">
        <v>26</v>
      </c>
      <c r="E1133" s="17">
        <v>1333</v>
      </c>
      <c r="F1133" s="18">
        <v>955</v>
      </c>
      <c r="G1133" s="27"/>
      <c r="H1133" s="1"/>
      <c r="I1133" s="1"/>
      <c r="J1133" s="1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spans="1:27" ht="16" customHeight="1">
      <c r="A1134" s="12"/>
      <c r="B1134" s="108"/>
      <c r="C1134" s="106"/>
      <c r="D1134" s="100" t="s">
        <v>29</v>
      </c>
      <c r="E1134" s="17">
        <v>1334</v>
      </c>
      <c r="F1134" s="18">
        <v>955</v>
      </c>
      <c r="G1134" s="27"/>
      <c r="H1134" s="1"/>
      <c r="I1134" s="1"/>
      <c r="J1134" s="1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spans="1:27" ht="16" customHeight="1">
      <c r="A1135" s="12"/>
      <c r="B1135" s="108"/>
      <c r="C1135" s="106"/>
      <c r="D1135" s="100" t="s">
        <v>201</v>
      </c>
      <c r="E1135" s="17">
        <v>1342</v>
      </c>
      <c r="F1135" s="18">
        <v>318</v>
      </c>
      <c r="G1135" s="27"/>
      <c r="H1135" s="1"/>
      <c r="I1135" s="1"/>
      <c r="J1135" s="1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spans="1:27" ht="16" customHeight="1">
      <c r="A1136" s="12"/>
      <c r="B1136" s="108"/>
      <c r="C1136" s="106"/>
      <c r="D1136" s="100" t="s">
        <v>676</v>
      </c>
      <c r="E1136" s="17">
        <v>1335</v>
      </c>
      <c r="F1136" s="18">
        <v>382</v>
      </c>
      <c r="G1136" s="27"/>
      <c r="H1136" s="1"/>
      <c r="I1136" s="1"/>
      <c r="J1136" s="1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spans="1:27" ht="16" customHeight="1">
      <c r="A1137" s="12"/>
      <c r="B1137" s="108"/>
      <c r="C1137" s="106"/>
      <c r="D1137" s="100" t="s">
        <v>677</v>
      </c>
      <c r="E1137" s="17">
        <v>1336</v>
      </c>
      <c r="F1137" s="18">
        <v>382</v>
      </c>
      <c r="G1137" s="27"/>
      <c r="H1137" s="1"/>
      <c r="I1137" s="1"/>
      <c r="J1137" s="1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spans="1:27" ht="16" customHeight="1">
      <c r="A1138" s="12"/>
      <c r="B1138" s="108"/>
      <c r="C1138" s="106"/>
      <c r="D1138" s="100" t="s">
        <v>678</v>
      </c>
      <c r="E1138" s="17">
        <v>1337</v>
      </c>
      <c r="F1138" s="18">
        <v>318</v>
      </c>
      <c r="G1138" s="27"/>
      <c r="H1138" s="1"/>
      <c r="I1138" s="1"/>
      <c r="J1138" s="1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spans="1:27" ht="16" customHeight="1">
      <c r="A1139" s="12"/>
      <c r="B1139" s="108"/>
      <c r="C1139" s="106"/>
      <c r="D1139" s="100" t="s">
        <v>340</v>
      </c>
      <c r="E1139" s="17">
        <v>1338</v>
      </c>
      <c r="F1139" s="18">
        <v>318</v>
      </c>
      <c r="G1139" s="27"/>
      <c r="H1139" s="1"/>
      <c r="I1139" s="1"/>
      <c r="J1139" s="1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spans="1:27" ht="16" customHeight="1">
      <c r="A1140" s="12"/>
      <c r="B1140" s="108"/>
      <c r="C1140" s="106"/>
      <c r="D1140" s="100" t="s">
        <v>679</v>
      </c>
      <c r="E1140" s="17">
        <v>1387</v>
      </c>
      <c r="F1140" s="18">
        <v>95</v>
      </c>
      <c r="G1140" s="27"/>
      <c r="H1140" s="1"/>
      <c r="I1140" s="1"/>
      <c r="J1140" s="1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spans="1:27" ht="16" customHeight="1">
      <c r="A1141" s="12"/>
      <c r="B1141" s="108"/>
      <c r="C1141" s="106"/>
      <c r="D1141" s="100" t="s">
        <v>680</v>
      </c>
      <c r="E1141" s="13"/>
      <c r="F1141" s="18">
        <v>382</v>
      </c>
      <c r="G1141" s="27"/>
      <c r="H1141" s="1"/>
      <c r="I1141" s="1"/>
      <c r="J1141" s="1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spans="1:27" ht="30" customHeight="1">
      <c r="A1142" s="12"/>
      <c r="B1142" s="108"/>
      <c r="C1142" s="107" t="s">
        <v>681</v>
      </c>
      <c r="D1142" s="100" t="s">
        <v>682</v>
      </c>
      <c r="E1142" s="17">
        <v>1446</v>
      </c>
      <c r="F1142" s="18">
        <v>1591</v>
      </c>
      <c r="G1142" s="27"/>
      <c r="H1142" s="1"/>
      <c r="I1142" s="1"/>
      <c r="J1142" s="1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spans="1:27" ht="16" customHeight="1">
      <c r="A1143" s="12"/>
      <c r="B1143" s="108"/>
      <c r="C1143" s="106"/>
      <c r="D1143" s="100" t="s">
        <v>20</v>
      </c>
      <c r="E1143" s="17">
        <v>1445</v>
      </c>
      <c r="F1143" s="18">
        <v>764</v>
      </c>
      <c r="G1143" s="27"/>
      <c r="H1143" s="1"/>
      <c r="I1143" s="1"/>
      <c r="J1143" s="1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spans="1:27" ht="16" customHeight="1">
      <c r="A1144" s="12"/>
      <c r="B1144" s="108"/>
      <c r="C1144" s="106"/>
      <c r="D1144" s="100" t="s">
        <v>683</v>
      </c>
      <c r="E1144" s="17">
        <v>1447</v>
      </c>
      <c r="F1144" s="18">
        <v>764</v>
      </c>
      <c r="G1144" s="27"/>
      <c r="H1144" s="1"/>
      <c r="I1144" s="1"/>
      <c r="J1144" s="1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spans="1:27" ht="15.5" customHeight="1">
      <c r="A1145" s="28"/>
      <c r="B1145" s="109" t="s">
        <v>684</v>
      </c>
      <c r="C1145" s="107" t="s">
        <v>685</v>
      </c>
      <c r="D1145" s="100" t="s">
        <v>12</v>
      </c>
      <c r="E1145" s="17">
        <v>485</v>
      </c>
      <c r="F1145" s="18">
        <v>286</v>
      </c>
      <c r="G1145" s="27"/>
      <c r="H1145" s="1"/>
      <c r="I1145" s="1"/>
      <c r="J1145" s="1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spans="1:27" ht="16" customHeight="1">
      <c r="A1146" s="12"/>
      <c r="B1146" s="108"/>
      <c r="C1146" s="107" t="s">
        <v>686</v>
      </c>
      <c r="D1146" s="100" t="s">
        <v>18</v>
      </c>
      <c r="E1146" s="17">
        <v>582</v>
      </c>
      <c r="F1146" s="18">
        <v>720</v>
      </c>
      <c r="G1146" s="27"/>
      <c r="H1146" s="1"/>
      <c r="I1146" s="1"/>
      <c r="J1146" s="1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spans="1:27" ht="16" customHeight="1">
      <c r="A1147" s="12"/>
      <c r="B1147" s="109" t="s">
        <v>684</v>
      </c>
      <c r="C1147" s="107" t="s">
        <v>465</v>
      </c>
      <c r="D1147" s="100" t="s">
        <v>18</v>
      </c>
      <c r="E1147" s="17">
        <v>768</v>
      </c>
      <c r="F1147" s="18">
        <v>764</v>
      </c>
      <c r="G1147" s="27"/>
      <c r="H1147" s="1"/>
      <c r="I1147" s="1"/>
      <c r="J1147" s="1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spans="1:27" ht="16" customHeight="1">
      <c r="A1148" s="12"/>
      <c r="B1148" s="108"/>
      <c r="C1148" s="107" t="s">
        <v>287</v>
      </c>
      <c r="D1148" s="100" t="s">
        <v>20</v>
      </c>
      <c r="E1148" s="17">
        <v>769</v>
      </c>
      <c r="F1148" s="18">
        <v>720</v>
      </c>
      <c r="G1148" s="27"/>
      <c r="H1148" s="1"/>
      <c r="I1148" s="1"/>
      <c r="J1148" s="1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spans="1:27" ht="16" customHeight="1">
      <c r="A1149" s="12"/>
      <c r="B1149" s="108"/>
      <c r="C1149" s="106"/>
      <c r="D1149" s="100" t="s">
        <v>14</v>
      </c>
      <c r="E1149" s="17">
        <v>584</v>
      </c>
      <c r="F1149" s="18">
        <v>1145</v>
      </c>
      <c r="G1149" s="27"/>
      <c r="H1149" s="1"/>
      <c r="I1149" s="1"/>
      <c r="J1149" s="1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spans="1:27" ht="16" customHeight="1">
      <c r="A1150" s="12"/>
      <c r="B1150" s="108"/>
      <c r="C1150" s="106"/>
      <c r="D1150" s="100" t="s">
        <v>27</v>
      </c>
      <c r="E1150" s="17">
        <v>1038</v>
      </c>
      <c r="F1150" s="18">
        <v>318</v>
      </c>
      <c r="G1150" s="27"/>
      <c r="H1150" s="1"/>
      <c r="I1150" s="1"/>
      <c r="J1150" s="1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spans="1:27" ht="16" customHeight="1">
      <c r="A1151" s="12"/>
      <c r="B1151" s="108"/>
      <c r="C1151" s="106"/>
      <c r="D1151" s="100" t="s">
        <v>60</v>
      </c>
      <c r="E1151" s="17">
        <v>583</v>
      </c>
      <c r="F1151" s="18">
        <v>1273</v>
      </c>
      <c r="G1151" s="27"/>
      <c r="H1151" s="1"/>
      <c r="I1151" s="1"/>
      <c r="J1151" s="1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spans="1:27" ht="16" customHeight="1">
      <c r="A1152" s="12"/>
      <c r="B1152" s="108"/>
      <c r="C1152" s="106"/>
      <c r="D1152" s="100" t="s">
        <v>61</v>
      </c>
      <c r="E1152" s="17">
        <v>583</v>
      </c>
      <c r="F1152" s="18">
        <v>1591</v>
      </c>
      <c r="G1152" s="27"/>
      <c r="H1152" s="1"/>
      <c r="I1152" s="1"/>
      <c r="J1152" s="1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spans="1:27" ht="16" customHeight="1">
      <c r="A1153" s="12"/>
      <c r="B1153" s="108"/>
      <c r="C1153" s="106"/>
      <c r="D1153" s="100" t="s">
        <v>55</v>
      </c>
      <c r="E1153" s="13"/>
      <c r="F1153" s="18">
        <v>223</v>
      </c>
      <c r="G1153" s="27"/>
      <c r="H1153" s="1"/>
      <c r="I1153" s="1"/>
      <c r="J1153" s="1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spans="1:27" ht="16" customHeight="1">
      <c r="A1154" s="12"/>
      <c r="B1154" s="108"/>
      <c r="C1154" s="107" t="s">
        <v>687</v>
      </c>
      <c r="D1154" s="100" t="s">
        <v>29</v>
      </c>
      <c r="E1154" s="17">
        <v>770</v>
      </c>
      <c r="F1154" s="18">
        <v>764</v>
      </c>
      <c r="G1154" s="27"/>
      <c r="H1154" s="1"/>
      <c r="I1154" s="1"/>
      <c r="J1154" s="1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spans="1:27" ht="16" customHeight="1">
      <c r="A1155" s="12"/>
      <c r="B1155" s="108"/>
      <c r="C1155" s="107" t="s">
        <v>687</v>
      </c>
      <c r="D1155" s="100" t="s">
        <v>63</v>
      </c>
      <c r="E1155" s="17">
        <v>1115</v>
      </c>
      <c r="F1155" s="18">
        <v>445</v>
      </c>
      <c r="G1155" s="27"/>
      <c r="H1155" s="1"/>
      <c r="I1155" s="1"/>
      <c r="J1155" s="1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spans="1:27" ht="16" customHeight="1">
      <c r="A1156" s="12"/>
      <c r="B1156" s="109" t="s">
        <v>684</v>
      </c>
      <c r="C1156" s="107" t="s">
        <v>688</v>
      </c>
      <c r="D1156" s="100" t="s">
        <v>18</v>
      </c>
      <c r="E1156" s="17">
        <v>1398</v>
      </c>
      <c r="F1156" s="18">
        <v>827</v>
      </c>
      <c r="G1156" s="27"/>
      <c r="H1156" s="1"/>
      <c r="I1156" s="1"/>
      <c r="J1156" s="1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spans="1:27" ht="16" customHeight="1">
      <c r="A1157" s="12"/>
      <c r="B1157" s="108"/>
      <c r="C1157" s="106"/>
      <c r="D1157" s="100" t="s">
        <v>60</v>
      </c>
      <c r="E1157" s="17">
        <v>1399</v>
      </c>
      <c r="F1157" s="18">
        <v>1145</v>
      </c>
      <c r="G1157" s="27"/>
      <c r="H1157" s="1"/>
      <c r="I1157" s="1"/>
      <c r="J1157" s="1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spans="1:27" ht="16" customHeight="1">
      <c r="A1158" s="12"/>
      <c r="B1158" s="108"/>
      <c r="C1158" s="107" t="s">
        <v>687</v>
      </c>
      <c r="D1158" s="100" t="s">
        <v>26</v>
      </c>
      <c r="E1158" s="17">
        <v>1400</v>
      </c>
      <c r="F1158" s="18">
        <v>955</v>
      </c>
      <c r="G1158" s="27"/>
      <c r="H1158" s="1"/>
      <c r="I1158" s="1"/>
      <c r="J1158" s="1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spans="1:27" ht="16" customHeight="1">
      <c r="A1159" s="12"/>
      <c r="B1159" s="109" t="s">
        <v>684</v>
      </c>
      <c r="C1159" s="107" t="s">
        <v>689</v>
      </c>
      <c r="D1159" s="100" t="s">
        <v>26</v>
      </c>
      <c r="E1159" s="17">
        <v>1440</v>
      </c>
      <c r="F1159" s="18">
        <v>955</v>
      </c>
      <c r="G1159" s="27"/>
      <c r="H1159" s="1"/>
      <c r="I1159" s="1"/>
      <c r="J1159" s="1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spans="1:27" ht="16" customHeight="1">
      <c r="A1160" s="12"/>
      <c r="B1160" s="109" t="s">
        <v>684</v>
      </c>
      <c r="C1160" s="107" t="s">
        <v>465</v>
      </c>
      <c r="D1160" s="100" t="s">
        <v>18</v>
      </c>
      <c r="E1160" s="17">
        <v>771</v>
      </c>
      <c r="F1160" s="18">
        <v>720</v>
      </c>
      <c r="G1160" s="27"/>
      <c r="H1160" s="1"/>
      <c r="I1160" s="1"/>
      <c r="J1160" s="1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spans="1:27" ht="16" customHeight="1">
      <c r="A1161" s="12"/>
      <c r="B1161" s="108"/>
      <c r="C1161" s="106"/>
      <c r="D1161" s="100" t="s">
        <v>18</v>
      </c>
      <c r="E1161" s="17">
        <v>1127</v>
      </c>
      <c r="F1161" s="18">
        <v>720</v>
      </c>
      <c r="G1161" s="27"/>
      <c r="H1161" s="1"/>
      <c r="I1161" s="1"/>
      <c r="J1161" s="1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spans="1:27" ht="16" customHeight="1">
      <c r="A1162" s="12"/>
      <c r="B1162" s="108"/>
      <c r="C1162" s="106"/>
      <c r="D1162" s="100" t="s">
        <v>14</v>
      </c>
      <c r="E1162" s="17">
        <v>1108</v>
      </c>
      <c r="F1162" s="18">
        <v>509</v>
      </c>
      <c r="G1162" s="27"/>
      <c r="H1162" s="1"/>
      <c r="I1162" s="1"/>
      <c r="J1162" s="1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spans="1:27" ht="16" customHeight="1">
      <c r="A1163" s="12"/>
      <c r="B1163" s="108"/>
      <c r="C1163" s="106"/>
      <c r="D1163" s="100" t="s">
        <v>82</v>
      </c>
      <c r="E1163" s="17">
        <v>1109</v>
      </c>
      <c r="F1163" s="18">
        <v>382</v>
      </c>
      <c r="G1163" s="27"/>
      <c r="H1163" s="1"/>
      <c r="I1163" s="1"/>
      <c r="J1163" s="1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spans="1:27" ht="30" customHeight="1">
      <c r="A1164" s="12"/>
      <c r="B1164" s="109" t="s">
        <v>684</v>
      </c>
      <c r="C1164" s="107" t="s">
        <v>690</v>
      </c>
      <c r="D1164" s="100" t="s">
        <v>26</v>
      </c>
      <c r="E1164" s="17">
        <v>1097</v>
      </c>
      <c r="F1164" s="18">
        <v>509</v>
      </c>
      <c r="G1164" s="27"/>
      <c r="H1164" s="1"/>
      <c r="I1164" s="1"/>
      <c r="J1164" s="1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spans="1:27" ht="16" customHeight="1">
      <c r="A1165" s="12"/>
      <c r="B1165" s="108"/>
      <c r="C1165" s="107" t="s">
        <v>691</v>
      </c>
      <c r="D1165" s="100" t="s">
        <v>27</v>
      </c>
      <c r="E1165" s="17">
        <v>1098</v>
      </c>
      <c r="F1165" s="18">
        <v>573</v>
      </c>
      <c r="G1165" s="27"/>
      <c r="H1165" s="1"/>
      <c r="I1165" s="1"/>
      <c r="J1165" s="1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spans="1:27" ht="16" customHeight="1">
      <c r="A1166" s="12"/>
      <c r="B1166" s="108"/>
      <c r="C1166" s="107" t="s">
        <v>687</v>
      </c>
      <c r="D1166" s="100" t="s">
        <v>29</v>
      </c>
      <c r="E1166" s="17">
        <v>1099</v>
      </c>
      <c r="F1166" s="18">
        <v>764</v>
      </c>
      <c r="G1166" s="27"/>
      <c r="H1166" s="1"/>
      <c r="I1166" s="1"/>
      <c r="J1166" s="1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spans="1:27" ht="16" customHeight="1">
      <c r="A1167" s="12"/>
      <c r="B1167" s="108"/>
      <c r="C1167" s="106"/>
      <c r="D1167" s="100" t="s">
        <v>692</v>
      </c>
      <c r="E1167" s="17">
        <v>1100</v>
      </c>
      <c r="F1167" s="18">
        <v>318</v>
      </c>
      <c r="G1167" s="27"/>
      <c r="H1167" s="1"/>
      <c r="I1167" s="1"/>
      <c r="J1167" s="1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spans="1:27" ht="16" customHeight="1">
      <c r="A1168" s="12"/>
      <c r="B1168" s="108"/>
      <c r="C1168" s="106"/>
      <c r="D1168" s="100" t="s">
        <v>55</v>
      </c>
      <c r="E1168" s="17">
        <v>1101</v>
      </c>
      <c r="F1168" s="18">
        <v>255</v>
      </c>
      <c r="G1168" s="27"/>
      <c r="H1168" s="1"/>
      <c r="I1168" s="1"/>
      <c r="J1168" s="1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spans="1:27" ht="16" customHeight="1">
      <c r="A1169" s="12"/>
      <c r="B1169" s="108"/>
      <c r="C1169" s="106"/>
      <c r="D1169" s="100" t="s">
        <v>424</v>
      </c>
      <c r="E1169" s="17">
        <v>1102</v>
      </c>
      <c r="F1169" s="18">
        <v>255</v>
      </c>
      <c r="G1169" s="27"/>
      <c r="H1169" s="1"/>
      <c r="I1169" s="1"/>
      <c r="J1169" s="1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spans="1:27" ht="16" customHeight="1">
      <c r="A1170" s="12"/>
      <c r="B1170" s="108"/>
      <c r="C1170" s="107" t="s">
        <v>693</v>
      </c>
      <c r="D1170" s="100" t="s">
        <v>694</v>
      </c>
      <c r="E1170" s="17" t="s">
        <v>695</v>
      </c>
      <c r="F1170" s="18">
        <v>764</v>
      </c>
      <c r="G1170" s="27"/>
      <c r="H1170" s="1"/>
      <c r="I1170" s="1"/>
      <c r="J1170" s="1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spans="1:27" ht="16" customHeight="1">
      <c r="A1171" s="12"/>
      <c r="B1171" s="108"/>
      <c r="C1171" s="107" t="s">
        <v>287</v>
      </c>
      <c r="D1171" s="100" t="s">
        <v>696</v>
      </c>
      <c r="E1171" s="17" t="s">
        <v>697</v>
      </c>
      <c r="F1171" s="18">
        <v>825</v>
      </c>
      <c r="G1171" s="27"/>
      <c r="H1171" s="1"/>
      <c r="I1171" s="1"/>
      <c r="J1171" s="1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spans="1:27" ht="16" customHeight="1">
      <c r="A1172" s="12"/>
      <c r="B1172" s="108"/>
      <c r="C1172" s="106"/>
      <c r="D1172" s="100" t="s">
        <v>698</v>
      </c>
      <c r="E1172" s="17" t="s">
        <v>699</v>
      </c>
      <c r="F1172" s="18">
        <v>885</v>
      </c>
      <c r="G1172" s="27"/>
      <c r="H1172" s="1"/>
      <c r="I1172" s="1"/>
      <c r="J1172" s="1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spans="1:27" ht="16" customHeight="1">
      <c r="A1173" s="12"/>
      <c r="B1173" s="108"/>
      <c r="C1173" s="106"/>
      <c r="D1173" s="100" t="s">
        <v>700</v>
      </c>
      <c r="E1173" s="17">
        <v>917</v>
      </c>
      <c r="F1173" s="18">
        <v>764</v>
      </c>
      <c r="G1173" s="27"/>
      <c r="H1173" s="1"/>
      <c r="I1173" s="1"/>
      <c r="J1173" s="1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spans="1:27" ht="16" customHeight="1">
      <c r="A1174" s="12"/>
      <c r="B1174" s="108"/>
      <c r="C1174" s="106"/>
      <c r="D1174" s="100" t="s">
        <v>701</v>
      </c>
      <c r="E1174" s="17">
        <v>918</v>
      </c>
      <c r="F1174" s="18">
        <v>191</v>
      </c>
      <c r="G1174" s="27"/>
      <c r="H1174" s="1"/>
      <c r="I1174" s="1"/>
      <c r="J1174" s="1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spans="1:27" ht="16" customHeight="1">
      <c r="A1175" s="12"/>
      <c r="B1175" s="108"/>
      <c r="C1175" s="106"/>
      <c r="D1175" s="100" t="s">
        <v>20</v>
      </c>
      <c r="E1175" s="17">
        <v>919</v>
      </c>
      <c r="F1175" s="18">
        <v>720</v>
      </c>
      <c r="G1175" s="27"/>
      <c r="H1175" s="1"/>
      <c r="I1175" s="1"/>
      <c r="J1175" s="1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spans="1:27" ht="16" customHeight="1">
      <c r="A1176" s="12"/>
      <c r="B1176" s="108"/>
      <c r="C1176" s="106"/>
      <c r="D1176" s="100" t="s">
        <v>14</v>
      </c>
      <c r="E1176" s="17">
        <v>920</v>
      </c>
      <c r="F1176" s="18">
        <v>1145</v>
      </c>
      <c r="G1176" s="27"/>
      <c r="H1176" s="1"/>
      <c r="I1176" s="1"/>
      <c r="J1176" s="1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spans="1:27" ht="16" customHeight="1">
      <c r="A1177" s="12"/>
      <c r="B1177" s="108"/>
      <c r="C1177" s="106"/>
      <c r="D1177" s="100" t="s">
        <v>60</v>
      </c>
      <c r="E1177" s="17">
        <v>921</v>
      </c>
      <c r="F1177" s="18">
        <v>1273</v>
      </c>
      <c r="G1177" s="27"/>
      <c r="H1177" s="1"/>
      <c r="I1177" s="1"/>
      <c r="J1177" s="1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spans="1:27" ht="16" customHeight="1">
      <c r="A1178" s="12"/>
      <c r="B1178" s="108"/>
      <c r="C1178" s="106"/>
      <c r="D1178" s="100" t="s">
        <v>61</v>
      </c>
      <c r="E1178" s="17">
        <v>922</v>
      </c>
      <c r="F1178" s="18">
        <v>1591</v>
      </c>
      <c r="G1178" s="27"/>
      <c r="H1178" s="1"/>
      <c r="I1178" s="1"/>
      <c r="J1178" s="1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spans="1:27" ht="16" customHeight="1">
      <c r="A1179" s="12"/>
      <c r="B1179" s="108"/>
      <c r="C1179" s="107" t="s">
        <v>358</v>
      </c>
      <c r="D1179" s="100" t="s">
        <v>18</v>
      </c>
      <c r="E1179" s="17">
        <v>486</v>
      </c>
      <c r="F1179" s="18">
        <v>764</v>
      </c>
      <c r="G1179" s="27"/>
      <c r="H1179" s="1"/>
      <c r="I1179" s="1"/>
      <c r="J1179" s="1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spans="1:27" ht="16" customHeight="1">
      <c r="A1180" s="12"/>
      <c r="B1180" s="108"/>
      <c r="C1180" s="107" t="s">
        <v>331</v>
      </c>
      <c r="D1180" s="100" t="s">
        <v>82</v>
      </c>
      <c r="E1180" s="17">
        <v>487</v>
      </c>
      <c r="F1180" s="18">
        <v>382</v>
      </c>
      <c r="G1180" s="27"/>
      <c r="H1180" s="1"/>
      <c r="I1180" s="1"/>
      <c r="J1180" s="1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spans="1:27" ht="16" customHeight="1">
      <c r="A1181" s="12"/>
      <c r="B1181" s="108"/>
      <c r="C1181" s="106"/>
      <c r="D1181" s="100" t="s">
        <v>14</v>
      </c>
      <c r="E1181" s="17">
        <v>488</v>
      </c>
      <c r="F1181" s="18">
        <v>573</v>
      </c>
      <c r="G1181" s="27"/>
      <c r="H1181" s="1"/>
      <c r="I1181" s="1"/>
      <c r="J1181" s="1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spans="1:27" ht="16" customHeight="1">
      <c r="A1182" s="12"/>
      <c r="B1182" s="108"/>
      <c r="C1182" s="106"/>
      <c r="D1182" s="100" t="s">
        <v>22</v>
      </c>
      <c r="E1182" s="17">
        <v>489</v>
      </c>
      <c r="F1182" s="18">
        <v>636</v>
      </c>
      <c r="G1182" s="27"/>
      <c r="H1182" s="1"/>
      <c r="I1182" s="1"/>
      <c r="J1182" s="1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spans="1:27" ht="16" customHeight="1">
      <c r="A1183" s="12"/>
      <c r="B1183" s="108"/>
      <c r="C1183" s="106"/>
      <c r="D1183" s="100" t="s">
        <v>124</v>
      </c>
      <c r="E1183" s="13"/>
      <c r="F1183" s="18">
        <v>445</v>
      </c>
      <c r="G1183" s="27"/>
      <c r="H1183" s="1"/>
      <c r="I1183" s="1"/>
      <c r="J1183" s="1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spans="1:27" ht="16" customHeight="1">
      <c r="A1184" s="12"/>
      <c r="B1184" s="108"/>
      <c r="C1184" s="107" t="s">
        <v>702</v>
      </c>
      <c r="D1184" s="100" t="s">
        <v>18</v>
      </c>
      <c r="E1184" s="17">
        <v>490</v>
      </c>
      <c r="F1184" s="18">
        <v>720</v>
      </c>
      <c r="G1184" s="27"/>
      <c r="H1184" s="1"/>
      <c r="I1184" s="1"/>
      <c r="J1184" s="1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spans="1:27" ht="16" customHeight="1">
      <c r="A1185" s="12"/>
      <c r="B1185" s="108"/>
      <c r="C1185" s="107" t="s">
        <v>331</v>
      </c>
      <c r="D1185" s="100" t="s">
        <v>82</v>
      </c>
      <c r="E1185" s="17">
        <v>491</v>
      </c>
      <c r="F1185" s="18">
        <v>382</v>
      </c>
      <c r="G1185" s="27"/>
      <c r="H1185" s="1"/>
      <c r="I1185" s="1"/>
      <c r="J1185" s="1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spans="1:27" ht="16" customHeight="1">
      <c r="A1186" s="12"/>
      <c r="B1186" s="108"/>
      <c r="C1186" s="106"/>
      <c r="D1186" s="100" t="s">
        <v>14</v>
      </c>
      <c r="E1186" s="17">
        <v>492</v>
      </c>
      <c r="F1186" s="18">
        <v>509</v>
      </c>
      <c r="G1186" s="27"/>
      <c r="H1186" s="1"/>
      <c r="I1186" s="1"/>
      <c r="J1186" s="1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spans="1:27" ht="16" customHeight="1">
      <c r="A1187" s="12"/>
      <c r="B1187" s="108"/>
      <c r="C1187" s="106"/>
      <c r="D1187" s="100" t="s">
        <v>22</v>
      </c>
      <c r="E1187" s="17">
        <v>493</v>
      </c>
      <c r="F1187" s="18">
        <v>636</v>
      </c>
      <c r="G1187" s="27"/>
      <c r="H1187" s="1"/>
      <c r="I1187" s="1"/>
      <c r="J1187" s="1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spans="1:27" ht="16" customHeight="1">
      <c r="A1188" s="12"/>
      <c r="B1188" s="108"/>
      <c r="C1188" s="107" t="s">
        <v>231</v>
      </c>
      <c r="D1188" s="100" t="s">
        <v>18</v>
      </c>
      <c r="E1188" s="17">
        <v>962</v>
      </c>
      <c r="F1188" s="18">
        <v>720</v>
      </c>
      <c r="G1188" s="27"/>
      <c r="H1188" s="1"/>
      <c r="I1188" s="1"/>
      <c r="J1188" s="1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spans="1:27" ht="16" customHeight="1">
      <c r="A1189" s="12"/>
      <c r="B1189" s="108"/>
      <c r="C1189" s="106"/>
      <c r="D1189" s="100" t="s">
        <v>14</v>
      </c>
      <c r="E1189" s="17">
        <v>963</v>
      </c>
      <c r="F1189" s="18">
        <v>509</v>
      </c>
      <c r="G1189" s="27"/>
      <c r="H1189" s="1"/>
      <c r="I1189" s="1"/>
      <c r="J1189" s="1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spans="1:27" ht="16" customHeight="1">
      <c r="A1190" s="12"/>
      <c r="B1190" s="108"/>
      <c r="C1190" s="106"/>
      <c r="D1190" s="100" t="s">
        <v>82</v>
      </c>
      <c r="E1190" s="17">
        <v>964</v>
      </c>
      <c r="F1190" s="18">
        <v>382</v>
      </c>
      <c r="G1190" s="27"/>
      <c r="H1190" s="1"/>
      <c r="I1190" s="1"/>
      <c r="J1190" s="1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spans="1:27" ht="16" customHeight="1">
      <c r="A1191" s="12"/>
      <c r="B1191" s="108"/>
      <c r="C1191" s="106"/>
      <c r="D1191" s="100" t="s">
        <v>60</v>
      </c>
      <c r="E1191" s="17">
        <v>965</v>
      </c>
      <c r="F1191" s="18">
        <v>955</v>
      </c>
      <c r="G1191" s="27"/>
      <c r="H1191" s="1"/>
      <c r="I1191" s="1"/>
      <c r="J1191" s="1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spans="1:27" ht="16" customHeight="1">
      <c r="A1192" s="12"/>
      <c r="B1192" s="109" t="s">
        <v>684</v>
      </c>
      <c r="C1192" s="107" t="s">
        <v>703</v>
      </c>
      <c r="D1192" s="100" t="s">
        <v>18</v>
      </c>
      <c r="E1192" s="17">
        <v>1107</v>
      </c>
      <c r="F1192" s="18">
        <v>720</v>
      </c>
      <c r="G1192" s="27"/>
      <c r="H1192" s="1"/>
      <c r="I1192" s="1"/>
      <c r="J1192" s="1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spans="1:27" ht="16" customHeight="1">
      <c r="A1193" s="12"/>
      <c r="B1193" s="108"/>
      <c r="C1193" s="107" t="s">
        <v>607</v>
      </c>
      <c r="D1193" s="100" t="s">
        <v>121</v>
      </c>
      <c r="E1193" s="17">
        <v>619</v>
      </c>
      <c r="F1193" s="18">
        <v>382</v>
      </c>
      <c r="G1193" s="27"/>
      <c r="H1193" s="1"/>
      <c r="I1193" s="1"/>
      <c r="J1193" s="1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spans="1:27" ht="16" customHeight="1">
      <c r="A1194" s="12"/>
      <c r="B1194" s="108"/>
      <c r="C1194" s="106"/>
      <c r="D1194" s="100" t="s">
        <v>26</v>
      </c>
      <c r="E1194" s="17">
        <v>1009</v>
      </c>
      <c r="F1194" s="18">
        <v>509</v>
      </c>
      <c r="G1194" s="27"/>
      <c r="H1194" s="1"/>
      <c r="I1194" s="1"/>
      <c r="J1194" s="1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spans="1:27" ht="16" customHeight="1">
      <c r="A1195" s="12"/>
      <c r="B1195" s="109" t="s">
        <v>684</v>
      </c>
      <c r="C1195" s="107" t="s">
        <v>704</v>
      </c>
      <c r="D1195" s="100" t="s">
        <v>18</v>
      </c>
      <c r="E1195" s="17">
        <v>1065</v>
      </c>
      <c r="F1195" s="18">
        <v>720</v>
      </c>
      <c r="G1195" s="27"/>
      <c r="H1195" s="1"/>
      <c r="I1195" s="1"/>
      <c r="J1195" s="1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spans="1:27" ht="16" customHeight="1">
      <c r="A1196" s="12"/>
      <c r="B1196" s="109" t="s">
        <v>684</v>
      </c>
      <c r="C1196" s="106"/>
      <c r="D1196" s="100" t="s">
        <v>705</v>
      </c>
      <c r="E1196" s="17">
        <v>1256</v>
      </c>
      <c r="F1196" s="18">
        <v>0</v>
      </c>
      <c r="G1196" s="27"/>
      <c r="H1196" s="1"/>
      <c r="I1196" s="1"/>
      <c r="J1196" s="1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spans="1:27" ht="16" customHeight="1">
      <c r="A1197" s="12"/>
      <c r="B1197" s="109" t="s">
        <v>684</v>
      </c>
      <c r="C1197" s="107" t="s">
        <v>706</v>
      </c>
      <c r="D1197" s="100" t="s">
        <v>18</v>
      </c>
      <c r="E1197" s="17">
        <v>1349</v>
      </c>
      <c r="F1197" s="18">
        <v>720</v>
      </c>
      <c r="G1197" s="27"/>
      <c r="H1197" s="1"/>
      <c r="I1197" s="1"/>
      <c r="J1197" s="1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spans="1:27" ht="16" customHeight="1">
      <c r="A1198" s="12"/>
      <c r="B1198" s="108"/>
      <c r="C1198" s="107" t="s">
        <v>344</v>
      </c>
      <c r="D1198" s="100" t="s">
        <v>14</v>
      </c>
      <c r="E1198" s="17">
        <v>1351</v>
      </c>
      <c r="F1198" s="18">
        <v>509</v>
      </c>
      <c r="G1198" s="27"/>
      <c r="H1198" s="1"/>
      <c r="I1198" s="1"/>
      <c r="J1198" s="1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spans="1:27" ht="16" customHeight="1">
      <c r="A1199" s="12"/>
      <c r="B1199" s="108"/>
      <c r="C1199" s="106"/>
      <c r="D1199" s="100" t="s">
        <v>82</v>
      </c>
      <c r="E1199" s="17">
        <v>1350</v>
      </c>
      <c r="F1199" s="18">
        <v>382</v>
      </c>
      <c r="G1199" s="27"/>
      <c r="H1199" s="1"/>
      <c r="I1199" s="1"/>
      <c r="J1199" s="1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spans="1:27" ht="16" customHeight="1">
      <c r="A1200" s="12"/>
      <c r="B1200" s="108"/>
      <c r="C1200" s="106"/>
      <c r="D1200" s="100" t="s">
        <v>26</v>
      </c>
      <c r="E1200" s="17">
        <v>1348</v>
      </c>
      <c r="F1200" s="18">
        <v>764</v>
      </c>
      <c r="G1200" s="27"/>
      <c r="H1200" s="1"/>
      <c r="I1200" s="1"/>
      <c r="J1200" s="1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spans="1:27" ht="16" customHeight="1">
      <c r="A1201" s="12"/>
      <c r="B1201" s="108"/>
      <c r="C1201" s="106"/>
      <c r="D1201" s="100" t="s">
        <v>55</v>
      </c>
      <c r="E1201" s="17">
        <v>1352</v>
      </c>
      <c r="F1201" s="18">
        <v>255</v>
      </c>
      <c r="G1201" s="27"/>
      <c r="H1201" s="1"/>
      <c r="I1201" s="1"/>
      <c r="J1201" s="1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spans="1:27" ht="16" customHeight="1">
      <c r="A1202" s="12"/>
      <c r="B1202" s="108"/>
      <c r="C1202" s="106"/>
      <c r="D1202" s="100" t="s">
        <v>60</v>
      </c>
      <c r="E1202" s="17">
        <v>2326</v>
      </c>
      <c r="F1202" s="18">
        <v>1273</v>
      </c>
      <c r="G1202" s="27"/>
      <c r="H1202" s="1"/>
      <c r="I1202" s="1"/>
      <c r="J1202" s="1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spans="1:27" ht="16" customHeight="1">
      <c r="A1203" s="12"/>
      <c r="B1203" s="108"/>
      <c r="C1203" s="106"/>
      <c r="D1203" s="100" t="s">
        <v>61</v>
      </c>
      <c r="E1203" s="17">
        <v>1915</v>
      </c>
      <c r="F1203" s="18">
        <v>2227</v>
      </c>
      <c r="G1203" s="27"/>
      <c r="H1203" s="1"/>
      <c r="I1203" s="1"/>
      <c r="J1203" s="1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spans="1:27" ht="16" customHeight="1">
      <c r="A1204" s="12"/>
      <c r="B1204" s="108"/>
      <c r="C1204" s="106"/>
      <c r="D1204" s="100" t="s">
        <v>27</v>
      </c>
      <c r="E1204" s="13"/>
      <c r="F1204" s="18">
        <v>1273</v>
      </c>
      <c r="G1204" s="27"/>
      <c r="H1204" s="1"/>
      <c r="I1204" s="1"/>
      <c r="J1204" s="1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spans="1:27" ht="16" customHeight="1">
      <c r="A1205" s="12"/>
      <c r="B1205" s="109" t="s">
        <v>684</v>
      </c>
      <c r="C1205" s="107" t="s">
        <v>707</v>
      </c>
      <c r="D1205" s="100" t="s">
        <v>18</v>
      </c>
      <c r="E1205" s="17">
        <v>1519</v>
      </c>
      <c r="F1205" s="18">
        <v>925</v>
      </c>
      <c r="G1205" s="27"/>
      <c r="H1205" s="1"/>
      <c r="I1205" s="1"/>
      <c r="J1205" s="1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spans="1:27" ht="16" customHeight="1">
      <c r="A1206" s="12"/>
      <c r="B1206" s="109" t="s">
        <v>684</v>
      </c>
      <c r="C1206" s="107" t="s">
        <v>708</v>
      </c>
      <c r="D1206" s="100" t="s">
        <v>18</v>
      </c>
      <c r="E1206" s="17">
        <v>1353</v>
      </c>
      <c r="F1206" s="18">
        <v>720</v>
      </c>
      <c r="G1206" s="27"/>
      <c r="H1206" s="1"/>
      <c r="I1206" s="1"/>
      <c r="J1206" s="1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spans="1:27" ht="16" customHeight="1">
      <c r="A1207" s="12"/>
      <c r="B1207" s="108"/>
      <c r="C1207" s="106"/>
      <c r="D1207" s="100" t="s">
        <v>14</v>
      </c>
      <c r="E1207" s="17">
        <v>1355</v>
      </c>
      <c r="F1207" s="18">
        <v>509</v>
      </c>
      <c r="G1207" s="27"/>
      <c r="H1207" s="1"/>
      <c r="I1207" s="1"/>
      <c r="J1207" s="1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spans="1:27" ht="17.25" customHeight="1">
      <c r="A1208" s="12"/>
      <c r="B1208" s="108"/>
      <c r="C1208" s="106"/>
      <c r="D1208" s="100" t="s">
        <v>82</v>
      </c>
      <c r="E1208" s="17">
        <v>1354</v>
      </c>
      <c r="F1208" s="18">
        <v>382</v>
      </c>
      <c r="G1208" s="27"/>
      <c r="H1208" s="1"/>
      <c r="I1208" s="1"/>
      <c r="J1208" s="1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spans="1:27" ht="16" customHeight="1">
      <c r="A1209" s="12"/>
      <c r="B1209" s="108"/>
      <c r="C1209" s="106"/>
      <c r="D1209" s="100" t="s">
        <v>554</v>
      </c>
      <c r="E1209" s="17">
        <v>1357</v>
      </c>
      <c r="F1209" s="18">
        <v>764</v>
      </c>
      <c r="G1209" s="27"/>
      <c r="H1209" s="1"/>
      <c r="I1209" s="1"/>
      <c r="J1209" s="1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spans="1:27" ht="16" customHeight="1">
      <c r="A1210" s="12"/>
      <c r="B1210" s="108"/>
      <c r="C1210" s="106"/>
      <c r="D1210" s="100" t="s">
        <v>709</v>
      </c>
      <c r="E1210" s="17">
        <v>1356</v>
      </c>
      <c r="F1210" s="18">
        <v>255</v>
      </c>
      <c r="G1210" s="27"/>
      <c r="H1210" s="1"/>
      <c r="I1210" s="1"/>
      <c r="J1210" s="1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spans="1:27" ht="16" customHeight="1">
      <c r="A1211" s="12"/>
      <c r="B1211" s="108"/>
      <c r="C1211" s="106"/>
      <c r="D1211" s="100" t="s">
        <v>60</v>
      </c>
      <c r="E1211" s="17">
        <v>1358</v>
      </c>
      <c r="F1211" s="18">
        <v>955</v>
      </c>
      <c r="G1211" s="27"/>
      <c r="H1211" s="1"/>
      <c r="I1211" s="1"/>
      <c r="J1211" s="1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spans="1:27" ht="16" customHeight="1">
      <c r="A1212" s="12"/>
      <c r="B1212" s="108"/>
      <c r="C1212" s="106"/>
      <c r="D1212" s="100" t="s">
        <v>29</v>
      </c>
      <c r="E1212" s="17">
        <v>1359</v>
      </c>
      <c r="F1212" s="18">
        <v>764</v>
      </c>
      <c r="G1212" s="27"/>
      <c r="H1212" s="1"/>
      <c r="I1212" s="1"/>
      <c r="J1212" s="1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spans="1:27" ht="18.75" customHeight="1">
      <c r="A1213" s="12"/>
      <c r="B1213" s="109" t="s">
        <v>684</v>
      </c>
      <c r="C1213" s="107" t="s">
        <v>657</v>
      </c>
      <c r="D1213" s="100" t="s">
        <v>60</v>
      </c>
      <c r="E1213" s="17">
        <v>1347</v>
      </c>
      <c r="F1213" s="18">
        <v>955</v>
      </c>
      <c r="G1213" s="27"/>
      <c r="H1213" s="1"/>
      <c r="I1213" s="1"/>
      <c r="J1213" s="1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spans="1:27" ht="16" customHeight="1">
      <c r="A1214" s="12"/>
      <c r="B1214" s="109" t="s">
        <v>684</v>
      </c>
      <c r="C1214" s="107" t="s">
        <v>710</v>
      </c>
      <c r="D1214" s="100" t="s">
        <v>711</v>
      </c>
      <c r="E1214" s="17">
        <v>1346</v>
      </c>
      <c r="F1214" s="18">
        <v>1145</v>
      </c>
      <c r="G1214" s="27"/>
      <c r="H1214" s="1"/>
      <c r="I1214" s="1"/>
      <c r="J1214" s="1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spans="1:27" ht="16" customHeight="1">
      <c r="A1215" s="12"/>
      <c r="B1215" s="108"/>
      <c r="C1215" s="106"/>
      <c r="D1215" s="100" t="s">
        <v>18</v>
      </c>
      <c r="E1215" s="17">
        <v>2200</v>
      </c>
      <c r="F1215" s="18">
        <v>764</v>
      </c>
      <c r="G1215" s="27"/>
      <c r="H1215" s="1"/>
      <c r="I1215" s="1"/>
      <c r="J1215" s="1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spans="1:27" ht="16" customHeight="1">
      <c r="A1216" s="12"/>
      <c r="B1216" s="108"/>
      <c r="C1216" s="106"/>
      <c r="D1216" s="100" t="s">
        <v>20</v>
      </c>
      <c r="E1216" s="17">
        <v>2201</v>
      </c>
      <c r="F1216" s="18">
        <v>720</v>
      </c>
      <c r="G1216" s="27"/>
      <c r="H1216" s="1"/>
      <c r="I1216" s="1"/>
      <c r="J1216" s="1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spans="1:27" ht="16" customHeight="1">
      <c r="A1217" s="12"/>
      <c r="B1217" s="108"/>
      <c r="C1217" s="106"/>
      <c r="D1217" s="100" t="s">
        <v>14</v>
      </c>
      <c r="E1217" s="17">
        <v>2202</v>
      </c>
      <c r="F1217" s="18">
        <v>1145</v>
      </c>
      <c r="G1217" s="27"/>
      <c r="H1217" s="1"/>
      <c r="I1217" s="1"/>
      <c r="J1217" s="1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spans="1:27" ht="16" customHeight="1">
      <c r="A1218" s="12"/>
      <c r="B1218" s="108"/>
      <c r="C1218" s="106"/>
      <c r="D1218" s="100" t="s">
        <v>60</v>
      </c>
      <c r="E1218" s="17">
        <v>2203</v>
      </c>
      <c r="F1218" s="18">
        <v>1273</v>
      </c>
      <c r="G1218" s="27"/>
      <c r="H1218" s="1"/>
      <c r="I1218" s="1"/>
      <c r="J1218" s="1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spans="1:27" ht="16" customHeight="1">
      <c r="A1219" s="12"/>
      <c r="B1219" s="108"/>
      <c r="C1219" s="106"/>
      <c r="D1219" s="100" t="s">
        <v>61</v>
      </c>
      <c r="E1219" s="17">
        <v>2204</v>
      </c>
      <c r="F1219" s="18">
        <v>1591</v>
      </c>
      <c r="G1219" s="27"/>
      <c r="H1219" s="1"/>
      <c r="I1219" s="1"/>
      <c r="J1219" s="1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spans="1:27" ht="16" customHeight="1">
      <c r="A1220" s="12"/>
      <c r="B1220" s="108"/>
      <c r="C1220" s="106"/>
      <c r="D1220" s="100" t="s">
        <v>712</v>
      </c>
      <c r="E1220" s="17">
        <v>2205</v>
      </c>
      <c r="F1220" s="18">
        <v>318</v>
      </c>
      <c r="G1220" s="27"/>
      <c r="H1220" s="1"/>
      <c r="I1220" s="1"/>
      <c r="J1220" s="1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spans="1:27" ht="19.5" customHeight="1">
      <c r="A1221" s="12"/>
      <c r="B1221" s="109" t="s">
        <v>684</v>
      </c>
      <c r="C1221" s="107" t="s">
        <v>713</v>
      </c>
      <c r="D1221" s="100" t="s">
        <v>18</v>
      </c>
      <c r="E1221" s="17">
        <v>3174</v>
      </c>
      <c r="F1221" s="18">
        <v>720</v>
      </c>
      <c r="G1221" s="27"/>
      <c r="H1221" s="1"/>
      <c r="I1221" s="1"/>
      <c r="J1221" s="1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spans="1:27" ht="16" customHeight="1">
      <c r="A1222" s="12"/>
      <c r="B1222" s="108"/>
      <c r="C1222" s="106"/>
      <c r="D1222" s="100" t="s">
        <v>554</v>
      </c>
      <c r="E1222" s="17">
        <v>3175</v>
      </c>
      <c r="F1222" s="18">
        <v>573</v>
      </c>
      <c r="G1222" s="27"/>
      <c r="H1222" s="1"/>
      <c r="I1222" s="1"/>
      <c r="J1222" s="1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spans="1:27" ht="16" customHeight="1">
      <c r="A1223" s="12"/>
      <c r="B1223" s="108"/>
      <c r="C1223" s="106"/>
      <c r="D1223" s="100" t="s">
        <v>20</v>
      </c>
      <c r="E1223" s="17">
        <v>3176</v>
      </c>
      <c r="F1223" s="18">
        <v>720</v>
      </c>
      <c r="G1223" s="27"/>
      <c r="H1223" s="1"/>
      <c r="I1223" s="1"/>
      <c r="J1223" s="1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spans="1:27" ht="19.5" customHeight="1">
      <c r="A1224" s="12"/>
      <c r="B1224" s="108"/>
      <c r="C1224" s="106"/>
      <c r="D1224" s="100" t="s">
        <v>14</v>
      </c>
      <c r="E1224" s="17">
        <v>3177</v>
      </c>
      <c r="F1224" s="18">
        <v>509</v>
      </c>
      <c r="G1224" s="27"/>
      <c r="H1224" s="1"/>
      <c r="I1224" s="1"/>
      <c r="J1224" s="1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spans="1:27" ht="17.25" customHeight="1">
      <c r="A1225" s="12"/>
      <c r="B1225" s="108"/>
      <c r="C1225" s="106"/>
      <c r="D1225" s="100" t="s">
        <v>714</v>
      </c>
      <c r="E1225" s="17">
        <v>3178</v>
      </c>
      <c r="F1225" s="18">
        <v>382</v>
      </c>
      <c r="G1225" s="27"/>
      <c r="H1225" s="1"/>
      <c r="I1225" s="1"/>
      <c r="J1225" s="1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spans="1:27" ht="16" customHeight="1">
      <c r="A1226" s="12"/>
      <c r="B1226" s="108"/>
      <c r="C1226" s="106"/>
      <c r="D1226" s="100" t="s">
        <v>714</v>
      </c>
      <c r="E1226" s="17" t="s">
        <v>715</v>
      </c>
      <c r="F1226" s="18">
        <v>764</v>
      </c>
      <c r="G1226" s="27"/>
      <c r="H1226" s="1"/>
      <c r="I1226" s="1"/>
      <c r="J1226" s="1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spans="1:27" ht="16" customHeight="1">
      <c r="A1227" s="12"/>
      <c r="B1227" s="108"/>
      <c r="C1227" s="106"/>
      <c r="D1227" s="100" t="s">
        <v>60</v>
      </c>
      <c r="E1227" s="17">
        <v>3180</v>
      </c>
      <c r="F1227" s="18">
        <v>955</v>
      </c>
      <c r="G1227" s="27"/>
      <c r="H1227" s="1"/>
      <c r="I1227" s="1"/>
      <c r="J1227" s="1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spans="1:27" ht="16" customHeight="1">
      <c r="A1228" s="12"/>
      <c r="B1228" s="108"/>
      <c r="C1228" s="106"/>
      <c r="D1228" s="100" t="s">
        <v>61</v>
      </c>
      <c r="E1228" s="17">
        <v>3181</v>
      </c>
      <c r="F1228" s="18">
        <v>955</v>
      </c>
      <c r="G1228" s="27"/>
      <c r="H1228" s="1"/>
      <c r="I1228" s="1"/>
      <c r="J1228" s="1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spans="1:27" ht="18.75" customHeight="1">
      <c r="A1229" s="12"/>
      <c r="B1229" s="108"/>
      <c r="C1229" s="106"/>
      <c r="D1229" s="100" t="s">
        <v>709</v>
      </c>
      <c r="E1229" s="17">
        <v>3182</v>
      </c>
      <c r="F1229" s="18">
        <v>255</v>
      </c>
      <c r="G1229" s="27"/>
      <c r="H1229" s="1"/>
      <c r="I1229" s="1"/>
      <c r="J1229" s="1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spans="1:27" ht="16" customHeight="1">
      <c r="A1230" s="12"/>
      <c r="B1230" s="108"/>
      <c r="C1230" s="106"/>
      <c r="D1230" s="100" t="s">
        <v>716</v>
      </c>
      <c r="E1230" s="17" t="s">
        <v>717</v>
      </c>
      <c r="F1230" s="18">
        <v>955</v>
      </c>
      <c r="G1230" s="27"/>
      <c r="H1230" s="1"/>
      <c r="I1230" s="1"/>
      <c r="J1230" s="1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spans="1:27" ht="16" customHeight="1">
      <c r="A1231" s="12"/>
      <c r="B1231" s="108"/>
      <c r="C1231" s="106"/>
      <c r="D1231" s="100" t="s">
        <v>27</v>
      </c>
      <c r="E1231" s="17" t="s">
        <v>718</v>
      </c>
      <c r="F1231" s="18">
        <v>764</v>
      </c>
      <c r="G1231" s="27"/>
      <c r="H1231" s="1"/>
      <c r="I1231" s="1"/>
      <c r="J1231" s="1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spans="1:27" ht="16" customHeight="1">
      <c r="A1232" s="12"/>
      <c r="B1232" s="108"/>
      <c r="C1232" s="106"/>
      <c r="D1232" s="100" t="s">
        <v>200</v>
      </c>
      <c r="E1232" s="17">
        <v>3187</v>
      </c>
      <c r="F1232" s="18">
        <v>764</v>
      </c>
      <c r="G1232" s="27"/>
      <c r="H1232" s="1"/>
      <c r="I1232" s="1"/>
      <c r="J1232" s="1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spans="1:27" ht="16" customHeight="1">
      <c r="A1233" s="12"/>
      <c r="B1233" s="108"/>
      <c r="C1233" s="106"/>
      <c r="D1233" s="100" t="s">
        <v>378</v>
      </c>
      <c r="E1233" s="17">
        <v>3188</v>
      </c>
      <c r="F1233" s="18">
        <v>764</v>
      </c>
      <c r="G1233" s="27"/>
      <c r="H1233" s="1"/>
      <c r="I1233" s="1"/>
      <c r="J1233" s="1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spans="1:27" ht="16" customHeight="1">
      <c r="A1234" s="12"/>
      <c r="B1234" s="108"/>
      <c r="C1234" s="106"/>
      <c r="D1234" s="100" t="s">
        <v>624</v>
      </c>
      <c r="E1234" s="17">
        <v>3189</v>
      </c>
      <c r="F1234" s="18">
        <v>764</v>
      </c>
      <c r="G1234" s="27"/>
      <c r="H1234" s="1"/>
      <c r="I1234" s="1"/>
      <c r="J1234" s="1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spans="1:27" ht="16" customHeight="1">
      <c r="A1235" s="12"/>
      <c r="B1235" s="109" t="s">
        <v>719</v>
      </c>
      <c r="C1235" s="107" t="s">
        <v>720</v>
      </c>
      <c r="D1235" s="100" t="s">
        <v>554</v>
      </c>
      <c r="E1235" s="17">
        <v>3212</v>
      </c>
      <c r="F1235" s="18">
        <v>955</v>
      </c>
      <c r="G1235" s="27"/>
      <c r="H1235" s="1"/>
      <c r="I1235" s="1"/>
      <c r="J1235" s="1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spans="1:27" ht="16" customHeight="1">
      <c r="A1236" s="12"/>
      <c r="B1236" s="109" t="s">
        <v>719</v>
      </c>
      <c r="C1236" s="107" t="s">
        <v>721</v>
      </c>
      <c r="D1236" s="100" t="s">
        <v>60</v>
      </c>
      <c r="E1236" s="17">
        <v>3234</v>
      </c>
      <c r="F1236" s="18">
        <v>955</v>
      </c>
      <c r="G1236" s="27"/>
      <c r="H1236" s="1"/>
      <c r="I1236" s="1"/>
      <c r="J1236" s="1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spans="1:27" ht="16" customHeight="1">
      <c r="A1237" s="12"/>
      <c r="B1237" s="108"/>
      <c r="C1237" s="107" t="s">
        <v>111</v>
      </c>
      <c r="D1237" s="100" t="s">
        <v>61</v>
      </c>
      <c r="E1237" s="17">
        <v>3235</v>
      </c>
      <c r="F1237" s="18">
        <v>955</v>
      </c>
      <c r="G1237" s="27"/>
      <c r="H1237" s="1"/>
      <c r="I1237" s="1"/>
      <c r="J1237" s="1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spans="1:27" ht="16" customHeight="1">
      <c r="A1238" s="12"/>
      <c r="B1238" s="108"/>
      <c r="C1238" s="106"/>
      <c r="D1238" s="100" t="s">
        <v>722</v>
      </c>
      <c r="E1238" s="17">
        <v>3236</v>
      </c>
      <c r="F1238" s="18">
        <v>825</v>
      </c>
      <c r="G1238" s="27"/>
      <c r="H1238" s="1"/>
      <c r="I1238" s="1"/>
      <c r="J1238" s="1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spans="1:27" ht="16" customHeight="1">
      <c r="A1239" s="12"/>
      <c r="B1239" s="108"/>
      <c r="C1239" s="106"/>
      <c r="D1239" s="100" t="s">
        <v>610</v>
      </c>
      <c r="E1239" s="17"/>
      <c r="F1239" s="19">
        <v>760</v>
      </c>
      <c r="G1239" s="27"/>
      <c r="H1239" s="1"/>
      <c r="I1239" s="1"/>
      <c r="J1239" s="1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spans="1:27" ht="16.5" customHeight="1">
      <c r="A1240" s="12"/>
      <c r="B1240" s="109" t="s">
        <v>723</v>
      </c>
      <c r="C1240" s="107" t="s">
        <v>724</v>
      </c>
      <c r="D1240" s="100" t="s">
        <v>12</v>
      </c>
      <c r="E1240" s="17">
        <v>1922</v>
      </c>
      <c r="F1240" s="18">
        <v>286</v>
      </c>
      <c r="G1240" s="27"/>
      <c r="H1240" s="1"/>
      <c r="I1240" s="1"/>
      <c r="J1240" s="1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spans="1:27" ht="16" customHeight="1">
      <c r="A1241" s="12"/>
      <c r="B1241" s="108"/>
      <c r="C1241" s="106"/>
      <c r="D1241" s="100" t="s">
        <v>29</v>
      </c>
      <c r="E1241" s="17">
        <v>1924</v>
      </c>
      <c r="F1241" s="18">
        <v>286</v>
      </c>
      <c r="G1241" s="27"/>
      <c r="H1241" s="1"/>
      <c r="I1241" s="1"/>
      <c r="J1241" s="1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spans="1:27" ht="16" customHeight="1">
      <c r="A1242" s="12"/>
      <c r="B1242" s="108"/>
      <c r="C1242" s="106"/>
      <c r="D1242" s="100" t="s">
        <v>14</v>
      </c>
      <c r="E1242" s="17">
        <v>1923</v>
      </c>
      <c r="F1242" s="18">
        <v>445</v>
      </c>
      <c r="G1242" s="27"/>
      <c r="H1242" s="1"/>
      <c r="I1242" s="1"/>
      <c r="J1242" s="1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spans="1:27" ht="16" customHeight="1">
      <c r="A1243" s="12"/>
      <c r="B1243" s="109" t="s">
        <v>723</v>
      </c>
      <c r="C1243" s="107" t="s">
        <v>725</v>
      </c>
      <c r="D1243" s="100" t="s">
        <v>18</v>
      </c>
      <c r="E1243" s="17">
        <v>2012</v>
      </c>
      <c r="F1243" s="18">
        <v>764</v>
      </c>
      <c r="G1243" s="27"/>
      <c r="H1243" s="1"/>
      <c r="I1243" s="1"/>
      <c r="J1243" s="1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spans="1:27" ht="16" customHeight="1">
      <c r="A1244" s="12"/>
      <c r="B1244" s="108"/>
      <c r="C1244" s="106"/>
      <c r="D1244" s="100" t="s">
        <v>94</v>
      </c>
      <c r="E1244" s="17">
        <v>2013</v>
      </c>
      <c r="F1244" s="18">
        <v>573</v>
      </c>
      <c r="G1244" s="27"/>
      <c r="H1244" s="1"/>
      <c r="I1244" s="1"/>
      <c r="J1244" s="1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spans="1:27" ht="16" customHeight="1">
      <c r="A1245" s="12"/>
      <c r="B1245" s="108"/>
      <c r="C1245" s="106"/>
      <c r="D1245" s="100" t="s">
        <v>14</v>
      </c>
      <c r="E1245" s="17">
        <v>2018</v>
      </c>
      <c r="F1245" s="18">
        <v>1145</v>
      </c>
      <c r="G1245" s="27"/>
      <c r="H1245" s="1"/>
      <c r="I1245" s="1"/>
      <c r="J1245" s="1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spans="1:27" ht="16" customHeight="1">
      <c r="A1246" s="12"/>
      <c r="B1246" s="108"/>
      <c r="C1246" s="106"/>
      <c r="D1246" s="100" t="s">
        <v>60</v>
      </c>
      <c r="E1246" s="17">
        <v>2014</v>
      </c>
      <c r="F1246" s="18">
        <v>1273</v>
      </c>
      <c r="G1246" s="27"/>
      <c r="H1246" s="1"/>
      <c r="I1246" s="1"/>
      <c r="J1246" s="1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spans="1:27" ht="16" customHeight="1">
      <c r="A1247" s="12"/>
      <c r="B1247" s="108"/>
      <c r="C1247" s="106"/>
      <c r="D1247" s="100" t="s">
        <v>60</v>
      </c>
      <c r="E1247" s="17">
        <v>2015</v>
      </c>
      <c r="F1247" s="18">
        <v>318</v>
      </c>
      <c r="G1247" s="27"/>
      <c r="H1247" s="1"/>
      <c r="I1247" s="1"/>
      <c r="J1247" s="1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spans="1:27" ht="16" customHeight="1">
      <c r="A1248" s="12"/>
      <c r="B1248" s="108"/>
      <c r="C1248" s="106"/>
      <c r="D1248" s="100" t="s">
        <v>61</v>
      </c>
      <c r="E1248" s="17">
        <v>2016</v>
      </c>
      <c r="F1248" s="18">
        <v>1591</v>
      </c>
      <c r="G1248" s="27"/>
      <c r="H1248" s="1"/>
      <c r="I1248" s="1"/>
      <c r="J1248" s="1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spans="1:27" ht="16" customHeight="1">
      <c r="A1249" s="12"/>
      <c r="B1249" s="108"/>
      <c r="C1249" s="106"/>
      <c r="D1249" s="100" t="s">
        <v>61</v>
      </c>
      <c r="E1249" s="17">
        <v>2017</v>
      </c>
      <c r="F1249" s="18">
        <v>318</v>
      </c>
      <c r="G1249" s="27"/>
      <c r="H1249" s="1"/>
      <c r="I1249" s="1"/>
      <c r="J1249" s="1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spans="1:27" ht="16" customHeight="1">
      <c r="A1250" s="12"/>
      <c r="B1250" s="109" t="s">
        <v>723</v>
      </c>
      <c r="C1250" s="107" t="s">
        <v>726</v>
      </c>
      <c r="D1250" s="100" t="s">
        <v>18</v>
      </c>
      <c r="E1250" s="17">
        <v>3270</v>
      </c>
      <c r="F1250" s="18">
        <v>955</v>
      </c>
      <c r="G1250" s="27"/>
      <c r="H1250" s="1"/>
      <c r="I1250" s="1"/>
      <c r="J1250" s="1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spans="1:27" ht="16" customHeight="1">
      <c r="A1251" s="12"/>
      <c r="B1251" s="108"/>
      <c r="C1251" s="106"/>
      <c r="D1251" s="100" t="s">
        <v>26</v>
      </c>
      <c r="E1251" s="17">
        <v>3271</v>
      </c>
      <c r="F1251" s="18">
        <v>764</v>
      </c>
      <c r="G1251" s="27"/>
      <c r="H1251" s="1"/>
      <c r="I1251" s="1"/>
      <c r="J1251" s="1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spans="1:27" ht="16" customHeight="1">
      <c r="A1252" s="12"/>
      <c r="B1252" s="108"/>
      <c r="C1252" s="106"/>
      <c r="D1252" s="100" t="s">
        <v>14</v>
      </c>
      <c r="E1252" s="17">
        <v>3272</v>
      </c>
      <c r="F1252" s="18">
        <v>573</v>
      </c>
      <c r="G1252" s="27"/>
      <c r="H1252" s="1"/>
      <c r="I1252" s="1"/>
      <c r="J1252" s="1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spans="1:27" ht="16" customHeight="1">
      <c r="A1253" s="12"/>
      <c r="B1253" s="108"/>
      <c r="C1253" s="106"/>
      <c r="D1253" s="100" t="s">
        <v>29</v>
      </c>
      <c r="E1253" s="17">
        <v>3273</v>
      </c>
      <c r="F1253" s="18">
        <v>764</v>
      </c>
      <c r="G1253" s="27"/>
      <c r="H1253" s="1"/>
      <c r="I1253" s="1"/>
      <c r="J1253" s="1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spans="1:27" ht="16" customHeight="1">
      <c r="A1254" s="12"/>
      <c r="B1254" s="108"/>
      <c r="C1254" s="106"/>
      <c r="D1254" s="100" t="s">
        <v>60</v>
      </c>
      <c r="E1254" s="17">
        <v>3274</v>
      </c>
      <c r="F1254" s="18">
        <v>955</v>
      </c>
      <c r="G1254" s="27"/>
      <c r="H1254" s="1"/>
      <c r="I1254" s="1"/>
      <c r="J1254" s="1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spans="1:27" ht="16" customHeight="1">
      <c r="A1255" s="12"/>
      <c r="B1255" s="108"/>
      <c r="C1255" s="106"/>
      <c r="D1255" s="100" t="s">
        <v>61</v>
      </c>
      <c r="E1255" s="17">
        <v>3275</v>
      </c>
      <c r="F1255" s="18">
        <v>955</v>
      </c>
      <c r="G1255" s="27"/>
      <c r="H1255" s="1"/>
      <c r="I1255" s="1"/>
      <c r="J1255" s="1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spans="1:27" ht="16" customHeight="1">
      <c r="A1256" s="12"/>
      <c r="B1256" s="108"/>
      <c r="C1256" s="106"/>
      <c r="D1256" s="100" t="s">
        <v>94</v>
      </c>
      <c r="E1256" s="17">
        <v>3276</v>
      </c>
      <c r="F1256" s="18">
        <v>573</v>
      </c>
      <c r="G1256" s="27"/>
      <c r="H1256" s="1"/>
      <c r="I1256" s="1"/>
      <c r="J1256" s="1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spans="1:27" ht="16" customHeight="1">
      <c r="A1257" s="12"/>
      <c r="B1257" s="108"/>
      <c r="C1257" s="106"/>
      <c r="D1257" s="100" t="s">
        <v>200</v>
      </c>
      <c r="E1257" s="17">
        <v>3277</v>
      </c>
      <c r="F1257" s="18">
        <v>1591</v>
      </c>
      <c r="G1257" s="27"/>
      <c r="H1257" s="1"/>
      <c r="I1257" s="1"/>
      <c r="J1257" s="1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spans="1:27" ht="16" customHeight="1">
      <c r="A1258" s="12"/>
      <c r="B1258" s="108"/>
      <c r="C1258" s="106"/>
      <c r="D1258" s="100" t="s">
        <v>727</v>
      </c>
      <c r="E1258" s="17">
        <v>3285</v>
      </c>
      <c r="F1258" s="18">
        <v>509</v>
      </c>
      <c r="G1258" s="27"/>
      <c r="H1258" s="1"/>
      <c r="I1258" s="1"/>
      <c r="J1258" s="1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spans="1:27" ht="16" customHeight="1">
      <c r="A1259" s="12"/>
      <c r="B1259" s="108"/>
      <c r="C1259" s="106"/>
      <c r="D1259" s="100" t="s">
        <v>728</v>
      </c>
      <c r="E1259" s="17">
        <v>3278</v>
      </c>
      <c r="F1259" s="18">
        <v>318</v>
      </c>
      <c r="G1259" s="27"/>
      <c r="H1259" s="1"/>
      <c r="I1259" s="1"/>
      <c r="J1259" s="1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spans="1:27" ht="16" customHeight="1">
      <c r="A1260" s="12"/>
      <c r="B1260" s="108"/>
      <c r="C1260" s="106"/>
      <c r="D1260" s="100" t="s">
        <v>729</v>
      </c>
      <c r="E1260" s="17">
        <v>3280</v>
      </c>
      <c r="F1260" s="18">
        <v>255</v>
      </c>
      <c r="G1260" s="27"/>
      <c r="H1260" s="1"/>
      <c r="I1260" s="1"/>
      <c r="J1260" s="1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spans="1:27" ht="16" customHeight="1">
      <c r="A1261" s="12"/>
      <c r="B1261" s="108"/>
      <c r="C1261" s="106"/>
      <c r="D1261" s="100" t="s">
        <v>730</v>
      </c>
      <c r="E1261" s="17">
        <v>3281</v>
      </c>
      <c r="F1261" s="18">
        <v>255</v>
      </c>
      <c r="G1261" s="27"/>
      <c r="H1261" s="1"/>
      <c r="I1261" s="1"/>
      <c r="J1261" s="1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spans="1:27" ht="16" customHeight="1">
      <c r="A1262" s="12"/>
      <c r="B1262" s="108"/>
      <c r="C1262" s="106"/>
      <c r="D1262" s="100" t="s">
        <v>731</v>
      </c>
      <c r="E1262" s="17">
        <v>3282</v>
      </c>
      <c r="F1262" s="18">
        <v>255</v>
      </c>
      <c r="G1262" s="27"/>
      <c r="H1262" s="1"/>
      <c r="I1262" s="1"/>
      <c r="J1262" s="1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spans="1:27" ht="16" customHeight="1">
      <c r="A1263" s="12"/>
      <c r="B1263" s="108"/>
      <c r="C1263" s="106"/>
      <c r="D1263" s="100" t="s">
        <v>732</v>
      </c>
      <c r="E1263" s="17">
        <v>3283</v>
      </c>
      <c r="F1263" s="18">
        <v>191</v>
      </c>
      <c r="G1263" s="27"/>
      <c r="H1263" s="1"/>
      <c r="I1263" s="1"/>
      <c r="J1263" s="1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spans="1:27" ht="16" customHeight="1">
      <c r="A1264" s="12"/>
      <c r="B1264" s="108"/>
      <c r="C1264" s="106"/>
      <c r="D1264" s="100" t="s">
        <v>733</v>
      </c>
      <c r="E1264" s="17">
        <v>3284</v>
      </c>
      <c r="F1264" s="18">
        <v>318</v>
      </c>
      <c r="G1264" s="27"/>
      <c r="H1264" s="1"/>
      <c r="I1264" s="1"/>
      <c r="J1264" s="1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spans="1:27" ht="16" customHeight="1">
      <c r="A1265" s="12"/>
      <c r="B1265" s="108" t="s">
        <v>723</v>
      </c>
      <c r="C1265" s="106" t="s">
        <v>734</v>
      </c>
      <c r="D1265" s="100"/>
      <c r="E1265" s="17"/>
      <c r="F1265" s="18"/>
      <c r="G1265" s="27"/>
      <c r="H1265" s="1"/>
      <c r="I1265" s="1"/>
      <c r="J1265" s="1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spans="1:27" ht="16" customHeight="1">
      <c r="A1266" s="12"/>
      <c r="B1266" s="108"/>
      <c r="C1266" s="106"/>
      <c r="D1266" s="100" t="s">
        <v>735</v>
      </c>
      <c r="E1266" s="17">
        <v>3350</v>
      </c>
      <c r="F1266" s="18">
        <v>1273</v>
      </c>
      <c r="G1266" s="27"/>
      <c r="H1266" s="1"/>
      <c r="I1266" s="1"/>
      <c r="J1266" s="1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spans="1:27" ht="18.5" customHeight="1">
      <c r="A1267" s="12"/>
      <c r="B1267" s="108"/>
      <c r="C1267" s="106"/>
      <c r="D1267" s="100" t="s">
        <v>736</v>
      </c>
      <c r="E1267" s="17">
        <v>3351</v>
      </c>
      <c r="F1267" s="18">
        <v>1273</v>
      </c>
      <c r="G1267" s="27"/>
      <c r="H1267" s="1"/>
      <c r="I1267" s="1"/>
      <c r="J1267" s="1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spans="1:27" ht="16" customHeight="1">
      <c r="A1268" s="12"/>
      <c r="B1268" s="108"/>
      <c r="C1268" s="106"/>
      <c r="D1268" s="100" t="s">
        <v>14</v>
      </c>
      <c r="E1268" s="17">
        <v>3352</v>
      </c>
      <c r="F1268" s="18">
        <v>955</v>
      </c>
      <c r="G1268" s="27"/>
      <c r="H1268" s="1"/>
      <c r="I1268" s="1"/>
      <c r="J1268" s="1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spans="1:27" ht="16" customHeight="1">
      <c r="A1269" s="12"/>
      <c r="B1269" s="108"/>
      <c r="C1269" s="106"/>
      <c r="D1269" s="100" t="s">
        <v>737</v>
      </c>
      <c r="E1269" s="17">
        <v>3353</v>
      </c>
      <c r="F1269" s="18">
        <v>1591</v>
      </c>
      <c r="G1269" s="27"/>
      <c r="H1269" s="1"/>
      <c r="I1269" s="1"/>
      <c r="J1269" s="1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spans="1:27" ht="16" customHeight="1">
      <c r="A1270" s="12"/>
      <c r="B1270" s="108"/>
      <c r="C1270" s="106"/>
      <c r="D1270" s="100" t="s">
        <v>738</v>
      </c>
      <c r="E1270" s="17">
        <v>3354</v>
      </c>
      <c r="F1270" s="18">
        <v>1591</v>
      </c>
      <c r="G1270" s="27"/>
      <c r="H1270" s="1"/>
      <c r="I1270" s="1"/>
      <c r="J1270" s="1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spans="1:27" ht="16" customHeight="1">
      <c r="A1271" s="12"/>
      <c r="B1271" s="108"/>
      <c r="C1271" s="106"/>
      <c r="D1271" s="100" t="s">
        <v>739</v>
      </c>
      <c r="E1271" s="17">
        <v>3355</v>
      </c>
      <c r="F1271" s="18">
        <v>286</v>
      </c>
      <c r="G1271" s="27"/>
      <c r="H1271" s="1"/>
      <c r="I1271" s="1"/>
      <c r="J1271" s="1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spans="1:27" ht="16" customHeight="1">
      <c r="A1272" s="12"/>
      <c r="B1272" s="108"/>
      <c r="C1272" s="106"/>
      <c r="D1272" s="100" t="s">
        <v>27</v>
      </c>
      <c r="E1272" s="17">
        <v>3356</v>
      </c>
      <c r="F1272" s="18">
        <v>509</v>
      </c>
      <c r="G1272" s="27"/>
      <c r="H1272" s="1"/>
      <c r="I1272" s="1"/>
      <c r="J1272" s="1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spans="1:27" ht="16" customHeight="1">
      <c r="A1273" s="12"/>
      <c r="B1273" s="108"/>
      <c r="C1273" s="106"/>
      <c r="D1273" s="100" t="s">
        <v>20</v>
      </c>
      <c r="E1273" s="17">
        <v>3357</v>
      </c>
      <c r="F1273" s="18">
        <v>955</v>
      </c>
      <c r="G1273" s="27"/>
      <c r="H1273" s="1"/>
      <c r="I1273" s="1"/>
      <c r="J1273" s="1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spans="1:27" ht="16" customHeight="1">
      <c r="A1274" s="12"/>
      <c r="B1274" s="108"/>
      <c r="C1274" s="106"/>
      <c r="D1274" s="100" t="s">
        <v>740</v>
      </c>
      <c r="E1274" s="13">
        <v>3358</v>
      </c>
      <c r="F1274" s="18">
        <v>382</v>
      </c>
      <c r="G1274" s="27"/>
      <c r="H1274" s="1"/>
      <c r="I1274" s="1"/>
      <c r="J1274" s="1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spans="1:27" ht="16" customHeight="1">
      <c r="A1275" s="12"/>
      <c r="B1275" s="108"/>
      <c r="C1275" s="106"/>
      <c r="D1275" s="100"/>
      <c r="E1275" s="17"/>
      <c r="F1275" s="18"/>
      <c r="G1275" s="27"/>
      <c r="H1275" s="1"/>
      <c r="I1275" s="1"/>
      <c r="J1275" s="1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spans="1:27" ht="16" customHeight="1">
      <c r="A1276" s="12"/>
      <c r="B1276" s="108" t="s">
        <v>723</v>
      </c>
      <c r="C1276" s="106" t="s">
        <v>365</v>
      </c>
      <c r="D1276" s="100"/>
      <c r="E1276" s="17"/>
      <c r="F1276" s="18"/>
      <c r="G1276" s="27"/>
      <c r="H1276" s="1"/>
      <c r="I1276" s="1"/>
      <c r="J1276" s="1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spans="1:27" ht="16" customHeight="1">
      <c r="A1277" s="12"/>
      <c r="B1277" s="108"/>
      <c r="C1277" s="106"/>
      <c r="D1277" s="100" t="s">
        <v>735</v>
      </c>
      <c r="E1277" s="17">
        <v>3500</v>
      </c>
      <c r="F1277" s="18">
        <v>1273</v>
      </c>
      <c r="G1277" s="27"/>
      <c r="H1277" s="1"/>
      <c r="I1277" s="1"/>
      <c r="J1277" s="1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spans="1:27" ht="30" customHeight="1">
      <c r="A1278" s="12"/>
      <c r="B1278" s="108"/>
      <c r="C1278" s="106"/>
      <c r="D1278" s="100" t="s">
        <v>736</v>
      </c>
      <c r="E1278" s="17">
        <v>3502</v>
      </c>
      <c r="F1278" s="18">
        <v>1273</v>
      </c>
      <c r="G1278" s="27"/>
      <c r="H1278" s="1"/>
      <c r="I1278" s="1"/>
      <c r="J1278" s="1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spans="1:27" ht="16" customHeight="1">
      <c r="A1279" s="12"/>
      <c r="B1279" s="108"/>
      <c r="C1279" s="106"/>
      <c r="D1279" s="100" t="s">
        <v>14</v>
      </c>
      <c r="E1279" s="17">
        <v>3503</v>
      </c>
      <c r="F1279" s="18">
        <v>955</v>
      </c>
      <c r="G1279" s="27"/>
      <c r="H1279" s="1"/>
      <c r="I1279" s="1"/>
      <c r="J1279" s="1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spans="1:27" ht="30" customHeight="1">
      <c r="A1280" s="12"/>
      <c r="B1280" s="108"/>
      <c r="C1280" s="106"/>
      <c r="D1280" s="100" t="s">
        <v>741</v>
      </c>
      <c r="E1280" s="17">
        <v>3504</v>
      </c>
      <c r="F1280" s="18">
        <v>1591</v>
      </c>
      <c r="G1280" s="27"/>
      <c r="H1280" s="1"/>
      <c r="I1280" s="1"/>
      <c r="J1280" s="1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spans="1:27" ht="30" customHeight="1">
      <c r="A1281" s="12"/>
      <c r="B1281" s="108"/>
      <c r="C1281" s="106"/>
      <c r="D1281" s="100" t="s">
        <v>742</v>
      </c>
      <c r="E1281" s="17">
        <v>3505</v>
      </c>
      <c r="F1281" s="18">
        <v>1591</v>
      </c>
      <c r="G1281" s="27"/>
      <c r="H1281" s="1"/>
      <c r="I1281" s="1"/>
      <c r="J1281" s="1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spans="1:27" ht="16" customHeight="1">
      <c r="A1282" s="12"/>
      <c r="B1282" s="108"/>
      <c r="C1282" s="106"/>
      <c r="D1282" s="100" t="s">
        <v>396</v>
      </c>
      <c r="E1282" s="17">
        <v>3509</v>
      </c>
      <c r="F1282" s="18">
        <v>955</v>
      </c>
      <c r="G1282" s="27"/>
      <c r="H1282" s="1"/>
      <c r="I1282" s="1"/>
      <c r="J1282" s="1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spans="1:27" ht="16" customHeight="1">
      <c r="A1283" s="12"/>
      <c r="B1283" s="108"/>
      <c r="C1283" s="106"/>
      <c r="D1283" s="100" t="s">
        <v>65</v>
      </c>
      <c r="E1283" s="17">
        <v>3507</v>
      </c>
      <c r="F1283" s="18">
        <v>1145</v>
      </c>
      <c r="G1283" s="27"/>
      <c r="H1283" s="1"/>
      <c r="I1283" s="1"/>
      <c r="J1283" s="1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spans="1:27" ht="16" customHeight="1">
      <c r="A1284" s="12"/>
      <c r="B1284" s="108"/>
      <c r="C1284" s="106"/>
      <c r="D1284" s="100" t="s">
        <v>212</v>
      </c>
      <c r="E1284" s="17">
        <v>3508</v>
      </c>
      <c r="F1284" s="18">
        <v>764</v>
      </c>
      <c r="G1284" s="27"/>
      <c r="H1284" s="1"/>
      <c r="I1284" s="1"/>
      <c r="J1284" s="1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spans="1:27" ht="16" customHeight="1">
      <c r="A1285" s="12"/>
      <c r="B1285" s="109" t="s">
        <v>743</v>
      </c>
      <c r="C1285" s="107" t="s">
        <v>744</v>
      </c>
      <c r="D1285" s="100"/>
      <c r="E1285" s="13"/>
      <c r="F1285" s="18">
        <v>0</v>
      </c>
      <c r="G1285" s="27"/>
      <c r="H1285" s="1"/>
      <c r="I1285" s="1"/>
      <c r="J1285" s="1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spans="1:27" ht="16" customHeight="1">
      <c r="A1286" s="12"/>
      <c r="B1286" s="108"/>
      <c r="C1286" s="119" t="s">
        <v>745</v>
      </c>
      <c r="D1286" s="100" t="s">
        <v>18</v>
      </c>
      <c r="E1286" s="17">
        <v>4020</v>
      </c>
      <c r="F1286" s="18">
        <v>955</v>
      </c>
      <c r="G1286" s="27"/>
      <c r="H1286" s="1"/>
      <c r="I1286" s="1"/>
      <c r="J1286" s="1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spans="1:27" ht="16" customHeight="1">
      <c r="A1287" s="12"/>
      <c r="B1287" s="108"/>
      <c r="C1287" s="106"/>
      <c r="D1287" s="100" t="s">
        <v>746</v>
      </c>
      <c r="E1287" s="17">
        <v>4021</v>
      </c>
      <c r="F1287" s="18">
        <v>318</v>
      </c>
      <c r="G1287" s="27"/>
      <c r="H1287" s="1"/>
      <c r="I1287" s="1"/>
      <c r="J1287" s="1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spans="1:27" ht="16" customHeight="1">
      <c r="A1288" s="12"/>
      <c r="B1288" s="108"/>
      <c r="C1288" s="106"/>
      <c r="D1288" s="100" t="s">
        <v>747</v>
      </c>
      <c r="E1288" s="17">
        <v>4022</v>
      </c>
      <c r="F1288" s="18">
        <v>573</v>
      </c>
      <c r="G1288" s="27"/>
      <c r="H1288" s="1"/>
      <c r="I1288" s="1"/>
      <c r="J1288" s="1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spans="1:27" ht="16" customHeight="1">
      <c r="A1289" s="12"/>
      <c r="B1289" s="108"/>
      <c r="C1289" s="106"/>
      <c r="D1289" s="100" t="s">
        <v>60</v>
      </c>
      <c r="E1289" s="17">
        <v>4023</v>
      </c>
      <c r="F1289" s="18">
        <v>955</v>
      </c>
      <c r="G1289" s="27"/>
      <c r="H1289" s="1"/>
      <c r="I1289" s="1"/>
      <c r="J1289" s="1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spans="1:27" ht="16" customHeight="1">
      <c r="A1290" s="12"/>
      <c r="B1290" s="108"/>
      <c r="C1290" s="106"/>
      <c r="D1290" s="100" t="s">
        <v>61</v>
      </c>
      <c r="E1290" s="17">
        <v>4024</v>
      </c>
      <c r="F1290" s="18">
        <v>955</v>
      </c>
      <c r="G1290" s="27"/>
      <c r="H1290" s="1"/>
      <c r="I1290" s="1"/>
      <c r="J1290" s="1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spans="1:27" ht="16" customHeight="1">
      <c r="A1291" s="12"/>
      <c r="B1291" s="108"/>
      <c r="C1291" s="106"/>
      <c r="D1291" s="100" t="s">
        <v>29</v>
      </c>
      <c r="E1291" s="17">
        <v>4025</v>
      </c>
      <c r="F1291" s="18">
        <v>764</v>
      </c>
      <c r="G1291" s="27"/>
      <c r="H1291" s="1"/>
      <c r="I1291" s="1"/>
      <c r="J1291" s="1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spans="1:27" ht="16" customHeight="1">
      <c r="A1292" s="12"/>
      <c r="B1292" s="108"/>
      <c r="C1292" s="106"/>
      <c r="D1292" s="100" t="s">
        <v>748</v>
      </c>
      <c r="E1292" s="17">
        <v>4026</v>
      </c>
      <c r="F1292" s="18">
        <v>255</v>
      </c>
      <c r="G1292" s="27"/>
      <c r="H1292" s="1"/>
      <c r="I1292" s="1"/>
      <c r="J1292" s="1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spans="1:27" ht="16" customHeight="1">
      <c r="A1293" s="12"/>
      <c r="B1293" s="108"/>
      <c r="C1293" s="106"/>
      <c r="D1293" s="100" t="s">
        <v>731</v>
      </c>
      <c r="E1293" s="17">
        <v>4027</v>
      </c>
      <c r="F1293" s="18">
        <v>255</v>
      </c>
      <c r="G1293" s="27"/>
      <c r="H1293" s="1"/>
      <c r="I1293" s="1"/>
      <c r="J1293" s="1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spans="1:27" ht="16" customHeight="1">
      <c r="A1294" s="12"/>
      <c r="B1294" s="108"/>
      <c r="C1294" s="106"/>
      <c r="D1294" s="100" t="s">
        <v>200</v>
      </c>
      <c r="E1294" s="17">
        <v>4028</v>
      </c>
      <c r="F1294" s="18">
        <v>1591</v>
      </c>
      <c r="G1294" s="27"/>
      <c r="H1294" s="1"/>
      <c r="I1294" s="1"/>
      <c r="J1294" s="1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spans="1:27" ht="16" customHeight="1">
      <c r="A1295" s="12"/>
      <c r="B1295" s="108"/>
      <c r="C1295" s="106"/>
      <c r="D1295" s="100" t="s">
        <v>566</v>
      </c>
      <c r="E1295" s="17">
        <v>4029</v>
      </c>
      <c r="F1295" s="18">
        <v>509</v>
      </c>
      <c r="G1295" s="27"/>
      <c r="H1295" s="1"/>
      <c r="I1295" s="1"/>
      <c r="J1295" s="1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spans="1:27" ht="16" customHeight="1">
      <c r="A1296" s="12"/>
      <c r="B1296" s="108"/>
      <c r="C1296" s="106"/>
      <c r="D1296" s="100" t="s">
        <v>65</v>
      </c>
      <c r="E1296" s="17">
        <v>4030</v>
      </c>
      <c r="F1296" s="18">
        <v>1145</v>
      </c>
      <c r="G1296" s="27"/>
      <c r="H1296" s="1"/>
      <c r="I1296" s="1"/>
      <c r="J1296" s="1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spans="1:27" ht="16" customHeight="1">
      <c r="A1297" s="12"/>
      <c r="B1297" s="108"/>
      <c r="C1297" s="106"/>
      <c r="D1297" s="100" t="s">
        <v>212</v>
      </c>
      <c r="E1297" s="17">
        <v>4031</v>
      </c>
      <c r="F1297" s="18">
        <v>764</v>
      </c>
      <c r="G1297" s="27"/>
      <c r="H1297" s="1"/>
      <c r="I1297" s="1"/>
      <c r="J1297" s="1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spans="1:27" ht="16" customHeight="1">
      <c r="A1298" s="12"/>
      <c r="B1298" s="108"/>
      <c r="C1298" s="106"/>
      <c r="D1298" s="100" t="s">
        <v>107</v>
      </c>
      <c r="E1298" s="17">
        <v>4032</v>
      </c>
      <c r="F1298" s="18">
        <v>955</v>
      </c>
      <c r="G1298" s="27"/>
      <c r="H1298" s="1"/>
      <c r="I1298" s="1"/>
      <c r="J1298" s="1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spans="1:27" ht="16" customHeight="1">
      <c r="A1299" s="12"/>
      <c r="B1299" s="109" t="s">
        <v>749</v>
      </c>
      <c r="C1299" s="107" t="s">
        <v>68</v>
      </c>
      <c r="D1299" s="100" t="s">
        <v>12</v>
      </c>
      <c r="E1299" s="17">
        <v>734</v>
      </c>
      <c r="F1299" s="18">
        <v>318</v>
      </c>
      <c r="G1299" s="27"/>
      <c r="H1299" s="1"/>
      <c r="I1299" s="1"/>
      <c r="J1299" s="1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spans="1:27" ht="16" customHeight="1">
      <c r="A1300" s="12"/>
      <c r="B1300" s="108"/>
      <c r="C1300" s="107" t="s">
        <v>750</v>
      </c>
      <c r="D1300" s="100" t="s">
        <v>402</v>
      </c>
      <c r="E1300" s="17">
        <v>735</v>
      </c>
      <c r="F1300" s="18">
        <v>318</v>
      </c>
      <c r="G1300" s="27"/>
      <c r="H1300" s="1"/>
      <c r="I1300" s="1"/>
      <c r="J1300" s="1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spans="1:27" ht="16" customHeight="1">
      <c r="A1301" s="12"/>
      <c r="B1301" s="108"/>
      <c r="C1301" s="106"/>
      <c r="D1301" s="100" t="s">
        <v>14</v>
      </c>
      <c r="E1301" s="17">
        <v>736</v>
      </c>
      <c r="F1301" s="18">
        <v>509</v>
      </c>
      <c r="G1301" s="27"/>
      <c r="H1301" s="1"/>
      <c r="I1301" s="1"/>
      <c r="J1301" s="1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spans="1:27" ht="16" customHeight="1">
      <c r="A1302" s="12"/>
      <c r="B1302" s="108"/>
      <c r="C1302" s="106"/>
      <c r="D1302" s="100" t="s">
        <v>22</v>
      </c>
      <c r="E1302" s="17">
        <v>737</v>
      </c>
      <c r="F1302" s="18">
        <v>191</v>
      </c>
      <c r="G1302" s="27"/>
      <c r="H1302" s="1"/>
      <c r="I1302" s="1"/>
      <c r="J1302" s="1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spans="1:27" ht="16" customHeight="1">
      <c r="A1303" s="12"/>
      <c r="B1303" s="108"/>
      <c r="C1303" s="107" t="s">
        <v>102</v>
      </c>
      <c r="D1303" s="100" t="s">
        <v>22</v>
      </c>
      <c r="E1303" s="17">
        <v>1026</v>
      </c>
      <c r="F1303" s="18">
        <v>191</v>
      </c>
      <c r="G1303" s="27"/>
      <c r="H1303" s="1"/>
      <c r="I1303" s="1"/>
      <c r="J1303" s="1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spans="1:27" ht="16" customHeight="1">
      <c r="A1304" s="12"/>
      <c r="B1304" s="109" t="s">
        <v>749</v>
      </c>
      <c r="C1304" s="107" t="s">
        <v>751</v>
      </c>
      <c r="D1304" s="100" t="s">
        <v>18</v>
      </c>
      <c r="E1304" s="17">
        <v>1130</v>
      </c>
      <c r="F1304" s="18">
        <v>720</v>
      </c>
      <c r="G1304" s="27"/>
      <c r="H1304" s="1"/>
      <c r="I1304" s="1"/>
      <c r="J1304" s="1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spans="1:27" ht="16" customHeight="1">
      <c r="A1305" s="12"/>
      <c r="B1305" s="108"/>
      <c r="C1305" s="107" t="s">
        <v>752</v>
      </c>
      <c r="D1305" s="100" t="s">
        <v>20</v>
      </c>
      <c r="E1305" s="17">
        <v>1131</v>
      </c>
      <c r="F1305" s="18">
        <v>720</v>
      </c>
      <c r="G1305" s="27"/>
      <c r="H1305" s="1"/>
      <c r="I1305" s="1"/>
      <c r="J1305" s="1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spans="1:27" ht="16" customHeight="1">
      <c r="A1306" s="12"/>
      <c r="B1306" s="108"/>
      <c r="C1306" s="106"/>
      <c r="D1306" s="100" t="s">
        <v>14</v>
      </c>
      <c r="E1306" s="17">
        <v>1132</v>
      </c>
      <c r="F1306" s="18">
        <v>509</v>
      </c>
      <c r="G1306" s="27"/>
      <c r="H1306" s="1"/>
      <c r="I1306" s="1"/>
      <c r="J1306" s="1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spans="1:27" ht="16" customHeight="1">
      <c r="A1307" s="12"/>
      <c r="B1307" s="109" t="s">
        <v>749</v>
      </c>
      <c r="C1307" s="107" t="s">
        <v>753</v>
      </c>
      <c r="D1307" s="100" t="s">
        <v>18</v>
      </c>
      <c r="E1307" s="17">
        <v>1170</v>
      </c>
      <c r="F1307" s="18">
        <v>720</v>
      </c>
      <c r="G1307" s="27"/>
      <c r="H1307" s="1"/>
      <c r="I1307" s="1"/>
      <c r="J1307" s="1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spans="1:27" ht="16" customHeight="1">
      <c r="A1308" s="12"/>
      <c r="B1308" s="108"/>
      <c r="C1308" s="106"/>
      <c r="D1308" s="100" t="s">
        <v>259</v>
      </c>
      <c r="E1308" s="17">
        <v>1171</v>
      </c>
      <c r="F1308" s="18">
        <v>159</v>
      </c>
      <c r="G1308" s="27"/>
      <c r="H1308" s="1"/>
      <c r="I1308" s="1"/>
      <c r="J1308" s="1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spans="1:27" ht="16" customHeight="1">
      <c r="A1309" s="12"/>
      <c r="B1309" s="109" t="s">
        <v>749</v>
      </c>
      <c r="C1309" s="106"/>
      <c r="D1309" s="100" t="s">
        <v>18</v>
      </c>
      <c r="E1309" s="17">
        <v>1251</v>
      </c>
      <c r="F1309" s="18">
        <v>720</v>
      </c>
      <c r="G1309" s="27"/>
      <c r="H1309" s="1"/>
      <c r="I1309" s="1"/>
      <c r="J1309" s="1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spans="1:27" ht="16" customHeight="1">
      <c r="A1310" s="12"/>
      <c r="B1310" s="108"/>
      <c r="C1310" s="106"/>
      <c r="D1310" s="100" t="s">
        <v>20</v>
      </c>
      <c r="E1310" s="17">
        <v>1252</v>
      </c>
      <c r="F1310" s="18">
        <v>720</v>
      </c>
      <c r="G1310" s="27"/>
      <c r="H1310" s="1"/>
      <c r="I1310" s="1"/>
      <c r="J1310" s="1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spans="1:27" ht="16" customHeight="1">
      <c r="A1311" s="12"/>
      <c r="B1311" s="108"/>
      <c r="C1311" s="107" t="s">
        <v>754</v>
      </c>
      <c r="D1311" s="100" t="s">
        <v>14</v>
      </c>
      <c r="E1311" s="17">
        <v>1253</v>
      </c>
      <c r="F1311" s="18">
        <v>509</v>
      </c>
      <c r="G1311" s="27"/>
      <c r="H1311" s="1"/>
      <c r="I1311" s="1"/>
      <c r="J1311" s="1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spans="1:27" ht="16" customHeight="1">
      <c r="A1312" s="12"/>
      <c r="B1312" s="109" t="s">
        <v>755</v>
      </c>
      <c r="C1312" s="107" t="s">
        <v>756</v>
      </c>
      <c r="D1312" s="100" t="s">
        <v>18</v>
      </c>
      <c r="E1312" s="17">
        <v>285</v>
      </c>
      <c r="F1312" s="18">
        <v>720</v>
      </c>
      <c r="G1312" s="27"/>
      <c r="H1312" s="1"/>
      <c r="I1312" s="1"/>
      <c r="J1312" s="1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spans="1:27" ht="16" customHeight="1">
      <c r="A1313" s="12"/>
      <c r="B1313" s="108"/>
      <c r="C1313" s="107" t="s">
        <v>757</v>
      </c>
      <c r="D1313" s="100" t="s">
        <v>12</v>
      </c>
      <c r="E1313" s="17">
        <v>545</v>
      </c>
      <c r="F1313" s="18">
        <v>414</v>
      </c>
      <c r="G1313" s="27"/>
      <c r="H1313" s="1"/>
      <c r="I1313" s="1"/>
      <c r="J1313" s="1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spans="1:27" ht="16" customHeight="1">
      <c r="A1314" s="12"/>
      <c r="B1314" s="108"/>
      <c r="C1314" s="107" t="s">
        <v>758</v>
      </c>
      <c r="D1314" s="100" t="s">
        <v>18</v>
      </c>
      <c r="E1314" s="17">
        <v>499</v>
      </c>
      <c r="F1314" s="18">
        <v>720</v>
      </c>
      <c r="G1314" s="27"/>
      <c r="H1314" s="1"/>
      <c r="I1314" s="1"/>
      <c r="J1314" s="1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spans="1:27" ht="16" customHeight="1">
      <c r="A1315" s="12"/>
      <c r="B1315" s="108"/>
      <c r="C1315" s="107" t="s">
        <v>759</v>
      </c>
      <c r="D1315" s="100" t="s">
        <v>12</v>
      </c>
      <c r="E1315" s="17">
        <v>500</v>
      </c>
      <c r="F1315" s="18">
        <v>382</v>
      </c>
      <c r="G1315" s="27"/>
      <c r="H1315" s="1"/>
      <c r="I1315" s="1"/>
      <c r="J1315" s="1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spans="1:27" ht="16" customHeight="1">
      <c r="A1316" s="12"/>
      <c r="B1316" s="108"/>
      <c r="C1316" s="107" t="s">
        <v>222</v>
      </c>
      <c r="D1316" s="100" t="s">
        <v>402</v>
      </c>
      <c r="E1316" s="17">
        <v>501</v>
      </c>
      <c r="F1316" s="18">
        <v>382</v>
      </c>
      <c r="G1316" s="27"/>
      <c r="H1316" s="1"/>
      <c r="I1316" s="1"/>
      <c r="J1316" s="1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spans="1:27" ht="16" customHeight="1">
      <c r="A1317" s="12"/>
      <c r="B1317" s="108"/>
      <c r="C1317" s="106"/>
      <c r="D1317" s="100" t="s">
        <v>14</v>
      </c>
      <c r="E1317" s="17">
        <v>502</v>
      </c>
      <c r="F1317" s="18">
        <v>509</v>
      </c>
      <c r="G1317" s="27"/>
      <c r="H1317" s="1"/>
      <c r="I1317" s="1"/>
      <c r="J1317" s="1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spans="1:27" ht="16" customHeight="1">
      <c r="A1318" s="12"/>
      <c r="B1318" s="108"/>
      <c r="C1318" s="106"/>
      <c r="D1318" s="100" t="s">
        <v>22</v>
      </c>
      <c r="E1318" s="17">
        <v>503</v>
      </c>
      <c r="F1318" s="18">
        <v>445</v>
      </c>
      <c r="G1318" s="27"/>
      <c r="H1318" s="1"/>
      <c r="I1318" s="1"/>
      <c r="J1318" s="1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spans="1:27" ht="16" customHeight="1">
      <c r="A1319" s="12"/>
      <c r="B1319" s="108"/>
      <c r="C1319" s="106"/>
      <c r="D1319" s="100" t="s">
        <v>60</v>
      </c>
      <c r="E1319" s="17">
        <v>504</v>
      </c>
      <c r="F1319" s="18">
        <v>318</v>
      </c>
      <c r="G1319" s="27"/>
      <c r="H1319" s="1"/>
      <c r="I1319" s="1"/>
      <c r="J1319" s="1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spans="1:27" ht="16" customHeight="1">
      <c r="A1320" s="12"/>
      <c r="B1320" s="108"/>
      <c r="C1320" s="106"/>
      <c r="D1320" s="100" t="s">
        <v>61</v>
      </c>
      <c r="E1320" s="17">
        <v>505</v>
      </c>
      <c r="F1320" s="18">
        <v>318</v>
      </c>
      <c r="G1320" s="27"/>
      <c r="H1320" s="1"/>
      <c r="I1320" s="1"/>
      <c r="J1320" s="1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spans="1:27" ht="16" customHeight="1">
      <c r="A1321" s="12"/>
      <c r="B1321" s="108"/>
      <c r="C1321" s="107" t="s">
        <v>760</v>
      </c>
      <c r="D1321" s="100" t="s">
        <v>12</v>
      </c>
      <c r="E1321" s="17">
        <v>506</v>
      </c>
      <c r="F1321" s="18">
        <v>382</v>
      </c>
      <c r="G1321" s="27"/>
      <c r="H1321" s="1"/>
      <c r="I1321" s="1"/>
      <c r="J1321" s="1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spans="1:27" ht="16" customHeight="1">
      <c r="A1322" s="12"/>
      <c r="B1322" s="108"/>
      <c r="C1322" s="107" t="s">
        <v>222</v>
      </c>
      <c r="D1322" s="100" t="s">
        <v>402</v>
      </c>
      <c r="E1322" s="17">
        <v>507</v>
      </c>
      <c r="F1322" s="18">
        <v>382</v>
      </c>
      <c r="G1322" s="27"/>
      <c r="H1322" s="1"/>
      <c r="I1322" s="1"/>
      <c r="J1322" s="1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spans="1:27" ht="16" customHeight="1">
      <c r="A1323" s="12"/>
      <c r="B1323" s="108"/>
      <c r="C1323" s="106"/>
      <c r="D1323" s="100" t="s">
        <v>14</v>
      </c>
      <c r="E1323" s="17">
        <v>508</v>
      </c>
      <c r="F1323" s="18">
        <v>509</v>
      </c>
      <c r="G1323" s="27"/>
      <c r="H1323" s="1"/>
      <c r="I1323" s="1"/>
      <c r="J1323" s="1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spans="1:27" ht="16" customHeight="1">
      <c r="A1324" s="12"/>
      <c r="B1324" s="108"/>
      <c r="C1324" s="106"/>
      <c r="D1324" s="100" t="s">
        <v>22</v>
      </c>
      <c r="E1324" s="17">
        <v>509</v>
      </c>
      <c r="F1324" s="18">
        <v>573</v>
      </c>
      <c r="G1324" s="27"/>
      <c r="H1324" s="1"/>
      <c r="I1324" s="1"/>
      <c r="J1324" s="1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spans="1:27" ht="16" customHeight="1">
      <c r="A1325" s="12"/>
      <c r="B1325" s="108"/>
      <c r="C1325" s="107" t="s">
        <v>761</v>
      </c>
      <c r="D1325" s="100" t="s">
        <v>18</v>
      </c>
      <c r="E1325" s="17">
        <v>807</v>
      </c>
      <c r="F1325" s="18">
        <v>720</v>
      </c>
      <c r="G1325" s="27"/>
      <c r="H1325" s="1"/>
      <c r="I1325" s="1"/>
      <c r="J1325" s="1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spans="1:27" ht="16" customHeight="1">
      <c r="A1326" s="12"/>
      <c r="B1326" s="108"/>
      <c r="C1326" s="106"/>
      <c r="D1326" s="100" t="s">
        <v>20</v>
      </c>
      <c r="E1326" s="17">
        <v>808</v>
      </c>
      <c r="F1326" s="18">
        <v>720</v>
      </c>
      <c r="G1326" s="27"/>
      <c r="H1326" s="1"/>
      <c r="I1326" s="1"/>
      <c r="J1326" s="1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spans="1:27" ht="16" customHeight="1">
      <c r="A1327" s="12"/>
      <c r="B1327" s="108"/>
      <c r="C1327" s="106"/>
      <c r="D1327" s="100" t="s">
        <v>14</v>
      </c>
      <c r="E1327" s="17">
        <v>508</v>
      </c>
      <c r="F1327" s="18">
        <v>382</v>
      </c>
      <c r="G1327" s="27"/>
      <c r="H1327" s="1"/>
      <c r="I1327" s="1"/>
      <c r="J1327" s="1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spans="1:27" ht="16" customHeight="1">
      <c r="A1328" s="12"/>
      <c r="B1328" s="108"/>
      <c r="C1328" s="106"/>
      <c r="D1328" s="100" t="s">
        <v>60</v>
      </c>
      <c r="E1328" s="17">
        <v>809</v>
      </c>
      <c r="F1328" s="18">
        <v>223</v>
      </c>
      <c r="G1328" s="27"/>
      <c r="H1328" s="1"/>
      <c r="I1328" s="1"/>
      <c r="J1328" s="1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spans="1:27" ht="16" customHeight="1">
      <c r="A1329" s="12"/>
      <c r="B1329" s="108"/>
      <c r="C1329" s="106"/>
      <c r="D1329" s="100" t="s">
        <v>340</v>
      </c>
      <c r="E1329" s="17">
        <v>810</v>
      </c>
      <c r="F1329" s="18">
        <v>223</v>
      </c>
      <c r="G1329" s="27"/>
      <c r="H1329" s="1"/>
      <c r="I1329" s="1"/>
      <c r="J1329" s="1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spans="1:27" ht="16" customHeight="1">
      <c r="A1330" s="12"/>
      <c r="B1330" s="108"/>
      <c r="C1330" s="107" t="s">
        <v>762</v>
      </c>
      <c r="D1330" s="100" t="s">
        <v>26</v>
      </c>
      <c r="E1330" s="17">
        <v>695</v>
      </c>
      <c r="F1330" s="18">
        <v>382</v>
      </c>
      <c r="G1330" s="27"/>
      <c r="H1330" s="1"/>
      <c r="I1330" s="1"/>
      <c r="J1330" s="1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spans="1:27" ht="16" customHeight="1">
      <c r="A1331" s="12"/>
      <c r="B1331" s="108"/>
      <c r="C1331" s="106"/>
      <c r="D1331" s="100" t="s">
        <v>29</v>
      </c>
      <c r="E1331" s="17">
        <v>696</v>
      </c>
      <c r="F1331" s="18">
        <v>382</v>
      </c>
      <c r="G1331" s="27"/>
      <c r="H1331" s="1"/>
      <c r="I1331" s="1"/>
      <c r="J1331" s="1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spans="1:27" ht="16" customHeight="1">
      <c r="A1332" s="12"/>
      <c r="B1332" s="108"/>
      <c r="C1332" s="106"/>
      <c r="D1332" s="100" t="s">
        <v>14</v>
      </c>
      <c r="E1332" s="17">
        <v>620</v>
      </c>
      <c r="F1332" s="18">
        <v>509</v>
      </c>
      <c r="G1332" s="27"/>
      <c r="H1332" s="1"/>
      <c r="I1332" s="1"/>
      <c r="J1332" s="1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spans="1:27" ht="16" customHeight="1">
      <c r="A1333" s="12"/>
      <c r="B1333" s="108"/>
      <c r="C1333" s="107" t="s">
        <v>83</v>
      </c>
      <c r="D1333" s="100" t="s">
        <v>26</v>
      </c>
      <c r="E1333" s="17">
        <v>890</v>
      </c>
      <c r="F1333" s="18">
        <v>382</v>
      </c>
      <c r="G1333" s="27"/>
      <c r="H1333" s="1"/>
      <c r="I1333" s="1"/>
      <c r="J1333" s="1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spans="1:27" ht="16" customHeight="1">
      <c r="A1334" s="12"/>
      <c r="B1334" s="108"/>
      <c r="C1334" s="106"/>
      <c r="D1334" s="100" t="s">
        <v>402</v>
      </c>
      <c r="E1334" s="17">
        <v>891</v>
      </c>
      <c r="F1334" s="18">
        <v>382</v>
      </c>
      <c r="G1334" s="27"/>
      <c r="H1334" s="1"/>
      <c r="I1334" s="1"/>
      <c r="J1334" s="1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spans="1:27" ht="16" customHeight="1">
      <c r="A1335" s="12"/>
      <c r="B1335" s="108"/>
      <c r="C1335" s="106"/>
      <c r="D1335" s="100" t="s">
        <v>14</v>
      </c>
      <c r="E1335" s="17">
        <v>892</v>
      </c>
      <c r="F1335" s="18">
        <v>509</v>
      </c>
      <c r="G1335" s="27"/>
      <c r="H1335" s="1"/>
      <c r="I1335" s="1"/>
      <c r="J1335" s="1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spans="1:27" ht="16" customHeight="1">
      <c r="A1336" s="12"/>
      <c r="B1336" s="109" t="s">
        <v>763</v>
      </c>
      <c r="C1336" s="107" t="s">
        <v>760</v>
      </c>
      <c r="D1336" s="100" t="s">
        <v>12</v>
      </c>
      <c r="E1336" s="17">
        <v>697</v>
      </c>
      <c r="F1336" s="18">
        <v>382</v>
      </c>
      <c r="G1336" s="27"/>
      <c r="H1336" s="1"/>
      <c r="I1336" s="1"/>
      <c r="J1336" s="1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spans="1:27" ht="16" customHeight="1">
      <c r="A1337" s="12"/>
      <c r="B1337" s="108"/>
      <c r="C1337" s="107" t="s">
        <v>126</v>
      </c>
      <c r="D1337" s="100" t="s">
        <v>29</v>
      </c>
      <c r="E1337" s="17">
        <v>698</v>
      </c>
      <c r="F1337" s="18">
        <v>382</v>
      </c>
      <c r="G1337" s="27"/>
      <c r="H1337" s="1"/>
      <c r="I1337" s="1"/>
      <c r="J1337" s="1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spans="1:27" ht="16" customHeight="1">
      <c r="A1338" s="12"/>
      <c r="B1338" s="108"/>
      <c r="C1338" s="106"/>
      <c r="D1338" s="100" t="s">
        <v>14</v>
      </c>
      <c r="E1338" s="17">
        <v>699</v>
      </c>
      <c r="F1338" s="18">
        <v>509</v>
      </c>
      <c r="G1338" s="27"/>
      <c r="H1338" s="1"/>
      <c r="I1338" s="1"/>
      <c r="J1338" s="1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spans="1:27" ht="16" customHeight="1">
      <c r="A1339" s="12"/>
      <c r="B1339" s="109" t="s">
        <v>763</v>
      </c>
      <c r="C1339" s="107" t="s">
        <v>762</v>
      </c>
      <c r="D1339" s="100" t="s">
        <v>26</v>
      </c>
      <c r="E1339" s="17">
        <v>700</v>
      </c>
      <c r="F1339" s="18">
        <v>382</v>
      </c>
      <c r="G1339" s="27"/>
      <c r="H1339" s="1"/>
      <c r="I1339" s="1"/>
      <c r="J1339" s="1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spans="1:27" ht="16" customHeight="1">
      <c r="A1340" s="12"/>
      <c r="B1340" s="108"/>
      <c r="C1340" s="107" t="s">
        <v>126</v>
      </c>
      <c r="D1340" s="100" t="s">
        <v>29</v>
      </c>
      <c r="E1340" s="17">
        <v>701</v>
      </c>
      <c r="F1340" s="18">
        <v>382</v>
      </c>
      <c r="G1340" s="27"/>
      <c r="H1340" s="1"/>
      <c r="I1340" s="1"/>
      <c r="J1340" s="1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spans="1:27" ht="16" customHeight="1">
      <c r="A1341" s="12"/>
      <c r="B1341" s="108"/>
      <c r="C1341" s="106"/>
      <c r="D1341" s="100" t="s">
        <v>14</v>
      </c>
      <c r="E1341" s="17">
        <v>702</v>
      </c>
      <c r="F1341" s="18">
        <v>509</v>
      </c>
      <c r="G1341" s="27"/>
      <c r="H1341" s="1"/>
      <c r="I1341" s="1"/>
      <c r="J1341" s="1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spans="1:27" ht="16" customHeight="1">
      <c r="A1342" s="12"/>
      <c r="B1342" s="108"/>
      <c r="C1342" s="107" t="s">
        <v>764</v>
      </c>
      <c r="D1342" s="100"/>
      <c r="E1342" s="17">
        <v>726</v>
      </c>
      <c r="F1342" s="18">
        <v>159</v>
      </c>
      <c r="G1342" s="27"/>
      <c r="H1342" s="1"/>
      <c r="I1342" s="1"/>
      <c r="J1342" s="1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spans="1:27" ht="16" customHeight="1">
      <c r="A1343" s="12"/>
      <c r="B1343" s="109" t="s">
        <v>765</v>
      </c>
      <c r="C1343" s="107" t="s">
        <v>766</v>
      </c>
      <c r="D1343" s="100" t="s">
        <v>18</v>
      </c>
      <c r="E1343" s="17">
        <v>510</v>
      </c>
      <c r="F1343" s="18">
        <v>720</v>
      </c>
      <c r="G1343" s="27"/>
      <c r="H1343" s="1"/>
      <c r="I1343" s="1"/>
      <c r="J1343" s="1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spans="1:27" ht="16" customHeight="1">
      <c r="A1344" s="12"/>
      <c r="B1344" s="108"/>
      <c r="C1344" s="106"/>
      <c r="D1344" s="100" t="s">
        <v>20</v>
      </c>
      <c r="E1344" s="17">
        <v>511</v>
      </c>
      <c r="F1344" s="18">
        <v>720</v>
      </c>
      <c r="G1344" s="27"/>
      <c r="H1344" s="1"/>
      <c r="I1344" s="1"/>
      <c r="J1344" s="1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spans="1:27" ht="16" customHeight="1">
      <c r="A1345" s="12"/>
      <c r="B1345" s="108"/>
      <c r="C1345" s="106"/>
      <c r="D1345" s="100" t="s">
        <v>14</v>
      </c>
      <c r="E1345" s="17">
        <v>512</v>
      </c>
      <c r="F1345" s="18">
        <v>382</v>
      </c>
      <c r="G1345" s="27"/>
      <c r="H1345" s="1"/>
      <c r="I1345" s="1"/>
      <c r="J1345" s="1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 ht="16" customHeight="1">
      <c r="A1346" s="12"/>
      <c r="B1346" s="108"/>
      <c r="C1346" s="106"/>
      <c r="D1346" s="100" t="s">
        <v>22</v>
      </c>
      <c r="E1346" s="17">
        <v>513</v>
      </c>
      <c r="F1346" s="18">
        <v>318</v>
      </c>
      <c r="G1346" s="27"/>
      <c r="H1346" s="1"/>
      <c r="I1346" s="1"/>
      <c r="J1346" s="1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spans="1:27" ht="16" customHeight="1">
      <c r="A1347" s="12"/>
      <c r="B1347" s="108"/>
      <c r="C1347" s="107" t="s">
        <v>767</v>
      </c>
      <c r="D1347" s="100" t="s">
        <v>12</v>
      </c>
      <c r="E1347" s="17">
        <v>514</v>
      </c>
      <c r="F1347" s="18">
        <v>382</v>
      </c>
      <c r="G1347" s="27"/>
      <c r="H1347" s="1"/>
      <c r="I1347" s="1"/>
      <c r="J1347" s="1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 ht="16" customHeight="1">
      <c r="A1348" s="12"/>
      <c r="B1348" s="108"/>
      <c r="C1348" s="106"/>
      <c r="D1348" s="100" t="s">
        <v>82</v>
      </c>
      <c r="E1348" s="17">
        <v>515</v>
      </c>
      <c r="F1348" s="18">
        <v>382</v>
      </c>
      <c r="G1348" s="27"/>
      <c r="H1348" s="1"/>
      <c r="I1348" s="1"/>
      <c r="J1348" s="1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spans="1:27" ht="16" customHeight="1">
      <c r="A1349" s="12"/>
      <c r="B1349" s="108"/>
      <c r="C1349" s="106"/>
      <c r="D1349" s="100" t="s">
        <v>14</v>
      </c>
      <c r="E1349" s="17">
        <v>516</v>
      </c>
      <c r="F1349" s="18">
        <v>445</v>
      </c>
      <c r="G1349" s="27"/>
      <c r="H1349" s="1"/>
      <c r="I1349" s="1"/>
      <c r="J1349" s="1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spans="1:27" ht="16" customHeight="1">
      <c r="A1350" s="12"/>
      <c r="B1350" s="108"/>
      <c r="C1350" s="106"/>
      <c r="D1350" s="100" t="s">
        <v>22</v>
      </c>
      <c r="E1350" s="17">
        <v>517</v>
      </c>
      <c r="F1350" s="18">
        <v>382</v>
      </c>
      <c r="G1350" s="27"/>
      <c r="H1350" s="1"/>
      <c r="I1350" s="1"/>
      <c r="J1350" s="1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spans="1:27" ht="16" customHeight="1">
      <c r="A1351" s="12"/>
      <c r="B1351" s="108"/>
      <c r="C1351" s="107" t="s">
        <v>768</v>
      </c>
      <c r="D1351" s="100" t="s">
        <v>18</v>
      </c>
      <c r="E1351" s="17">
        <v>518</v>
      </c>
      <c r="F1351" s="18">
        <v>720</v>
      </c>
      <c r="G1351" s="27"/>
      <c r="H1351" s="1"/>
      <c r="I1351" s="1"/>
      <c r="J1351" s="1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spans="1:27" ht="16" customHeight="1">
      <c r="A1352" s="12"/>
      <c r="B1352" s="108"/>
      <c r="C1352" s="107" t="s">
        <v>766</v>
      </c>
      <c r="D1352" s="100" t="s">
        <v>20</v>
      </c>
      <c r="E1352" s="17">
        <v>511</v>
      </c>
      <c r="F1352" s="18">
        <v>720</v>
      </c>
      <c r="G1352" s="27"/>
      <c r="H1352" s="1"/>
      <c r="I1352" s="1"/>
      <c r="J1352" s="1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spans="1:27" ht="16" customHeight="1">
      <c r="A1353" s="12"/>
      <c r="B1353" s="108"/>
      <c r="C1353" s="106"/>
      <c r="D1353" s="100" t="s">
        <v>82</v>
      </c>
      <c r="E1353" s="17">
        <v>519</v>
      </c>
      <c r="F1353" s="18">
        <v>382</v>
      </c>
      <c r="G1353" s="27"/>
      <c r="H1353" s="1"/>
      <c r="I1353" s="1"/>
      <c r="J1353" s="1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spans="1:27" ht="16" customHeight="1">
      <c r="A1354" s="12"/>
      <c r="B1354" s="108"/>
      <c r="C1354" s="106"/>
      <c r="D1354" s="100" t="s">
        <v>14</v>
      </c>
      <c r="E1354" s="17">
        <v>516</v>
      </c>
      <c r="F1354" s="18">
        <v>445</v>
      </c>
      <c r="G1354" s="27"/>
      <c r="H1354" s="1"/>
      <c r="I1354" s="1"/>
      <c r="J1354" s="1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spans="1:27" ht="16" customHeight="1">
      <c r="A1355" s="12"/>
      <c r="B1355" s="108"/>
      <c r="C1355" s="106"/>
      <c r="D1355" s="100" t="s">
        <v>22</v>
      </c>
      <c r="E1355" s="17">
        <v>517</v>
      </c>
      <c r="F1355" s="18">
        <v>382</v>
      </c>
      <c r="G1355" s="27"/>
      <c r="H1355" s="1"/>
      <c r="I1355" s="1"/>
      <c r="J1355" s="1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spans="1:27" ht="16" customHeight="1">
      <c r="A1356" s="12"/>
      <c r="B1356" s="108"/>
      <c r="C1356" s="107" t="s">
        <v>297</v>
      </c>
      <c r="D1356" s="100" t="s">
        <v>18</v>
      </c>
      <c r="E1356" s="17">
        <v>520</v>
      </c>
      <c r="F1356" s="18">
        <v>720</v>
      </c>
      <c r="G1356" s="27"/>
      <c r="H1356" s="1"/>
      <c r="I1356" s="1"/>
      <c r="J1356" s="1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:27" ht="16" customHeight="1">
      <c r="A1357" s="12"/>
      <c r="B1357" s="108"/>
      <c r="C1357" s="106"/>
      <c r="D1357" s="100" t="s">
        <v>20</v>
      </c>
      <c r="E1357" s="17">
        <v>521</v>
      </c>
      <c r="F1357" s="18">
        <v>720</v>
      </c>
      <c r="G1357" s="27"/>
      <c r="H1357" s="1"/>
      <c r="I1357" s="1"/>
      <c r="J1357" s="1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:27" ht="16" customHeight="1">
      <c r="A1358" s="12"/>
      <c r="B1358" s="108"/>
      <c r="C1358" s="106"/>
      <c r="D1358" s="100" t="s">
        <v>14</v>
      </c>
      <c r="E1358" s="17">
        <v>522</v>
      </c>
      <c r="F1358" s="18">
        <v>445</v>
      </c>
      <c r="G1358" s="27"/>
      <c r="H1358" s="1"/>
      <c r="I1358" s="1"/>
      <c r="J1358" s="1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spans="1:27" ht="16" customHeight="1">
      <c r="A1359" s="12"/>
      <c r="B1359" s="108"/>
      <c r="C1359" s="107" t="s">
        <v>760</v>
      </c>
      <c r="D1359" s="100" t="s">
        <v>22</v>
      </c>
      <c r="E1359" s="17">
        <v>694</v>
      </c>
      <c r="F1359" s="18">
        <v>286</v>
      </c>
      <c r="G1359" s="27"/>
      <c r="H1359" s="1"/>
      <c r="I1359" s="1"/>
      <c r="J1359" s="1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spans="1:27" ht="26" customHeight="1">
      <c r="A1360" s="12"/>
      <c r="B1360" s="116" t="s">
        <v>769</v>
      </c>
      <c r="C1360" s="106"/>
      <c r="D1360" s="100" t="s">
        <v>770</v>
      </c>
      <c r="E1360" s="17">
        <v>585</v>
      </c>
      <c r="F1360" s="18">
        <v>414</v>
      </c>
      <c r="G1360" s="27"/>
      <c r="H1360" s="1"/>
      <c r="I1360" s="1"/>
      <c r="J1360" s="1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spans="1:27" ht="16" customHeight="1">
      <c r="A1361" s="12"/>
      <c r="B1361" s="108"/>
      <c r="C1361" s="106"/>
      <c r="D1361" s="100" t="s">
        <v>29</v>
      </c>
      <c r="E1361" s="17">
        <v>586</v>
      </c>
      <c r="F1361" s="18">
        <v>414</v>
      </c>
      <c r="G1361" s="27"/>
      <c r="H1361" s="1"/>
      <c r="I1361" s="1"/>
      <c r="J1361" s="1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spans="1:27" ht="16" customHeight="1">
      <c r="A1362" s="12"/>
      <c r="B1362" s="108"/>
      <c r="C1362" s="106"/>
      <c r="D1362" s="100" t="s">
        <v>14</v>
      </c>
      <c r="E1362" s="17">
        <v>587</v>
      </c>
      <c r="F1362" s="18">
        <v>509</v>
      </c>
      <c r="G1362" s="27"/>
      <c r="H1362" s="1"/>
      <c r="I1362" s="1"/>
      <c r="J1362" s="1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spans="1:27" ht="16" customHeight="1">
      <c r="A1363" s="12"/>
      <c r="B1363" s="109" t="s">
        <v>771</v>
      </c>
      <c r="C1363" s="107" t="s">
        <v>772</v>
      </c>
      <c r="D1363" s="100" t="s">
        <v>26</v>
      </c>
      <c r="E1363" s="17">
        <v>621</v>
      </c>
      <c r="F1363" s="18">
        <v>477</v>
      </c>
      <c r="G1363" s="27"/>
      <c r="H1363" s="1"/>
      <c r="I1363" s="1"/>
      <c r="J1363" s="1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spans="1:27" ht="16" customHeight="1">
      <c r="A1364" s="12"/>
      <c r="B1364" s="108"/>
      <c r="C1364" s="106"/>
      <c r="D1364" s="100" t="s">
        <v>14</v>
      </c>
      <c r="E1364" s="17">
        <v>622</v>
      </c>
      <c r="F1364" s="18">
        <v>573</v>
      </c>
      <c r="G1364" s="27"/>
      <c r="H1364" s="1"/>
      <c r="I1364" s="1"/>
      <c r="J1364" s="1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spans="1:27" ht="16" customHeight="1">
      <c r="A1365" s="12"/>
      <c r="B1365" s="109" t="s">
        <v>773</v>
      </c>
      <c r="C1365" s="107" t="s">
        <v>68</v>
      </c>
      <c r="D1365" s="100" t="s">
        <v>26</v>
      </c>
      <c r="E1365" s="17">
        <v>589</v>
      </c>
      <c r="F1365" s="18">
        <v>318</v>
      </c>
      <c r="G1365" s="27"/>
      <c r="H1365" s="1"/>
      <c r="I1365" s="1"/>
      <c r="J1365" s="1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spans="1:27" ht="16" customHeight="1">
      <c r="A1366" s="12"/>
      <c r="B1366" s="109" t="s">
        <v>774</v>
      </c>
      <c r="C1366" s="107" t="s">
        <v>126</v>
      </c>
      <c r="D1366" s="100" t="s">
        <v>29</v>
      </c>
      <c r="E1366" s="17">
        <v>590</v>
      </c>
      <c r="F1366" s="18">
        <v>318</v>
      </c>
      <c r="G1366" s="27"/>
      <c r="H1366" s="1"/>
      <c r="I1366" s="1"/>
      <c r="J1366" s="1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spans="1:27" ht="16" customHeight="1">
      <c r="A1367" s="12"/>
      <c r="B1367" s="108"/>
      <c r="C1367" s="106"/>
      <c r="D1367" s="100" t="s">
        <v>14</v>
      </c>
      <c r="E1367" s="17">
        <v>591</v>
      </c>
      <c r="F1367" s="18">
        <v>445</v>
      </c>
      <c r="G1367" s="27"/>
      <c r="H1367" s="1"/>
      <c r="I1367" s="1"/>
      <c r="J1367" s="1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spans="1:27" ht="16" customHeight="1">
      <c r="A1368" s="12"/>
      <c r="B1368" s="109" t="s">
        <v>775</v>
      </c>
      <c r="C1368" s="107" t="s">
        <v>776</v>
      </c>
      <c r="D1368" s="100" t="s">
        <v>26</v>
      </c>
      <c r="E1368" s="17">
        <v>1278</v>
      </c>
      <c r="F1368" s="18">
        <v>382</v>
      </c>
      <c r="G1368" s="27"/>
      <c r="H1368" s="1"/>
      <c r="I1368" s="1"/>
      <c r="J1368" s="1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spans="1:27" ht="16" customHeight="1">
      <c r="A1369" s="12"/>
      <c r="B1369" s="108"/>
      <c r="C1369" s="106"/>
      <c r="D1369" s="100" t="s">
        <v>29</v>
      </c>
      <c r="E1369" s="17">
        <v>1279</v>
      </c>
      <c r="F1369" s="18">
        <v>382</v>
      </c>
      <c r="G1369" s="27"/>
      <c r="H1369" s="1"/>
      <c r="I1369" s="1"/>
      <c r="J1369" s="1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spans="1:27" ht="16" customHeight="1">
      <c r="A1370" s="12"/>
      <c r="B1370" s="108"/>
      <c r="C1370" s="106"/>
      <c r="D1370" s="100" t="s">
        <v>14</v>
      </c>
      <c r="E1370" s="17">
        <v>1280</v>
      </c>
      <c r="F1370" s="18">
        <v>509</v>
      </c>
      <c r="G1370" s="27"/>
      <c r="H1370" s="1"/>
      <c r="I1370" s="1"/>
      <c r="J1370" s="1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spans="1:27" ht="16" customHeight="1">
      <c r="A1371" s="12"/>
      <c r="B1371" s="109" t="s">
        <v>777</v>
      </c>
      <c r="C1371" s="107" t="s">
        <v>778</v>
      </c>
      <c r="D1371" s="100" t="s">
        <v>26</v>
      </c>
      <c r="E1371" s="17">
        <v>976</v>
      </c>
      <c r="F1371" s="18">
        <v>414</v>
      </c>
      <c r="G1371" s="27"/>
      <c r="H1371" s="1"/>
      <c r="I1371" s="1"/>
      <c r="J1371" s="1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spans="1:27" ht="16" customHeight="1">
      <c r="A1372" s="12"/>
      <c r="B1372" s="108"/>
      <c r="C1372" s="107" t="s">
        <v>229</v>
      </c>
      <c r="D1372" s="100" t="s">
        <v>26</v>
      </c>
      <c r="E1372" s="17">
        <v>1315</v>
      </c>
      <c r="F1372" s="18">
        <v>414</v>
      </c>
      <c r="G1372" s="27"/>
      <c r="H1372" s="1"/>
      <c r="I1372" s="1"/>
      <c r="J1372" s="1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spans="1:27" ht="16" customHeight="1">
      <c r="A1373" s="12"/>
      <c r="B1373" s="108"/>
      <c r="C1373" s="106"/>
      <c r="D1373" s="100" t="s">
        <v>14</v>
      </c>
      <c r="E1373" s="17">
        <v>1028</v>
      </c>
      <c r="F1373" s="18">
        <v>509</v>
      </c>
      <c r="G1373" s="27"/>
      <c r="H1373" s="1"/>
      <c r="I1373" s="1"/>
      <c r="J1373" s="1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spans="1:27" ht="16" customHeight="1">
      <c r="A1374" s="12"/>
      <c r="B1374" s="109" t="s">
        <v>779</v>
      </c>
      <c r="C1374" s="107" t="s">
        <v>702</v>
      </c>
      <c r="D1374" s="100" t="s">
        <v>12</v>
      </c>
      <c r="E1374" s="17">
        <v>1441</v>
      </c>
      <c r="F1374" s="18">
        <v>573</v>
      </c>
      <c r="G1374" s="27"/>
      <c r="H1374" s="1"/>
      <c r="I1374" s="1"/>
      <c r="J1374" s="1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spans="1:27" ht="16" customHeight="1">
      <c r="A1375" s="12"/>
      <c r="B1375" s="108"/>
      <c r="C1375" s="106"/>
      <c r="D1375" s="100" t="s">
        <v>780</v>
      </c>
      <c r="E1375" s="17" t="s">
        <v>781</v>
      </c>
      <c r="F1375" s="18">
        <v>0</v>
      </c>
      <c r="G1375" s="27"/>
      <c r="H1375" s="1"/>
      <c r="I1375" s="1"/>
      <c r="J1375" s="1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spans="1:27" ht="16" customHeight="1">
      <c r="A1376" s="12"/>
      <c r="B1376" s="108"/>
      <c r="C1376" s="107" t="s">
        <v>782</v>
      </c>
      <c r="D1376" s="100" t="s">
        <v>82</v>
      </c>
      <c r="E1376" s="17">
        <v>1370</v>
      </c>
      <c r="F1376" s="18">
        <v>445</v>
      </c>
      <c r="G1376" s="27"/>
      <c r="H1376" s="1"/>
      <c r="I1376" s="1"/>
      <c r="J1376" s="1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spans="1:27" ht="16" customHeight="1">
      <c r="A1377" s="12"/>
      <c r="B1377" s="108"/>
      <c r="C1377" s="106"/>
      <c r="D1377" s="100" t="s">
        <v>14</v>
      </c>
      <c r="E1377" s="17">
        <v>1442</v>
      </c>
      <c r="F1377" s="18">
        <v>573</v>
      </c>
      <c r="G1377" s="27"/>
      <c r="H1377" s="1"/>
      <c r="I1377" s="1"/>
      <c r="J1377" s="1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spans="1:27" ht="16" customHeight="1">
      <c r="A1378" s="12"/>
      <c r="B1378" s="109" t="s">
        <v>783</v>
      </c>
      <c r="C1378" s="107" t="s">
        <v>337</v>
      </c>
      <c r="D1378" s="100" t="s">
        <v>18</v>
      </c>
      <c r="E1378" s="17">
        <v>947</v>
      </c>
      <c r="F1378" s="18">
        <v>720</v>
      </c>
      <c r="G1378" s="27"/>
      <c r="H1378" s="1"/>
      <c r="I1378" s="1"/>
      <c r="J1378" s="1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spans="1:27" ht="16" customHeight="1">
      <c r="A1379" s="12"/>
      <c r="B1379" s="108"/>
      <c r="C1379" s="107" t="s">
        <v>89</v>
      </c>
      <c r="D1379" s="100" t="s">
        <v>20</v>
      </c>
      <c r="E1379" s="17">
        <v>948</v>
      </c>
      <c r="F1379" s="18">
        <v>720</v>
      </c>
      <c r="G1379" s="27"/>
      <c r="H1379" s="1"/>
      <c r="I1379" s="1"/>
      <c r="J1379" s="1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:27" ht="16" customHeight="1">
      <c r="A1380" s="12"/>
      <c r="B1380" s="108"/>
      <c r="C1380" s="106"/>
      <c r="D1380" s="100" t="s">
        <v>14</v>
      </c>
      <c r="E1380" s="17">
        <v>949</v>
      </c>
      <c r="F1380" s="18">
        <v>509</v>
      </c>
      <c r="G1380" s="27"/>
      <c r="H1380" s="1"/>
      <c r="I1380" s="1"/>
      <c r="J1380" s="1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spans="1:27" ht="16" customHeight="1">
      <c r="A1381" s="12"/>
      <c r="B1381" s="108"/>
      <c r="C1381" s="106"/>
      <c r="D1381" s="100" t="s">
        <v>94</v>
      </c>
      <c r="E1381" s="17">
        <v>951</v>
      </c>
      <c r="F1381" s="18">
        <v>255</v>
      </c>
      <c r="G1381" s="27"/>
      <c r="H1381" s="1"/>
      <c r="I1381" s="1"/>
      <c r="J1381" s="1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spans="1:27" ht="21.75" customHeight="1">
      <c r="A1382" s="12"/>
      <c r="B1382" s="108"/>
      <c r="C1382" s="106"/>
      <c r="D1382" s="100" t="s">
        <v>259</v>
      </c>
      <c r="E1382" s="17">
        <v>950</v>
      </c>
      <c r="F1382" s="18">
        <v>191</v>
      </c>
      <c r="G1382" s="27"/>
      <c r="H1382" s="1"/>
      <c r="I1382" s="1"/>
      <c r="J1382" s="1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:27" ht="16" customHeight="1">
      <c r="A1383" s="12"/>
      <c r="B1383" s="109" t="s">
        <v>783</v>
      </c>
      <c r="C1383" s="107" t="s">
        <v>784</v>
      </c>
      <c r="D1383" s="100" t="s">
        <v>18</v>
      </c>
      <c r="E1383" s="17">
        <v>1361</v>
      </c>
      <c r="F1383" s="18">
        <v>955</v>
      </c>
      <c r="G1383" s="27"/>
      <c r="H1383" s="1"/>
      <c r="I1383" s="1"/>
      <c r="J1383" s="1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spans="1:27" ht="16" customHeight="1">
      <c r="A1384" s="12"/>
      <c r="B1384" s="108"/>
      <c r="C1384" s="106"/>
      <c r="D1384" s="100" t="s">
        <v>60</v>
      </c>
      <c r="E1384" s="17">
        <v>1362</v>
      </c>
      <c r="F1384" s="18">
        <v>1591</v>
      </c>
      <c r="G1384" s="27"/>
      <c r="H1384" s="1"/>
      <c r="I1384" s="1"/>
      <c r="J1384" s="1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:27" ht="21" customHeight="1">
      <c r="A1385" s="12"/>
      <c r="B1385" s="108"/>
      <c r="C1385" s="106"/>
      <c r="D1385" s="100" t="s">
        <v>65</v>
      </c>
      <c r="E1385" s="17">
        <v>1363</v>
      </c>
      <c r="F1385" s="18">
        <v>1273</v>
      </c>
      <c r="G1385" s="27"/>
      <c r="H1385" s="1"/>
      <c r="I1385" s="1"/>
      <c r="J1385" s="1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:27" ht="16" customHeight="1">
      <c r="A1386" s="12"/>
      <c r="B1386" s="109" t="s">
        <v>783</v>
      </c>
      <c r="C1386" s="107" t="s">
        <v>784</v>
      </c>
      <c r="D1386" s="100" t="s">
        <v>60</v>
      </c>
      <c r="E1386" s="17">
        <v>1469</v>
      </c>
      <c r="F1386" s="18">
        <v>1591</v>
      </c>
      <c r="G1386" s="27"/>
      <c r="H1386" s="1"/>
      <c r="I1386" s="1"/>
      <c r="J1386" s="1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:27" ht="16" customHeight="1">
      <c r="A1387" s="12"/>
      <c r="B1387" s="108"/>
      <c r="C1387" s="107" t="s">
        <v>68</v>
      </c>
      <c r="D1387" s="100" t="s">
        <v>65</v>
      </c>
      <c r="E1387" s="17">
        <v>1470</v>
      </c>
      <c r="F1387" s="18">
        <v>1650</v>
      </c>
      <c r="G1387" s="27"/>
      <c r="H1387" s="1"/>
      <c r="I1387" s="1"/>
      <c r="J1387" s="1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:27" ht="16" customHeight="1">
      <c r="A1388" s="12"/>
      <c r="B1388" s="109" t="s">
        <v>785</v>
      </c>
      <c r="C1388" s="106"/>
      <c r="D1388" s="100" t="s">
        <v>26</v>
      </c>
      <c r="E1388" s="17">
        <v>1642</v>
      </c>
      <c r="F1388" s="18">
        <v>895</v>
      </c>
      <c r="G1388" s="27"/>
      <c r="H1388" s="1"/>
      <c r="I1388" s="1"/>
      <c r="J1388" s="1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spans="1:27" ht="16" customHeight="1">
      <c r="A1389" s="12"/>
      <c r="B1389" s="109" t="s">
        <v>786</v>
      </c>
      <c r="C1389" s="107" t="s">
        <v>83</v>
      </c>
      <c r="D1389" s="100" t="s">
        <v>18</v>
      </c>
      <c r="E1389" s="17">
        <v>1228</v>
      </c>
      <c r="F1389" s="18">
        <v>925</v>
      </c>
      <c r="G1389" s="27"/>
      <c r="H1389" s="1"/>
      <c r="I1389" s="1"/>
      <c r="J1389" s="1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:27" ht="16" customHeight="1">
      <c r="A1390" s="12"/>
      <c r="B1390" s="108"/>
      <c r="C1390" s="106"/>
      <c r="D1390" s="100" t="s">
        <v>20</v>
      </c>
      <c r="E1390" s="17">
        <v>1229</v>
      </c>
      <c r="F1390" s="18">
        <v>725</v>
      </c>
      <c r="G1390" s="27"/>
      <c r="H1390" s="1"/>
      <c r="I1390" s="1"/>
      <c r="J1390" s="1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:27" ht="16" customHeight="1">
      <c r="A1391" s="12"/>
      <c r="B1391" s="108"/>
      <c r="C1391" s="106"/>
      <c r="D1391" s="100" t="s">
        <v>14</v>
      </c>
      <c r="E1391" s="17">
        <v>1230</v>
      </c>
      <c r="F1391" s="18">
        <v>509</v>
      </c>
      <c r="G1391" s="27"/>
      <c r="H1391" s="1"/>
      <c r="I1391" s="1"/>
      <c r="J1391" s="1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spans="1:27" ht="27" customHeight="1">
      <c r="A1392" s="12"/>
      <c r="B1392" s="108"/>
      <c r="C1392" s="106"/>
      <c r="D1392" s="100" t="s">
        <v>107</v>
      </c>
      <c r="E1392" s="17" t="s">
        <v>787</v>
      </c>
      <c r="F1392" s="18">
        <v>955</v>
      </c>
      <c r="G1392" s="27"/>
      <c r="H1392" s="1"/>
      <c r="I1392" s="1"/>
      <c r="J1392" s="1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:27" ht="16" customHeight="1">
      <c r="A1393" s="12"/>
      <c r="B1393" s="109" t="s">
        <v>788</v>
      </c>
      <c r="C1393" s="107" t="s">
        <v>756</v>
      </c>
      <c r="D1393" s="100" t="s">
        <v>12</v>
      </c>
      <c r="E1393" s="17">
        <v>3428</v>
      </c>
      <c r="F1393" s="18">
        <v>955</v>
      </c>
      <c r="G1393" s="27"/>
      <c r="H1393" s="1"/>
      <c r="I1393" s="1"/>
      <c r="J1393" s="1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 ht="16" customHeight="1">
      <c r="A1394" s="12"/>
      <c r="B1394" s="109" t="s">
        <v>788</v>
      </c>
      <c r="C1394" s="107" t="s">
        <v>789</v>
      </c>
      <c r="D1394" s="100" t="s">
        <v>18</v>
      </c>
      <c r="E1394" s="17">
        <v>2290</v>
      </c>
      <c r="F1394" s="18">
        <v>720</v>
      </c>
      <c r="G1394" s="27"/>
      <c r="H1394" s="1"/>
      <c r="I1394" s="1"/>
      <c r="J1394" s="1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:27" ht="17.5" customHeight="1">
      <c r="A1395" s="12"/>
      <c r="B1395" s="108"/>
      <c r="C1395" s="106"/>
      <c r="D1395" s="100" t="s">
        <v>20</v>
      </c>
      <c r="E1395" s="17">
        <v>2291</v>
      </c>
      <c r="F1395" s="18">
        <v>720</v>
      </c>
      <c r="G1395" s="27"/>
      <c r="H1395" s="1"/>
      <c r="I1395" s="1"/>
      <c r="J1395" s="1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spans="1:27" ht="27" customHeight="1">
      <c r="A1396" s="12"/>
      <c r="B1396" s="108"/>
      <c r="C1396" s="106"/>
      <c r="D1396" s="100" t="s">
        <v>14</v>
      </c>
      <c r="E1396" s="17" t="s">
        <v>790</v>
      </c>
      <c r="F1396" s="18">
        <v>955</v>
      </c>
      <c r="G1396" s="27"/>
      <c r="H1396" s="1"/>
      <c r="I1396" s="1"/>
      <c r="J1396" s="1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spans="1:27" ht="17.5" customHeight="1">
      <c r="A1397" s="12"/>
      <c r="B1397" s="108"/>
      <c r="C1397" s="106"/>
      <c r="D1397" s="100" t="s">
        <v>33</v>
      </c>
      <c r="E1397" s="17">
        <v>2293</v>
      </c>
      <c r="F1397" s="18">
        <v>955</v>
      </c>
      <c r="G1397" s="27"/>
      <c r="H1397" s="1"/>
      <c r="I1397" s="1"/>
      <c r="J1397" s="1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spans="1:27" ht="16" customHeight="1">
      <c r="A1398" s="12"/>
      <c r="B1398" s="108"/>
      <c r="C1398" s="106"/>
      <c r="D1398" s="100" t="s">
        <v>791</v>
      </c>
      <c r="E1398" s="17">
        <v>2294</v>
      </c>
      <c r="F1398" s="18">
        <v>509</v>
      </c>
      <c r="G1398" s="27"/>
      <c r="H1398" s="1"/>
      <c r="I1398" s="1"/>
      <c r="J1398" s="1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spans="1:27" ht="16" customHeight="1">
      <c r="A1399" s="12"/>
      <c r="B1399" s="109" t="s">
        <v>788</v>
      </c>
      <c r="C1399" s="107" t="s">
        <v>792</v>
      </c>
      <c r="D1399" s="100" t="s">
        <v>12</v>
      </c>
      <c r="E1399" s="17">
        <v>3191</v>
      </c>
      <c r="F1399" s="18">
        <v>1145</v>
      </c>
      <c r="G1399" s="27"/>
      <c r="H1399" s="1"/>
      <c r="I1399" s="1"/>
      <c r="J1399" s="1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spans="1:27" ht="16" customHeight="1">
      <c r="A1400" s="12"/>
      <c r="B1400" s="108"/>
      <c r="C1400" s="106"/>
      <c r="D1400" s="100" t="s">
        <v>82</v>
      </c>
      <c r="E1400" s="17">
        <v>3192</v>
      </c>
      <c r="F1400" s="18">
        <v>1145</v>
      </c>
      <c r="G1400" s="27"/>
      <c r="H1400" s="1"/>
      <c r="I1400" s="1"/>
      <c r="J1400" s="1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:27" ht="17.5" customHeight="1">
      <c r="A1401" s="12"/>
      <c r="B1401" s="108"/>
      <c r="C1401" s="106"/>
      <c r="D1401" s="100" t="s">
        <v>14</v>
      </c>
      <c r="E1401" s="17" t="s">
        <v>793</v>
      </c>
      <c r="F1401" s="18">
        <v>955</v>
      </c>
      <c r="G1401" s="27"/>
      <c r="H1401" s="1"/>
      <c r="I1401" s="1"/>
      <c r="J1401" s="1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:27" ht="16" customHeight="1">
      <c r="A1402" s="12"/>
      <c r="B1402" s="109" t="s">
        <v>788</v>
      </c>
      <c r="C1402" s="107" t="s">
        <v>794</v>
      </c>
      <c r="D1402" s="100" t="s">
        <v>12</v>
      </c>
      <c r="E1402" s="17">
        <v>3226</v>
      </c>
      <c r="F1402" s="18">
        <v>1145</v>
      </c>
      <c r="G1402" s="27"/>
      <c r="H1402" s="1"/>
      <c r="I1402" s="1"/>
      <c r="J1402" s="1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spans="1:27" ht="16" customHeight="1">
      <c r="A1403" s="12"/>
      <c r="B1403" s="108"/>
      <c r="C1403" s="106"/>
      <c r="D1403" s="100" t="s">
        <v>82</v>
      </c>
      <c r="E1403" s="17">
        <v>3227</v>
      </c>
      <c r="F1403" s="18">
        <v>1145</v>
      </c>
      <c r="G1403" s="27"/>
      <c r="H1403" s="1"/>
      <c r="I1403" s="1"/>
      <c r="J1403" s="1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spans="1:27" ht="16" customHeight="1">
      <c r="A1404" s="12"/>
      <c r="B1404" s="108"/>
      <c r="C1404" s="106"/>
      <c r="D1404" s="100" t="s">
        <v>14</v>
      </c>
      <c r="E1404" s="17">
        <v>3228</v>
      </c>
      <c r="F1404" s="18">
        <v>955</v>
      </c>
      <c r="G1404" s="27"/>
      <c r="H1404" s="1"/>
      <c r="I1404" s="1"/>
      <c r="J1404" s="1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:27" ht="16" customHeight="1">
      <c r="A1405" s="12"/>
      <c r="B1405" s="109" t="s">
        <v>795</v>
      </c>
      <c r="C1405" s="107" t="s">
        <v>796</v>
      </c>
      <c r="D1405" s="100" t="s">
        <v>12</v>
      </c>
      <c r="E1405" s="17">
        <v>3361</v>
      </c>
      <c r="F1405" s="18">
        <v>955</v>
      </c>
      <c r="G1405" s="27"/>
      <c r="H1405" s="1"/>
      <c r="I1405" s="1"/>
      <c r="J1405" s="1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spans="1:27" ht="16" customHeight="1">
      <c r="A1406" s="12"/>
      <c r="B1406" s="109" t="s">
        <v>797</v>
      </c>
      <c r="C1406" s="106"/>
      <c r="D1406" s="100" t="s">
        <v>82</v>
      </c>
      <c r="E1406" s="17">
        <v>3362</v>
      </c>
      <c r="F1406" s="18">
        <v>955</v>
      </c>
      <c r="G1406" s="27"/>
      <c r="H1406" s="1"/>
      <c r="I1406" s="1"/>
      <c r="J1406" s="1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spans="1:27" ht="27" customHeight="1">
      <c r="A1407" s="12"/>
      <c r="B1407" s="108"/>
      <c r="C1407" s="106"/>
      <c r="D1407" s="100" t="s">
        <v>14</v>
      </c>
      <c r="E1407" s="17" t="s">
        <v>798</v>
      </c>
      <c r="F1407" s="18">
        <v>955</v>
      </c>
      <c r="G1407" s="27"/>
      <c r="H1407" s="1"/>
      <c r="I1407" s="1"/>
      <c r="J1407" s="1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spans="1:27" ht="16" customHeight="1">
      <c r="A1408" s="12"/>
      <c r="B1408" s="108"/>
      <c r="C1408" s="106"/>
      <c r="D1408" s="100" t="s">
        <v>33</v>
      </c>
      <c r="E1408" s="17">
        <v>3364</v>
      </c>
      <c r="F1408" s="18">
        <v>955</v>
      </c>
      <c r="G1408" s="27"/>
      <c r="H1408" s="1"/>
      <c r="I1408" s="1"/>
      <c r="J1408" s="1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spans="1:27" ht="16" customHeight="1">
      <c r="A1409" s="12"/>
      <c r="B1409" s="109" t="s">
        <v>799</v>
      </c>
      <c r="C1409" s="107" t="s">
        <v>800</v>
      </c>
      <c r="D1409" s="100" t="s">
        <v>26</v>
      </c>
      <c r="E1409" s="17">
        <v>1416</v>
      </c>
      <c r="F1409" s="18">
        <v>1145</v>
      </c>
      <c r="G1409" s="27"/>
      <c r="H1409" s="1"/>
      <c r="I1409" s="1"/>
      <c r="J1409" s="1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spans="1:27" ht="16" customHeight="1">
      <c r="A1410" s="12"/>
      <c r="B1410" s="108"/>
      <c r="C1410" s="107" t="s">
        <v>801</v>
      </c>
      <c r="D1410" s="100" t="s">
        <v>29</v>
      </c>
      <c r="E1410" s="17">
        <v>1417</v>
      </c>
      <c r="F1410" s="18">
        <v>1145</v>
      </c>
      <c r="G1410" s="27"/>
      <c r="H1410" s="1"/>
      <c r="I1410" s="1"/>
      <c r="J1410" s="1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:27" ht="17.5" customHeight="1">
      <c r="A1411" s="12"/>
      <c r="B1411" s="108"/>
      <c r="C1411" s="106"/>
      <c r="D1411" s="100" t="s">
        <v>14</v>
      </c>
      <c r="E1411" s="17">
        <v>1418</v>
      </c>
      <c r="F1411" s="18">
        <v>1273</v>
      </c>
      <c r="G1411" s="27"/>
      <c r="H1411" s="1"/>
      <c r="I1411" s="1"/>
      <c r="J1411" s="1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spans="1:27" ht="15.5" customHeight="1">
      <c r="A1412" s="155" t="s">
        <v>802</v>
      </c>
      <c r="B1412" s="134"/>
      <c r="C1412" s="134"/>
      <c r="D1412" s="134"/>
      <c r="E1412" s="135"/>
      <c r="F1412" s="135"/>
      <c r="G1412" s="135"/>
      <c r="H1412" s="1"/>
      <c r="I1412" s="1"/>
      <c r="J1412" s="1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spans="1:27" ht="16" customHeight="1">
      <c r="A1413" s="12"/>
      <c r="B1413" s="109" t="s">
        <v>802</v>
      </c>
      <c r="C1413" s="107" t="s">
        <v>229</v>
      </c>
      <c r="D1413" s="100" t="s">
        <v>18</v>
      </c>
      <c r="E1413" s="17">
        <v>588</v>
      </c>
      <c r="F1413" s="18">
        <v>720</v>
      </c>
      <c r="G1413" s="27"/>
      <c r="H1413" s="1"/>
      <c r="I1413" s="1"/>
      <c r="J1413" s="1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:27" ht="16" customHeight="1">
      <c r="A1414" s="12"/>
      <c r="B1414" s="109" t="s">
        <v>803</v>
      </c>
      <c r="C1414" s="107" t="s">
        <v>804</v>
      </c>
      <c r="D1414" s="100" t="s">
        <v>26</v>
      </c>
      <c r="E1414" s="17">
        <v>526</v>
      </c>
      <c r="F1414" s="18">
        <v>318</v>
      </c>
      <c r="G1414" s="27"/>
      <c r="H1414" s="1"/>
      <c r="I1414" s="1"/>
      <c r="J1414" s="1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:27" ht="16" customHeight="1">
      <c r="A1415" s="12"/>
      <c r="B1415" s="108"/>
      <c r="C1415" s="107" t="s">
        <v>466</v>
      </c>
      <c r="D1415" s="100" t="s">
        <v>26</v>
      </c>
      <c r="E1415" s="17">
        <v>703</v>
      </c>
      <c r="F1415" s="18">
        <v>318</v>
      </c>
      <c r="G1415" s="27"/>
      <c r="H1415" s="1"/>
      <c r="I1415" s="1"/>
      <c r="J1415" s="1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spans="1:27" ht="16" customHeight="1">
      <c r="A1416" s="12"/>
      <c r="B1416" s="109" t="s">
        <v>805</v>
      </c>
      <c r="C1416" s="107" t="s">
        <v>68</v>
      </c>
      <c r="D1416" s="100" t="s">
        <v>29</v>
      </c>
      <c r="E1416" s="17">
        <v>704</v>
      </c>
      <c r="F1416" s="18">
        <v>318</v>
      </c>
      <c r="G1416" s="27"/>
      <c r="H1416" s="1"/>
      <c r="I1416" s="1"/>
      <c r="J1416" s="1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:27" ht="16" customHeight="1">
      <c r="A1417" s="12"/>
      <c r="B1417" s="109" t="s">
        <v>802</v>
      </c>
      <c r="C1417" s="107" t="s">
        <v>102</v>
      </c>
      <c r="D1417" s="100" t="s">
        <v>22</v>
      </c>
      <c r="E1417" s="17">
        <v>527</v>
      </c>
      <c r="F1417" s="18">
        <v>286</v>
      </c>
      <c r="G1417" s="27"/>
      <c r="H1417" s="1"/>
      <c r="I1417" s="1"/>
      <c r="J1417" s="1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spans="1:27" ht="16" customHeight="1">
      <c r="A1418" s="12"/>
      <c r="B1418" s="109">
        <v>2001</v>
      </c>
      <c r="C1418" s="106"/>
      <c r="D1418" s="100" t="s">
        <v>103</v>
      </c>
      <c r="E1418" s="17">
        <v>708</v>
      </c>
      <c r="F1418" s="18">
        <v>382</v>
      </c>
      <c r="G1418" s="27"/>
      <c r="H1418" s="1"/>
      <c r="I1418" s="1"/>
      <c r="J1418" s="1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:27" ht="26" customHeight="1">
      <c r="A1419" s="12"/>
      <c r="B1419" s="116" t="s">
        <v>806</v>
      </c>
      <c r="C1419" s="106"/>
      <c r="D1419" s="100" t="s">
        <v>259</v>
      </c>
      <c r="E1419" s="17">
        <v>3246</v>
      </c>
      <c r="F1419" s="18" t="s">
        <v>807</v>
      </c>
      <c r="G1419" s="27"/>
      <c r="H1419" s="1"/>
      <c r="I1419" s="1"/>
      <c r="J1419" s="1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spans="1:27" ht="16" customHeight="1">
      <c r="A1420" s="12"/>
      <c r="B1420" s="109" t="s">
        <v>802</v>
      </c>
      <c r="C1420" s="107" t="s">
        <v>102</v>
      </c>
      <c r="D1420" s="100" t="s">
        <v>18</v>
      </c>
      <c r="E1420" s="17">
        <v>799</v>
      </c>
      <c r="F1420" s="18">
        <v>720</v>
      </c>
      <c r="G1420" s="27"/>
      <c r="H1420" s="1"/>
      <c r="I1420" s="1"/>
      <c r="J1420" s="1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:27" ht="16" customHeight="1">
      <c r="A1421" s="12"/>
      <c r="B1421" s="109" t="s">
        <v>808</v>
      </c>
      <c r="C1421" s="106"/>
      <c r="D1421" s="100" t="s">
        <v>20</v>
      </c>
      <c r="E1421" s="17">
        <v>800</v>
      </c>
      <c r="F1421" s="18">
        <v>720</v>
      </c>
      <c r="G1421" s="27"/>
      <c r="H1421" s="1"/>
      <c r="I1421" s="1"/>
      <c r="J1421" s="1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spans="1:27" ht="16" customHeight="1">
      <c r="A1422" s="12"/>
      <c r="B1422" s="108"/>
      <c r="C1422" s="106"/>
      <c r="D1422" s="100" t="s">
        <v>809</v>
      </c>
      <c r="E1422" s="17">
        <v>801</v>
      </c>
      <c r="F1422" s="18">
        <v>445</v>
      </c>
      <c r="G1422" s="27"/>
      <c r="H1422" s="1"/>
      <c r="I1422" s="1"/>
      <c r="J1422" s="1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spans="1:27" ht="16" customHeight="1">
      <c r="A1423" s="12"/>
      <c r="B1423" s="108"/>
      <c r="C1423" s="106"/>
      <c r="D1423" s="100" t="s">
        <v>60</v>
      </c>
      <c r="E1423" s="17">
        <v>802</v>
      </c>
      <c r="F1423" s="18">
        <v>573</v>
      </c>
      <c r="G1423" s="27"/>
      <c r="H1423" s="1"/>
      <c r="I1423" s="1"/>
      <c r="J1423" s="1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spans="1:27" ht="16" customHeight="1">
      <c r="A1424" s="12"/>
      <c r="B1424" s="108"/>
      <c r="C1424" s="106"/>
      <c r="D1424" s="100" t="s">
        <v>60</v>
      </c>
      <c r="E1424" s="17">
        <v>803</v>
      </c>
      <c r="F1424" s="18">
        <v>509</v>
      </c>
      <c r="G1424" s="27"/>
      <c r="H1424" s="1"/>
      <c r="I1424" s="1"/>
      <c r="J1424" s="1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spans="1:27" ht="16" customHeight="1">
      <c r="A1425" s="12"/>
      <c r="B1425" s="109" t="s">
        <v>802</v>
      </c>
      <c r="C1425" s="107" t="s">
        <v>810</v>
      </c>
      <c r="D1425" s="100" t="s">
        <v>18</v>
      </c>
      <c r="E1425" s="17">
        <v>804</v>
      </c>
      <c r="F1425" s="18">
        <v>720</v>
      </c>
      <c r="G1425" s="27"/>
      <c r="H1425" s="1"/>
      <c r="I1425" s="1"/>
      <c r="J1425" s="1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:27" ht="16" customHeight="1">
      <c r="A1426" s="12"/>
      <c r="B1426" s="109" t="s">
        <v>808</v>
      </c>
      <c r="C1426" s="107" t="s">
        <v>331</v>
      </c>
      <c r="D1426" s="100" t="s">
        <v>20</v>
      </c>
      <c r="E1426" s="17">
        <v>881</v>
      </c>
      <c r="F1426" s="18">
        <v>720</v>
      </c>
      <c r="G1426" s="27"/>
      <c r="H1426" s="1"/>
      <c r="I1426" s="1"/>
      <c r="J1426" s="1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:27" ht="16" customHeight="1">
      <c r="A1427" s="12"/>
      <c r="B1427" s="108"/>
      <c r="C1427" s="107" t="s">
        <v>810</v>
      </c>
      <c r="D1427" s="100" t="s">
        <v>811</v>
      </c>
      <c r="E1427" s="17">
        <v>805</v>
      </c>
      <c r="F1427" s="18">
        <v>573</v>
      </c>
      <c r="G1427" s="27"/>
      <c r="H1427" s="1"/>
      <c r="I1427" s="1"/>
      <c r="J1427" s="1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:27" ht="16" customHeight="1">
      <c r="A1428" s="12"/>
      <c r="B1428" s="108"/>
      <c r="C1428" s="107" t="s">
        <v>812</v>
      </c>
      <c r="D1428" s="100" t="s">
        <v>639</v>
      </c>
      <c r="E1428" s="17">
        <v>882</v>
      </c>
      <c r="F1428" s="18">
        <v>509</v>
      </c>
      <c r="G1428" s="27"/>
      <c r="H1428" s="1"/>
      <c r="I1428" s="1"/>
      <c r="J1428" s="1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spans="1:27" ht="16" customHeight="1">
      <c r="A1429" s="12"/>
      <c r="B1429" s="108"/>
      <c r="C1429" s="106"/>
      <c r="D1429" s="100" t="s">
        <v>813</v>
      </c>
      <c r="E1429" s="17">
        <v>883</v>
      </c>
      <c r="F1429" s="18">
        <v>891</v>
      </c>
      <c r="G1429" s="27"/>
      <c r="H1429" s="1"/>
      <c r="I1429" s="1"/>
      <c r="J1429" s="1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spans="1:27" ht="16" customHeight="1">
      <c r="A1430" s="12"/>
      <c r="B1430" s="108"/>
      <c r="C1430" s="106"/>
      <c r="D1430" s="100" t="s">
        <v>814</v>
      </c>
      <c r="E1430" s="17">
        <v>884</v>
      </c>
      <c r="F1430" s="18">
        <v>509</v>
      </c>
      <c r="G1430" s="27"/>
      <c r="H1430" s="1"/>
      <c r="I1430" s="1"/>
      <c r="J1430" s="1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:27" ht="16" customHeight="1">
      <c r="A1431" s="12"/>
      <c r="B1431" s="108"/>
      <c r="C1431" s="106"/>
      <c r="D1431" s="100" t="s">
        <v>815</v>
      </c>
      <c r="E1431" s="17">
        <v>885</v>
      </c>
      <c r="F1431" s="18">
        <v>573</v>
      </c>
      <c r="G1431" s="27"/>
      <c r="H1431" s="1"/>
      <c r="I1431" s="1"/>
      <c r="J1431" s="1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:27" ht="16" customHeight="1">
      <c r="A1432" s="12"/>
      <c r="B1432" s="109" t="s">
        <v>802</v>
      </c>
      <c r="C1432" s="107" t="s">
        <v>810</v>
      </c>
      <c r="D1432" s="100" t="s">
        <v>18</v>
      </c>
      <c r="E1432" s="17">
        <v>1299</v>
      </c>
      <c r="F1432" s="18">
        <v>720</v>
      </c>
      <c r="G1432" s="27"/>
      <c r="H1432" s="1"/>
      <c r="I1432" s="1"/>
      <c r="J1432" s="1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:27" ht="16" customHeight="1">
      <c r="A1433" s="12"/>
      <c r="B1433" s="109" t="s">
        <v>816</v>
      </c>
      <c r="C1433" s="107" t="s">
        <v>344</v>
      </c>
      <c r="D1433" s="100" t="s">
        <v>20</v>
      </c>
      <c r="E1433" s="17">
        <v>1305</v>
      </c>
      <c r="F1433" s="18">
        <v>720</v>
      </c>
      <c r="G1433" s="27"/>
      <c r="H1433" s="1"/>
      <c r="I1433" s="1"/>
      <c r="J1433" s="1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spans="1:27" ht="16" customHeight="1">
      <c r="A1434" s="12"/>
      <c r="B1434" s="108"/>
      <c r="C1434" s="106"/>
      <c r="D1434" s="100" t="s">
        <v>14</v>
      </c>
      <c r="E1434" s="17">
        <v>1300</v>
      </c>
      <c r="F1434" s="18">
        <v>509</v>
      </c>
      <c r="G1434" s="27"/>
      <c r="H1434" s="1"/>
      <c r="I1434" s="1"/>
      <c r="J1434" s="1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spans="1:27" ht="16" customHeight="1">
      <c r="A1435" s="12"/>
      <c r="B1435" s="108"/>
      <c r="C1435" s="106"/>
      <c r="D1435" s="100" t="s">
        <v>22</v>
      </c>
      <c r="E1435" s="17">
        <v>1301</v>
      </c>
      <c r="F1435" s="18">
        <v>764</v>
      </c>
      <c r="G1435" s="27"/>
      <c r="H1435" s="1"/>
      <c r="I1435" s="1"/>
      <c r="J1435" s="1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spans="1:27" ht="16" customHeight="1">
      <c r="A1436" s="12"/>
      <c r="B1436" s="108"/>
      <c r="C1436" s="106"/>
      <c r="D1436" s="100" t="s">
        <v>60</v>
      </c>
      <c r="E1436" s="17">
        <v>1302</v>
      </c>
      <c r="F1436" s="18">
        <v>764</v>
      </c>
      <c r="G1436" s="27"/>
      <c r="H1436" s="1"/>
      <c r="I1436" s="1"/>
      <c r="J1436" s="1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spans="1:27" ht="16" customHeight="1">
      <c r="A1437" s="12"/>
      <c r="B1437" s="108"/>
      <c r="C1437" s="106"/>
      <c r="D1437" s="100" t="s">
        <v>61</v>
      </c>
      <c r="E1437" s="17">
        <v>1303</v>
      </c>
      <c r="F1437" s="18">
        <v>955</v>
      </c>
      <c r="G1437" s="27"/>
      <c r="H1437" s="1"/>
      <c r="I1437" s="1"/>
      <c r="J1437" s="1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spans="1:27" ht="16" customHeight="1">
      <c r="A1438" s="12"/>
      <c r="B1438" s="108"/>
      <c r="C1438" s="106"/>
      <c r="D1438" s="100" t="s">
        <v>380</v>
      </c>
      <c r="E1438" s="17">
        <v>1304</v>
      </c>
      <c r="F1438" s="18">
        <v>764</v>
      </c>
      <c r="G1438" s="27"/>
      <c r="H1438" s="1"/>
      <c r="I1438" s="1"/>
      <c r="J1438" s="1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:27" ht="16" customHeight="1">
      <c r="A1439" s="12"/>
      <c r="B1439" s="108"/>
      <c r="C1439" s="106"/>
      <c r="D1439" s="100" t="s">
        <v>65</v>
      </c>
      <c r="E1439" s="17">
        <v>1313</v>
      </c>
      <c r="F1439" s="18">
        <v>1591</v>
      </c>
      <c r="G1439" s="27"/>
      <c r="H1439" s="1"/>
      <c r="I1439" s="1"/>
      <c r="J1439" s="1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spans="1:27" ht="16" customHeight="1">
      <c r="A1440" s="12"/>
      <c r="B1440" s="108"/>
      <c r="C1440" s="106"/>
      <c r="D1440" s="100" t="s">
        <v>817</v>
      </c>
      <c r="E1440" s="17">
        <v>1316</v>
      </c>
      <c r="F1440" s="18">
        <v>159</v>
      </c>
      <c r="G1440" s="27"/>
      <c r="H1440" s="1"/>
      <c r="I1440" s="1"/>
      <c r="J1440" s="1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:27" ht="16" customHeight="1">
      <c r="A1441" s="12"/>
      <c r="B1441" s="108"/>
      <c r="C1441" s="106"/>
      <c r="D1441" s="100" t="s">
        <v>22</v>
      </c>
      <c r="E1441" s="17">
        <v>1318</v>
      </c>
      <c r="F1441" s="18">
        <v>1145</v>
      </c>
      <c r="G1441" s="27"/>
      <c r="H1441" s="1"/>
      <c r="I1441" s="1"/>
      <c r="J1441" s="1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spans="1:27" ht="16" customHeight="1">
      <c r="A1442" s="12"/>
      <c r="B1442" s="108"/>
      <c r="C1442" s="106"/>
      <c r="D1442" s="100" t="s">
        <v>213</v>
      </c>
      <c r="E1442" s="17">
        <v>1319</v>
      </c>
      <c r="F1442" s="18">
        <v>573</v>
      </c>
      <c r="G1442" s="27"/>
      <c r="H1442" s="1"/>
      <c r="I1442" s="1"/>
      <c r="J1442" s="1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spans="1:27" ht="25.5" customHeight="1">
      <c r="A1443" s="12"/>
      <c r="B1443" s="109" t="s">
        <v>818</v>
      </c>
      <c r="C1443" s="106"/>
      <c r="D1443" s="100" t="s">
        <v>29</v>
      </c>
      <c r="E1443" s="17" t="s">
        <v>819</v>
      </c>
      <c r="F1443" s="18">
        <v>955</v>
      </c>
      <c r="G1443" s="27"/>
      <c r="H1443" s="1"/>
      <c r="I1443" s="1"/>
      <c r="J1443" s="1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:27" ht="16" customHeight="1">
      <c r="A1444" s="12"/>
      <c r="B1444" s="109" t="s">
        <v>802</v>
      </c>
      <c r="C1444" s="107" t="s">
        <v>820</v>
      </c>
      <c r="D1444" s="100" t="s">
        <v>60</v>
      </c>
      <c r="E1444" s="17">
        <v>1054</v>
      </c>
      <c r="F1444" s="18">
        <v>955</v>
      </c>
      <c r="G1444" s="27"/>
      <c r="H1444" s="1"/>
      <c r="I1444" s="1"/>
      <c r="J1444" s="1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spans="1:27" ht="16" customHeight="1">
      <c r="A1445" s="12"/>
      <c r="B1445" s="109" t="s">
        <v>821</v>
      </c>
      <c r="C1445" s="106"/>
      <c r="D1445" s="100" t="s">
        <v>14</v>
      </c>
      <c r="E1445" s="17">
        <v>1055</v>
      </c>
      <c r="F1445" s="18">
        <v>509</v>
      </c>
      <c r="G1445" s="27"/>
      <c r="H1445" s="1"/>
      <c r="I1445" s="1"/>
      <c r="J1445" s="1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spans="1:27" ht="16" customHeight="1">
      <c r="A1446" s="12"/>
      <c r="B1446" s="108"/>
      <c r="C1446" s="106"/>
      <c r="D1446" s="100" t="s">
        <v>22</v>
      </c>
      <c r="E1446" s="17">
        <v>1052</v>
      </c>
      <c r="F1446" s="18">
        <v>509</v>
      </c>
      <c r="G1446" s="27"/>
      <c r="H1446" s="1"/>
      <c r="I1446" s="1"/>
      <c r="J1446" s="1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:27" ht="16" customHeight="1">
      <c r="A1447" s="12"/>
      <c r="B1447" s="108"/>
      <c r="C1447" s="106"/>
      <c r="D1447" s="100" t="s">
        <v>29</v>
      </c>
      <c r="E1447" s="17">
        <v>1056</v>
      </c>
      <c r="F1447" s="18">
        <v>318</v>
      </c>
      <c r="G1447" s="27"/>
      <c r="H1447" s="1"/>
      <c r="I1447" s="1"/>
      <c r="J1447" s="1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spans="1:27" ht="30" customHeight="1">
      <c r="A1448" s="12"/>
      <c r="B1448" s="108"/>
      <c r="C1448" s="106"/>
      <c r="D1448" s="100" t="s">
        <v>822</v>
      </c>
      <c r="E1448" s="17">
        <v>1263</v>
      </c>
      <c r="F1448" s="18">
        <v>127</v>
      </c>
      <c r="G1448" s="27"/>
      <c r="H1448" s="1"/>
      <c r="I1448" s="1"/>
      <c r="J1448" s="1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:27" ht="16" customHeight="1">
      <c r="A1449" s="12"/>
      <c r="B1449" s="108"/>
      <c r="C1449" s="106"/>
      <c r="D1449" s="100" t="s">
        <v>823</v>
      </c>
      <c r="E1449" s="17">
        <v>1264</v>
      </c>
      <c r="F1449" s="18">
        <v>191</v>
      </c>
      <c r="G1449" s="27"/>
      <c r="H1449" s="1"/>
      <c r="I1449" s="1"/>
      <c r="J1449" s="1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:27" ht="16" customHeight="1">
      <c r="A1450" s="12"/>
      <c r="B1450" s="108"/>
      <c r="C1450" s="107" t="s">
        <v>824</v>
      </c>
      <c r="D1450" s="100" t="s">
        <v>29</v>
      </c>
      <c r="E1450" s="17">
        <v>1057</v>
      </c>
      <c r="F1450" s="18">
        <v>318</v>
      </c>
      <c r="G1450" s="27"/>
      <c r="H1450" s="1"/>
      <c r="I1450" s="1"/>
      <c r="J1450" s="1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:27" ht="16" customHeight="1">
      <c r="A1451" s="12"/>
      <c r="B1451" s="108"/>
      <c r="C1451" s="107" t="s">
        <v>428</v>
      </c>
      <c r="D1451" s="100" t="s">
        <v>12</v>
      </c>
      <c r="E1451" s="17">
        <v>1613</v>
      </c>
      <c r="F1451" s="18">
        <v>0</v>
      </c>
      <c r="G1451" s="27"/>
      <c r="H1451" s="1"/>
      <c r="I1451" s="1"/>
      <c r="J1451" s="1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:27" ht="16" customHeight="1">
      <c r="A1452" s="12"/>
      <c r="B1452" s="108"/>
      <c r="C1452" s="107" t="s">
        <v>428</v>
      </c>
      <c r="D1452" s="100" t="s">
        <v>22</v>
      </c>
      <c r="E1452" s="17">
        <v>1210</v>
      </c>
      <c r="F1452" s="18">
        <v>1145</v>
      </c>
      <c r="G1452" s="27"/>
      <c r="H1452" s="1"/>
      <c r="I1452" s="1"/>
      <c r="J1452" s="1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:27" ht="16" customHeight="1">
      <c r="A1453" s="12"/>
      <c r="B1453" s="110" t="s">
        <v>825</v>
      </c>
      <c r="C1453" s="107" t="s">
        <v>826</v>
      </c>
      <c r="D1453" s="100" t="s">
        <v>60</v>
      </c>
      <c r="E1453" s="17">
        <v>3304</v>
      </c>
      <c r="F1453" s="18" t="s">
        <v>807</v>
      </c>
      <c r="G1453" s="27"/>
      <c r="H1453" s="1"/>
      <c r="I1453" s="1"/>
      <c r="J1453" s="1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 ht="16" customHeight="1">
      <c r="A1454" s="12"/>
      <c r="B1454" s="108"/>
      <c r="C1454" s="107" t="s">
        <v>344</v>
      </c>
      <c r="D1454" s="100" t="s">
        <v>61</v>
      </c>
      <c r="E1454" s="17">
        <v>3305</v>
      </c>
      <c r="F1454" s="18" t="s">
        <v>807</v>
      </c>
      <c r="G1454" s="27"/>
      <c r="H1454" s="1"/>
      <c r="I1454" s="1"/>
      <c r="J1454" s="1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:27" ht="16" customHeight="1">
      <c r="A1455" s="12"/>
      <c r="B1455" s="108"/>
      <c r="C1455" s="106"/>
      <c r="D1455" s="100" t="s">
        <v>26</v>
      </c>
      <c r="E1455" s="17">
        <v>3306</v>
      </c>
      <c r="F1455" s="18" t="s">
        <v>807</v>
      </c>
      <c r="G1455" s="27"/>
      <c r="H1455" s="1"/>
      <c r="I1455" s="1"/>
      <c r="J1455" s="1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:27" ht="16" customHeight="1">
      <c r="A1456" s="12"/>
      <c r="B1456" s="108"/>
      <c r="C1456" s="106"/>
      <c r="D1456" s="100" t="s">
        <v>27</v>
      </c>
      <c r="E1456" s="17">
        <v>3307</v>
      </c>
      <c r="F1456" s="18" t="s">
        <v>807</v>
      </c>
      <c r="G1456" s="27"/>
      <c r="H1456" s="1"/>
      <c r="I1456" s="1"/>
      <c r="J1456" s="1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:27" ht="16" customHeight="1">
      <c r="A1457" s="12"/>
      <c r="B1457" s="108"/>
      <c r="C1457" s="106"/>
      <c r="D1457" s="100" t="s">
        <v>748</v>
      </c>
      <c r="E1457" s="17">
        <v>3308</v>
      </c>
      <c r="F1457" s="18" t="s">
        <v>807</v>
      </c>
      <c r="G1457" s="27"/>
      <c r="H1457" s="1"/>
      <c r="I1457" s="1"/>
      <c r="J1457" s="1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spans="1:27" ht="16" customHeight="1">
      <c r="A1458" s="12"/>
      <c r="B1458" s="108"/>
      <c r="C1458" s="106"/>
      <c r="D1458" s="100" t="s">
        <v>827</v>
      </c>
      <c r="E1458" s="17">
        <v>3309</v>
      </c>
      <c r="F1458" s="18" t="s">
        <v>807</v>
      </c>
      <c r="G1458" s="27"/>
      <c r="H1458" s="1"/>
      <c r="I1458" s="1"/>
      <c r="J1458" s="1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spans="1:27" ht="16" customHeight="1">
      <c r="A1459" s="12"/>
      <c r="B1459" s="108"/>
      <c r="C1459" s="106"/>
      <c r="D1459" s="100" t="s">
        <v>33</v>
      </c>
      <c r="E1459" s="17">
        <v>3310</v>
      </c>
      <c r="F1459" s="18" t="s">
        <v>807</v>
      </c>
      <c r="G1459" s="27"/>
      <c r="H1459" s="1"/>
      <c r="I1459" s="1"/>
      <c r="J1459" s="1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spans="1:27" ht="16" customHeight="1">
      <c r="A1460" s="12"/>
      <c r="B1460" s="108"/>
      <c r="C1460" s="106"/>
      <c r="D1460" s="100" t="s">
        <v>212</v>
      </c>
      <c r="E1460" s="17">
        <v>3576</v>
      </c>
      <c r="F1460" s="18" t="s">
        <v>807</v>
      </c>
      <c r="G1460" s="27"/>
      <c r="H1460" s="1"/>
      <c r="I1460" s="1"/>
      <c r="J1460" s="1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spans="1:27" ht="15.5" customHeight="1">
      <c r="A1461" s="155" t="s">
        <v>828</v>
      </c>
      <c r="B1461" s="134"/>
      <c r="C1461" s="134"/>
      <c r="D1461" s="134"/>
      <c r="E1461" s="135"/>
      <c r="F1461" s="135"/>
      <c r="G1461" s="135"/>
      <c r="H1461" s="1"/>
      <c r="I1461" s="1"/>
      <c r="J1461" s="1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:27" ht="16" customHeight="1">
      <c r="A1462" s="12"/>
      <c r="B1462" s="109" t="s">
        <v>829</v>
      </c>
      <c r="C1462" s="107" t="s">
        <v>830</v>
      </c>
      <c r="D1462" s="100" t="s">
        <v>18</v>
      </c>
      <c r="E1462" s="17">
        <v>1477</v>
      </c>
      <c r="F1462" s="18">
        <v>16500</v>
      </c>
      <c r="G1462" s="27"/>
      <c r="H1462" s="1"/>
      <c r="I1462" s="1"/>
      <c r="J1462" s="1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spans="1:27" ht="30" customHeight="1">
      <c r="A1463" s="12"/>
      <c r="B1463" s="108"/>
      <c r="C1463" s="107" t="s">
        <v>344</v>
      </c>
      <c r="D1463" s="100" t="s">
        <v>831</v>
      </c>
      <c r="E1463" s="17">
        <v>1478</v>
      </c>
      <c r="F1463" s="18"/>
      <c r="G1463" s="27"/>
      <c r="H1463" s="1"/>
      <c r="I1463" s="1"/>
      <c r="J1463" s="1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:27" ht="16" customHeight="1">
      <c r="A1464" s="12"/>
      <c r="B1464" s="108"/>
      <c r="C1464" s="106" t="s">
        <v>832</v>
      </c>
      <c r="D1464" s="100" t="s">
        <v>833</v>
      </c>
      <c r="E1464" s="17">
        <v>1479</v>
      </c>
      <c r="F1464" s="18"/>
      <c r="G1464" s="27"/>
      <c r="H1464" s="1"/>
      <c r="I1464" s="1"/>
      <c r="J1464" s="1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 ht="16" customHeight="1">
      <c r="A1465" s="12"/>
      <c r="B1465" s="108"/>
      <c r="C1465" s="106"/>
      <c r="D1465" s="100" t="s">
        <v>12</v>
      </c>
      <c r="E1465" s="17">
        <v>1480</v>
      </c>
      <c r="F1465" s="18"/>
      <c r="G1465" s="27"/>
      <c r="H1465" s="1"/>
      <c r="I1465" s="1"/>
      <c r="J1465" s="1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:27" ht="16" customHeight="1">
      <c r="A1466" s="12"/>
      <c r="B1466" s="108"/>
      <c r="C1466" s="106"/>
      <c r="D1466" s="100" t="s">
        <v>26</v>
      </c>
      <c r="E1466" s="17">
        <v>1481</v>
      </c>
      <c r="F1466" s="18"/>
      <c r="G1466" s="27"/>
      <c r="H1466" s="1"/>
      <c r="I1466" s="1"/>
      <c r="J1466" s="1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:27" ht="16" customHeight="1">
      <c r="A1467" s="12"/>
      <c r="B1467" s="108"/>
      <c r="C1467" s="106"/>
      <c r="D1467" s="100" t="s">
        <v>20</v>
      </c>
      <c r="E1467" s="17">
        <v>1482</v>
      </c>
      <c r="F1467" s="18"/>
      <c r="G1467" s="27"/>
      <c r="H1467" s="1"/>
      <c r="I1467" s="1"/>
      <c r="J1467" s="1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:27" ht="16" customHeight="1">
      <c r="A1468" s="12"/>
      <c r="B1468" s="108"/>
      <c r="C1468" s="106"/>
      <c r="D1468" s="100" t="s">
        <v>834</v>
      </c>
      <c r="E1468" s="17">
        <v>1483</v>
      </c>
      <c r="F1468" s="18"/>
      <c r="G1468" s="27"/>
      <c r="H1468" s="1"/>
      <c r="I1468" s="1"/>
      <c r="J1468" s="1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spans="1:27" ht="16" customHeight="1">
      <c r="A1469" s="12"/>
      <c r="B1469" s="108"/>
      <c r="C1469" s="106"/>
      <c r="D1469" s="100" t="s">
        <v>63</v>
      </c>
      <c r="E1469" s="17">
        <v>1484</v>
      </c>
      <c r="F1469" s="18"/>
      <c r="G1469" s="27"/>
      <c r="H1469" s="1"/>
      <c r="I1469" s="1"/>
      <c r="J1469" s="1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:27" ht="16" customHeight="1">
      <c r="A1470" s="12"/>
      <c r="B1470" s="108"/>
      <c r="C1470" s="106"/>
      <c r="D1470" s="100" t="s">
        <v>835</v>
      </c>
      <c r="E1470" s="17">
        <v>1485</v>
      </c>
      <c r="F1470" s="18"/>
      <c r="G1470" s="27"/>
      <c r="H1470" s="1"/>
      <c r="I1470" s="1"/>
      <c r="J1470" s="1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:27" ht="16" customHeight="1">
      <c r="A1471" s="12"/>
      <c r="B1471" s="108"/>
      <c r="C1471" s="106"/>
      <c r="D1471" s="100" t="s">
        <v>14</v>
      </c>
      <c r="E1471" s="17">
        <v>1486</v>
      </c>
      <c r="F1471" s="18"/>
      <c r="G1471" s="27"/>
      <c r="H1471" s="1"/>
      <c r="I1471" s="1"/>
      <c r="J1471" s="1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:27" ht="16" customHeight="1">
      <c r="A1472" s="12"/>
      <c r="B1472" s="108"/>
      <c r="C1472" s="106"/>
      <c r="D1472" s="100" t="s">
        <v>836</v>
      </c>
      <c r="E1472" s="17">
        <v>1487</v>
      </c>
      <c r="F1472" s="18"/>
      <c r="G1472" s="27"/>
      <c r="H1472" s="1"/>
      <c r="I1472" s="1"/>
      <c r="J1472" s="1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spans="1:27" ht="16" customHeight="1">
      <c r="A1473" s="12"/>
      <c r="B1473" s="108"/>
      <c r="C1473" s="106"/>
      <c r="D1473" s="100" t="s">
        <v>837</v>
      </c>
      <c r="E1473" s="17">
        <v>1488</v>
      </c>
      <c r="F1473" s="18"/>
      <c r="G1473" s="27"/>
      <c r="H1473" s="1"/>
      <c r="I1473" s="1"/>
      <c r="J1473" s="1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spans="1:27" ht="16" customHeight="1">
      <c r="A1474" s="12"/>
      <c r="B1474" s="108"/>
      <c r="C1474" s="106"/>
      <c r="D1474" s="100" t="s">
        <v>838</v>
      </c>
      <c r="E1474" s="17">
        <v>1489</v>
      </c>
      <c r="F1474" s="18"/>
      <c r="G1474" s="27"/>
      <c r="H1474" s="1"/>
      <c r="I1474" s="1"/>
      <c r="J1474" s="1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spans="1:27" ht="16" customHeight="1">
      <c r="A1475" s="12"/>
      <c r="B1475" s="108"/>
      <c r="C1475" s="106"/>
      <c r="D1475" s="100" t="s">
        <v>259</v>
      </c>
      <c r="E1475" s="17">
        <v>1490</v>
      </c>
      <c r="F1475" s="18"/>
      <c r="G1475" s="27"/>
      <c r="H1475" s="1"/>
      <c r="I1475" s="1"/>
      <c r="J1475" s="1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spans="1:27" ht="16" customHeight="1">
      <c r="A1476" s="12"/>
      <c r="B1476" s="108"/>
      <c r="C1476" s="106"/>
      <c r="D1476" s="100" t="s">
        <v>839</v>
      </c>
      <c r="E1476" s="17">
        <v>1491</v>
      </c>
      <c r="F1476" s="18"/>
      <c r="G1476" s="27"/>
      <c r="H1476" s="1"/>
      <c r="I1476" s="1"/>
      <c r="J1476" s="1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:27" ht="16" customHeight="1">
      <c r="A1477" s="12"/>
      <c r="B1477" s="108"/>
      <c r="C1477" s="106"/>
      <c r="D1477" s="100" t="s">
        <v>840</v>
      </c>
      <c r="E1477" s="17">
        <v>1492</v>
      </c>
      <c r="F1477" s="18"/>
      <c r="G1477" s="27"/>
      <c r="H1477" s="1"/>
      <c r="I1477" s="1"/>
      <c r="J1477" s="1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:27" ht="16" customHeight="1">
      <c r="A1478" s="12"/>
      <c r="B1478" s="108"/>
      <c r="C1478" s="106"/>
      <c r="D1478" s="100" t="s">
        <v>841</v>
      </c>
      <c r="E1478" s="17">
        <v>1493</v>
      </c>
      <c r="F1478" s="18"/>
      <c r="G1478" s="27"/>
      <c r="H1478" s="1"/>
      <c r="I1478" s="1"/>
      <c r="J1478" s="1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:27" ht="16" customHeight="1">
      <c r="A1479" s="12"/>
      <c r="B1479" s="108"/>
      <c r="C1479" s="106"/>
      <c r="D1479" s="100" t="s">
        <v>842</v>
      </c>
      <c r="E1479" s="17">
        <v>1494</v>
      </c>
      <c r="F1479" s="18"/>
      <c r="G1479" s="27"/>
      <c r="H1479" s="1"/>
      <c r="I1479" s="1"/>
      <c r="J1479" s="1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:27" ht="16" customHeight="1">
      <c r="A1480" s="12"/>
      <c r="B1480" s="109" t="s">
        <v>829</v>
      </c>
      <c r="C1480" s="107" t="s">
        <v>843</v>
      </c>
      <c r="D1480" s="100" t="s">
        <v>18</v>
      </c>
      <c r="E1480" s="17">
        <v>1753</v>
      </c>
      <c r="F1480" s="18">
        <v>7900</v>
      </c>
      <c r="G1480" s="27"/>
      <c r="H1480" s="1"/>
      <c r="I1480" s="1"/>
      <c r="J1480" s="1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 spans="1:27" ht="16" customHeight="1">
      <c r="A1481" s="12"/>
      <c r="B1481" s="108"/>
      <c r="C1481" s="106" t="s">
        <v>832</v>
      </c>
      <c r="D1481" s="100" t="s">
        <v>20</v>
      </c>
      <c r="E1481" s="17">
        <v>1754</v>
      </c>
      <c r="F1481" s="18"/>
      <c r="G1481" s="27"/>
      <c r="H1481" s="1"/>
      <c r="I1481" s="1"/>
      <c r="J1481" s="1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 spans="1:27" ht="16" customHeight="1">
      <c r="A1482" s="12"/>
      <c r="B1482" s="108"/>
      <c r="C1482" s="106"/>
      <c r="D1482" s="100" t="s">
        <v>14</v>
      </c>
      <c r="E1482" s="17">
        <v>1755</v>
      </c>
      <c r="F1482" s="18"/>
      <c r="G1482" s="27"/>
      <c r="H1482" s="1"/>
      <c r="I1482" s="1"/>
      <c r="J1482" s="1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 spans="1:27" ht="16" customHeight="1">
      <c r="A1483" s="12"/>
      <c r="B1483" s="108"/>
      <c r="C1483" s="106"/>
      <c r="D1483" s="100" t="s">
        <v>836</v>
      </c>
      <c r="E1483" s="17">
        <v>1756</v>
      </c>
      <c r="F1483" s="18"/>
      <c r="G1483" s="27"/>
      <c r="H1483" s="1"/>
      <c r="I1483" s="1"/>
      <c r="J1483" s="1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 spans="1:27" ht="16" customHeight="1">
      <c r="A1484" s="12"/>
      <c r="B1484" s="108"/>
      <c r="C1484" s="106"/>
      <c r="D1484" s="100" t="s">
        <v>837</v>
      </c>
      <c r="E1484" s="17">
        <v>1757</v>
      </c>
      <c r="F1484" s="18"/>
      <c r="G1484" s="27"/>
      <c r="H1484" s="1"/>
      <c r="I1484" s="1"/>
      <c r="J1484" s="1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 spans="1:27" ht="16" customHeight="1">
      <c r="A1485" s="12"/>
      <c r="B1485" s="108"/>
      <c r="C1485" s="106"/>
      <c r="D1485" s="100" t="s">
        <v>844</v>
      </c>
      <c r="E1485" s="17">
        <v>1758</v>
      </c>
      <c r="F1485" s="18"/>
      <c r="G1485" s="27"/>
      <c r="H1485" s="1"/>
      <c r="I1485" s="1"/>
      <c r="J1485" s="1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spans="1:27" ht="16" customHeight="1">
      <c r="A1486" s="12"/>
      <c r="B1486" s="109">
        <v>981</v>
      </c>
      <c r="C1486" s="107" t="s">
        <v>845</v>
      </c>
      <c r="D1486" s="100" t="s">
        <v>12</v>
      </c>
      <c r="E1486" s="17">
        <v>3429</v>
      </c>
      <c r="F1486" s="18">
        <v>1295</v>
      </c>
      <c r="G1486" s="27"/>
      <c r="H1486" s="1"/>
      <c r="I1486" s="1"/>
      <c r="J1486" s="1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 ht="16" customHeight="1">
      <c r="A1487" s="12"/>
      <c r="B1487" s="109" t="s">
        <v>846</v>
      </c>
      <c r="C1487" s="107" t="s">
        <v>847</v>
      </c>
      <c r="D1487" s="100" t="s">
        <v>638</v>
      </c>
      <c r="E1487" s="17">
        <v>2023</v>
      </c>
      <c r="F1487" s="18">
        <v>1395</v>
      </c>
      <c r="G1487" s="27"/>
      <c r="H1487" s="1"/>
      <c r="I1487" s="1"/>
      <c r="J1487" s="1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 ht="16" customHeight="1">
      <c r="A1488" s="12"/>
      <c r="B1488" s="108"/>
      <c r="C1488" s="106"/>
      <c r="D1488" s="100" t="s">
        <v>848</v>
      </c>
      <c r="E1488" s="17">
        <v>2024</v>
      </c>
      <c r="F1488" s="18">
        <v>1795</v>
      </c>
      <c r="G1488" s="27"/>
      <c r="H1488" s="1"/>
      <c r="I1488" s="1"/>
      <c r="J1488" s="1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:27" ht="16" customHeight="1">
      <c r="A1489" s="12"/>
      <c r="B1489" s="108"/>
      <c r="C1489" s="106"/>
      <c r="D1489" s="100" t="s">
        <v>639</v>
      </c>
      <c r="E1489" s="17">
        <v>2025</v>
      </c>
      <c r="F1489" s="18">
        <v>995</v>
      </c>
      <c r="G1489" s="27"/>
      <c r="H1489" s="1"/>
      <c r="I1489" s="1"/>
      <c r="J1489" s="1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:27" ht="16" customHeight="1">
      <c r="A1490" s="12"/>
      <c r="B1490" s="108"/>
      <c r="C1490" s="106"/>
      <c r="D1490" s="100"/>
      <c r="E1490" s="13"/>
      <c r="F1490" s="18">
        <v>0</v>
      </c>
      <c r="G1490" s="27"/>
      <c r="H1490" s="1"/>
      <c r="I1490" s="1"/>
      <c r="J1490" s="1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spans="1:27" ht="16" customHeight="1">
      <c r="A1491" s="12"/>
      <c r="B1491" s="109" t="s">
        <v>849</v>
      </c>
      <c r="C1491" s="107" t="s">
        <v>850</v>
      </c>
      <c r="D1491" s="100" t="s">
        <v>18</v>
      </c>
      <c r="E1491" s="17">
        <v>2308</v>
      </c>
      <c r="F1491" s="18">
        <v>4136</v>
      </c>
      <c r="G1491" s="27"/>
      <c r="H1491" s="1"/>
      <c r="I1491" s="1"/>
      <c r="J1491" s="1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 ht="16" customHeight="1">
      <c r="A1492" s="12"/>
      <c r="B1492" s="108"/>
      <c r="C1492" s="106"/>
      <c r="D1492" s="100" t="s">
        <v>638</v>
      </c>
      <c r="E1492" s="17">
        <v>2309</v>
      </c>
      <c r="F1492" s="18">
        <v>1195</v>
      </c>
      <c r="G1492" s="27"/>
      <c r="H1492" s="1"/>
      <c r="I1492" s="1"/>
      <c r="J1492" s="1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spans="1:27" ht="16" customHeight="1">
      <c r="A1493" s="12"/>
      <c r="B1493" s="108"/>
      <c r="C1493" s="106"/>
      <c r="D1493" s="100" t="s">
        <v>29</v>
      </c>
      <c r="E1493" s="17">
        <v>2255</v>
      </c>
      <c r="F1493" s="18">
        <v>995</v>
      </c>
      <c r="G1493" s="27"/>
      <c r="H1493" s="1"/>
      <c r="I1493" s="1"/>
      <c r="J1493" s="1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spans="1:27" ht="16" customHeight="1">
      <c r="A1494" s="12"/>
      <c r="B1494" s="109">
        <v>981</v>
      </c>
      <c r="C1494" s="107" t="s">
        <v>850</v>
      </c>
      <c r="D1494" s="100" t="s">
        <v>18</v>
      </c>
      <c r="E1494" s="17">
        <v>3164</v>
      </c>
      <c r="F1494" s="18">
        <v>4136</v>
      </c>
      <c r="G1494" s="27"/>
      <c r="H1494" s="1"/>
      <c r="I1494" s="1"/>
      <c r="J1494" s="1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spans="1:27" ht="16" customHeight="1">
      <c r="A1495" s="12"/>
      <c r="B1495" s="108"/>
      <c r="C1495" s="106"/>
      <c r="D1495" s="100" t="s">
        <v>26</v>
      </c>
      <c r="E1495" s="17" t="s">
        <v>851</v>
      </c>
      <c r="F1495" s="18">
        <v>1195</v>
      </c>
      <c r="G1495" s="27"/>
      <c r="H1495" s="1"/>
      <c r="I1495" s="1"/>
      <c r="J1495" s="1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spans="1:27" ht="16" customHeight="1">
      <c r="A1496" s="12"/>
      <c r="B1496" s="108"/>
      <c r="C1496" s="106"/>
      <c r="D1496" s="100" t="s">
        <v>852</v>
      </c>
      <c r="E1496" s="17">
        <v>3168</v>
      </c>
      <c r="F1496" s="18">
        <v>445</v>
      </c>
      <c r="G1496" s="27"/>
      <c r="H1496" s="1"/>
      <c r="I1496" s="1"/>
      <c r="J1496" s="1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spans="1:27" ht="16" customHeight="1">
      <c r="A1497" s="12"/>
      <c r="B1497" s="108"/>
      <c r="C1497" s="106"/>
      <c r="D1497" s="100" t="s">
        <v>853</v>
      </c>
      <c r="E1497" s="17">
        <v>3169</v>
      </c>
      <c r="F1497" s="18">
        <v>645</v>
      </c>
      <c r="G1497" s="27"/>
      <c r="H1497" s="1"/>
      <c r="I1497" s="1"/>
      <c r="J1497" s="1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spans="1:27" ht="16" customHeight="1">
      <c r="A1498" s="12"/>
      <c r="B1498" s="108"/>
      <c r="C1498" s="106"/>
      <c r="D1498" s="100" t="s">
        <v>854</v>
      </c>
      <c r="E1498" s="17">
        <v>3166</v>
      </c>
      <c r="F1498" s="18">
        <v>1395</v>
      </c>
      <c r="G1498" s="27"/>
      <c r="H1498" s="1"/>
      <c r="I1498" s="1"/>
      <c r="J1498" s="1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spans="1:27" ht="16" customHeight="1">
      <c r="A1499" s="12"/>
      <c r="B1499" s="108"/>
      <c r="C1499" s="106"/>
      <c r="D1499" s="100"/>
      <c r="E1499" s="13"/>
      <c r="F1499" s="18" t="s">
        <v>807</v>
      </c>
      <c r="G1499" s="27"/>
      <c r="H1499" s="1"/>
      <c r="I1499" s="1"/>
      <c r="J1499" s="1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spans="1:27" ht="16" customHeight="1">
      <c r="A1500" s="12"/>
      <c r="B1500" s="109">
        <v>981</v>
      </c>
      <c r="C1500" s="107" t="s">
        <v>208</v>
      </c>
      <c r="D1500" s="100" t="s">
        <v>65</v>
      </c>
      <c r="E1500" s="17">
        <v>3163</v>
      </c>
      <c r="F1500" s="18">
        <v>3495</v>
      </c>
      <c r="G1500" s="27"/>
      <c r="H1500" s="1"/>
      <c r="I1500" s="1"/>
      <c r="J1500" s="1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spans="1:27" ht="16" customHeight="1">
      <c r="A1501" s="12"/>
      <c r="B1501" s="108"/>
      <c r="C1501" s="106"/>
      <c r="D1501" s="100" t="s">
        <v>530</v>
      </c>
      <c r="E1501" s="17">
        <v>3162</v>
      </c>
      <c r="F1501" s="18">
        <v>2495</v>
      </c>
      <c r="G1501" s="27"/>
      <c r="H1501" s="1"/>
      <c r="I1501" s="1"/>
      <c r="J1501" s="1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spans="1:27" ht="16" customHeight="1">
      <c r="A1502" s="12"/>
      <c r="B1502" s="108"/>
      <c r="C1502" s="106"/>
      <c r="D1502" s="100" t="s">
        <v>712</v>
      </c>
      <c r="E1502" s="17">
        <v>3167</v>
      </c>
      <c r="F1502" s="18">
        <v>295</v>
      </c>
      <c r="G1502" s="27"/>
      <c r="H1502" s="1"/>
      <c r="I1502" s="1"/>
      <c r="J1502" s="1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:27" ht="16" customHeight="1">
      <c r="A1503" s="12"/>
      <c r="B1503" s="109">
        <v>981</v>
      </c>
      <c r="C1503" s="107" t="s">
        <v>855</v>
      </c>
      <c r="D1503" s="100" t="s">
        <v>53</v>
      </c>
      <c r="E1503" s="17">
        <v>3232</v>
      </c>
      <c r="F1503" s="18">
        <v>995</v>
      </c>
      <c r="G1503" s="27"/>
      <c r="H1503" s="1"/>
      <c r="I1503" s="1"/>
      <c r="J1503" s="1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spans="1:27" ht="16" customHeight="1">
      <c r="A1504" s="12"/>
      <c r="B1504" s="109">
        <v>981</v>
      </c>
      <c r="C1504" s="107" t="s">
        <v>856</v>
      </c>
      <c r="D1504" s="100" t="s">
        <v>18</v>
      </c>
      <c r="E1504" s="17">
        <v>3199</v>
      </c>
      <c r="F1504" s="18">
        <v>4136</v>
      </c>
      <c r="G1504" s="27"/>
      <c r="H1504" s="1"/>
      <c r="I1504" s="1"/>
      <c r="J1504" s="1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:27" ht="16" customHeight="1">
      <c r="A1505" s="12"/>
      <c r="B1505" s="109">
        <v>981</v>
      </c>
      <c r="C1505" s="107" t="s">
        <v>857</v>
      </c>
      <c r="D1505" s="100" t="s">
        <v>18</v>
      </c>
      <c r="E1505" s="17">
        <v>3201</v>
      </c>
      <c r="F1505" s="18">
        <v>4136</v>
      </c>
      <c r="G1505" s="27"/>
      <c r="H1505" s="1"/>
      <c r="I1505" s="1"/>
      <c r="J1505" s="1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spans="1:27" ht="16" customHeight="1">
      <c r="A1506" s="12"/>
      <c r="B1506" s="108"/>
      <c r="C1506" s="106"/>
      <c r="D1506" s="100" t="s">
        <v>811</v>
      </c>
      <c r="E1506" s="17">
        <v>0</v>
      </c>
      <c r="F1506" s="18">
        <v>995</v>
      </c>
      <c r="G1506" s="27"/>
      <c r="H1506" s="1"/>
      <c r="I1506" s="1"/>
      <c r="J1506" s="1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spans="1:27" ht="16" customHeight="1">
      <c r="A1507" s="12"/>
      <c r="B1507" s="108"/>
      <c r="C1507" s="106"/>
      <c r="D1507" s="100" t="s">
        <v>858</v>
      </c>
      <c r="E1507" s="17" t="s">
        <v>859</v>
      </c>
      <c r="F1507" s="18">
        <v>995</v>
      </c>
      <c r="G1507" s="27"/>
      <c r="H1507" s="1"/>
      <c r="I1507" s="1"/>
      <c r="J1507" s="1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spans="1:27" ht="16" customHeight="1">
      <c r="A1508" s="12"/>
      <c r="B1508" s="108"/>
      <c r="C1508" s="106"/>
      <c r="D1508" s="100" t="s">
        <v>20</v>
      </c>
      <c r="E1508" s="17">
        <v>3202</v>
      </c>
      <c r="F1508" s="18">
        <v>1095</v>
      </c>
      <c r="G1508" s="27"/>
      <c r="H1508" s="1"/>
      <c r="I1508" s="1"/>
      <c r="J1508" s="1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spans="1:27" ht="16" customHeight="1">
      <c r="A1509" s="12"/>
      <c r="B1509" s="108"/>
      <c r="C1509" s="106"/>
      <c r="D1509" s="100" t="s">
        <v>860</v>
      </c>
      <c r="E1509" s="17">
        <v>3200</v>
      </c>
      <c r="F1509" s="18">
        <v>3695</v>
      </c>
      <c r="G1509" s="27"/>
      <c r="H1509" s="1"/>
      <c r="I1509" s="1"/>
      <c r="J1509" s="1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spans="1:27" ht="16" customHeight="1">
      <c r="A1510" s="12"/>
      <c r="B1510" s="108"/>
      <c r="C1510" s="106"/>
      <c r="D1510" s="100" t="s">
        <v>530</v>
      </c>
      <c r="E1510" s="17">
        <v>3203</v>
      </c>
      <c r="F1510" s="18">
        <v>2495</v>
      </c>
      <c r="G1510" s="27"/>
      <c r="H1510" s="1"/>
      <c r="I1510" s="1"/>
      <c r="J1510" s="1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:27" ht="16" customHeight="1">
      <c r="A1511" s="12"/>
      <c r="B1511" s="108"/>
      <c r="C1511" s="106"/>
      <c r="D1511" s="100" t="s">
        <v>712</v>
      </c>
      <c r="E1511" s="17">
        <v>3167</v>
      </c>
      <c r="F1511" s="18">
        <v>295</v>
      </c>
      <c r="G1511" s="27"/>
      <c r="H1511" s="1"/>
      <c r="I1511" s="1"/>
      <c r="J1511" s="1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spans="1:27" ht="16" customHeight="1">
      <c r="A1512" s="12"/>
      <c r="B1512" s="109">
        <v>996</v>
      </c>
      <c r="C1512" s="107" t="s">
        <v>861</v>
      </c>
      <c r="D1512" s="100" t="s">
        <v>34</v>
      </c>
      <c r="E1512" s="17">
        <v>3195</v>
      </c>
      <c r="F1512" s="18">
        <v>3995</v>
      </c>
      <c r="G1512" s="27"/>
      <c r="H1512" s="1"/>
      <c r="I1512" s="1"/>
      <c r="J1512" s="1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spans="1:27" ht="16" customHeight="1">
      <c r="A1513" s="12"/>
      <c r="B1513" s="109" t="s">
        <v>862</v>
      </c>
      <c r="C1513" s="107" t="s">
        <v>856</v>
      </c>
      <c r="D1513" s="100" t="s">
        <v>18</v>
      </c>
      <c r="E1513" s="17">
        <v>2295</v>
      </c>
      <c r="F1513" s="18">
        <v>4136</v>
      </c>
      <c r="G1513" s="27"/>
      <c r="H1513" s="1"/>
      <c r="I1513" s="1"/>
      <c r="J1513" s="1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spans="1:27" ht="16" customHeight="1">
      <c r="A1514" s="12"/>
      <c r="B1514" s="109" t="s">
        <v>863</v>
      </c>
      <c r="C1514" s="107" t="s">
        <v>864</v>
      </c>
      <c r="D1514" s="100" t="s">
        <v>811</v>
      </c>
      <c r="E1514" s="17">
        <v>2296</v>
      </c>
      <c r="F1514" s="18">
        <v>995</v>
      </c>
      <c r="G1514" s="27"/>
      <c r="H1514" s="1"/>
      <c r="I1514" s="1"/>
      <c r="J1514" s="1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spans="1:27" ht="16" customHeight="1">
      <c r="A1515" s="12"/>
      <c r="B1515" s="108"/>
      <c r="C1515" s="106"/>
      <c r="D1515" s="100" t="s">
        <v>865</v>
      </c>
      <c r="E1515" s="17" t="s">
        <v>859</v>
      </c>
      <c r="F1515" s="18">
        <v>995</v>
      </c>
      <c r="G1515" s="27"/>
      <c r="H1515" s="1"/>
      <c r="I1515" s="1"/>
      <c r="J1515" s="1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spans="1:27" ht="16" customHeight="1">
      <c r="A1516" s="12"/>
      <c r="B1516" s="109">
        <v>911</v>
      </c>
      <c r="C1516" s="107" t="s">
        <v>866</v>
      </c>
      <c r="D1516" s="100" t="s">
        <v>22</v>
      </c>
      <c r="E1516" s="17">
        <v>2337</v>
      </c>
      <c r="F1516" s="18">
        <v>318</v>
      </c>
      <c r="G1516" s="27"/>
      <c r="H1516" s="1"/>
      <c r="I1516" s="1"/>
      <c r="J1516" s="1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spans="1:27" ht="16" customHeight="1">
      <c r="A1517" s="12"/>
      <c r="B1517" s="109">
        <v>997</v>
      </c>
      <c r="C1517" s="107" t="s">
        <v>25</v>
      </c>
      <c r="D1517" s="100" t="s">
        <v>18</v>
      </c>
      <c r="E1517" s="17">
        <v>3421</v>
      </c>
      <c r="F1517" s="18">
        <v>764</v>
      </c>
      <c r="G1517" s="27"/>
      <c r="H1517" s="1"/>
      <c r="I1517" s="1"/>
      <c r="J1517" s="1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spans="1:27" ht="16" customHeight="1">
      <c r="A1518" s="12"/>
      <c r="B1518" s="109">
        <v>2009</v>
      </c>
      <c r="C1518" s="106" t="s">
        <v>669</v>
      </c>
      <c r="D1518" s="100" t="s">
        <v>20</v>
      </c>
      <c r="E1518" s="17">
        <v>3422</v>
      </c>
      <c r="F1518" s="18">
        <v>764</v>
      </c>
      <c r="G1518" s="27"/>
      <c r="H1518" s="1"/>
      <c r="I1518" s="1"/>
      <c r="J1518" s="1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:27" ht="16" customHeight="1">
      <c r="A1519" s="12"/>
      <c r="B1519" s="108"/>
      <c r="C1519" s="120">
        <v>11995</v>
      </c>
      <c r="D1519" s="100" t="s">
        <v>14</v>
      </c>
      <c r="E1519" s="17">
        <v>3423</v>
      </c>
      <c r="F1519" s="18">
        <v>764</v>
      </c>
      <c r="G1519" s="27"/>
      <c r="H1519" s="1"/>
      <c r="I1519" s="1"/>
      <c r="J1519" s="1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spans="1:27" ht="16" customHeight="1">
      <c r="A1520" s="12"/>
      <c r="B1520" s="108"/>
      <c r="C1520" s="106" t="s">
        <v>867</v>
      </c>
      <c r="D1520" s="100" t="s">
        <v>868</v>
      </c>
      <c r="E1520" s="17">
        <v>3424</v>
      </c>
      <c r="F1520" s="18">
        <v>3495</v>
      </c>
      <c r="G1520" s="27"/>
      <c r="H1520" s="1"/>
      <c r="I1520" s="1"/>
      <c r="J1520" s="1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spans="1:27" ht="16" customHeight="1">
      <c r="A1521" s="12"/>
      <c r="B1521" s="108"/>
      <c r="C1521" s="120">
        <v>14995</v>
      </c>
      <c r="D1521" s="100" t="s">
        <v>212</v>
      </c>
      <c r="E1521" s="17">
        <v>3425</v>
      </c>
      <c r="F1521" s="18">
        <v>2495</v>
      </c>
      <c r="G1521" s="27"/>
      <c r="H1521" s="1"/>
      <c r="I1521" s="1"/>
      <c r="J1521" s="1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spans="1:27" ht="16" customHeight="1">
      <c r="A1522" s="12"/>
      <c r="B1522" s="108"/>
      <c r="C1522" s="106"/>
      <c r="D1522" s="100" t="s">
        <v>869</v>
      </c>
      <c r="E1522" s="17">
        <v>3426</v>
      </c>
      <c r="F1522" s="18">
        <v>3995</v>
      </c>
      <c r="G1522" s="27"/>
      <c r="H1522" s="1"/>
      <c r="I1522" s="1"/>
      <c r="J1522" s="1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spans="1:27" ht="16" customHeight="1">
      <c r="A1523" s="12"/>
      <c r="B1523" s="108"/>
      <c r="C1523" s="107" t="s">
        <v>870</v>
      </c>
      <c r="D1523" s="100" t="s">
        <v>871</v>
      </c>
      <c r="E1523" s="17" t="s">
        <v>872</v>
      </c>
      <c r="F1523" s="18">
        <v>4495</v>
      </c>
      <c r="G1523" s="27"/>
      <c r="H1523" s="1"/>
      <c r="I1523" s="1"/>
      <c r="J1523" s="1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spans="1:27" ht="16" customHeight="1">
      <c r="A1524" s="12"/>
      <c r="B1524" s="108"/>
      <c r="C1524" s="106"/>
      <c r="D1524" s="100" t="s">
        <v>873</v>
      </c>
      <c r="E1524" s="17" t="s">
        <v>874</v>
      </c>
      <c r="F1524" s="18">
        <v>1295</v>
      </c>
      <c r="G1524" s="27"/>
      <c r="H1524" s="1"/>
      <c r="I1524" s="1"/>
      <c r="J1524" s="1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spans="1:27" ht="26" customHeight="1">
      <c r="A1525" s="12"/>
      <c r="B1525" s="117" t="s">
        <v>875</v>
      </c>
      <c r="C1525" s="107" t="s">
        <v>876</v>
      </c>
      <c r="D1525" s="100" t="s">
        <v>18</v>
      </c>
      <c r="E1525" s="17">
        <v>1322</v>
      </c>
      <c r="F1525" s="18">
        <v>2900</v>
      </c>
      <c r="G1525" s="27"/>
      <c r="H1525" s="1"/>
      <c r="I1525" s="1"/>
      <c r="J1525" s="1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spans="1:27" ht="16" customHeight="1">
      <c r="A1526" s="12"/>
      <c r="B1526" s="108"/>
      <c r="C1526" s="107" t="s">
        <v>877</v>
      </c>
      <c r="D1526" s="100" t="s">
        <v>20</v>
      </c>
      <c r="E1526" s="17">
        <v>1323</v>
      </c>
      <c r="F1526" s="18">
        <v>2700</v>
      </c>
      <c r="G1526" s="27"/>
      <c r="H1526" s="1"/>
      <c r="I1526" s="1"/>
      <c r="J1526" s="1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spans="1:27" ht="16" customHeight="1">
      <c r="A1527" s="12"/>
      <c r="B1527" s="108"/>
      <c r="C1527" s="106" t="s">
        <v>878</v>
      </c>
      <c r="D1527" s="100" t="s">
        <v>14</v>
      </c>
      <c r="E1527" s="17">
        <v>1324</v>
      </c>
      <c r="F1527" s="18">
        <v>2800</v>
      </c>
      <c r="G1527" s="27"/>
      <c r="H1527" s="1"/>
      <c r="I1527" s="1"/>
      <c r="J1527" s="1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spans="1:27" ht="16" customHeight="1">
      <c r="A1528" s="12"/>
      <c r="B1528" s="108"/>
      <c r="C1528" s="118" t="s">
        <v>879</v>
      </c>
      <c r="D1528" s="100" t="s">
        <v>65</v>
      </c>
      <c r="E1528" s="17">
        <v>1329</v>
      </c>
      <c r="F1528" s="18">
        <v>4200</v>
      </c>
      <c r="G1528" s="27"/>
      <c r="H1528" s="1"/>
      <c r="I1528" s="1"/>
      <c r="J1528" s="1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spans="1:27" ht="16" customHeight="1">
      <c r="A1529" s="12"/>
      <c r="B1529" s="108"/>
      <c r="C1529" s="118">
        <v>-26500</v>
      </c>
      <c r="D1529" s="100" t="s">
        <v>212</v>
      </c>
      <c r="E1529" s="17">
        <v>1330</v>
      </c>
      <c r="F1529" s="18">
        <v>3600</v>
      </c>
      <c r="G1529" s="27"/>
      <c r="H1529" s="1"/>
      <c r="I1529" s="1"/>
      <c r="J1529" s="1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spans="1:27" ht="16" customHeight="1">
      <c r="A1530" s="12"/>
      <c r="B1530" s="108"/>
      <c r="C1530" s="106" t="s">
        <v>880</v>
      </c>
      <c r="D1530" s="100" t="s">
        <v>60</v>
      </c>
      <c r="E1530" s="17">
        <v>1325</v>
      </c>
      <c r="F1530" s="18">
        <v>4500</v>
      </c>
      <c r="G1530" s="27"/>
      <c r="H1530" s="1"/>
      <c r="I1530" s="1"/>
      <c r="J1530" s="1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spans="1:27" ht="16" customHeight="1">
      <c r="A1531" s="12"/>
      <c r="B1531" s="108"/>
      <c r="C1531" s="118">
        <v>-42900</v>
      </c>
      <c r="D1531" s="100" t="s">
        <v>61</v>
      </c>
      <c r="E1531" s="17">
        <v>1326</v>
      </c>
      <c r="F1531" s="18">
        <v>5200</v>
      </c>
      <c r="G1531" s="27"/>
      <c r="H1531" s="1"/>
      <c r="I1531" s="1"/>
      <c r="J1531" s="1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spans="1:27" ht="16" customHeight="1">
      <c r="A1532" s="12"/>
      <c r="B1532" s="108"/>
      <c r="C1532" s="106"/>
      <c r="D1532" s="100" t="s">
        <v>340</v>
      </c>
      <c r="E1532" s="17">
        <v>1327</v>
      </c>
      <c r="F1532" s="18">
        <v>1200</v>
      </c>
      <c r="G1532" s="27"/>
      <c r="H1532" s="1"/>
      <c r="I1532" s="1"/>
      <c r="J1532" s="1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spans="1:27" ht="16" customHeight="1">
      <c r="A1533" s="12"/>
      <c r="B1533" s="108"/>
      <c r="C1533" s="106"/>
      <c r="D1533" s="100" t="s">
        <v>26</v>
      </c>
      <c r="E1533" s="17">
        <v>1328</v>
      </c>
      <c r="F1533" s="18">
        <v>1400</v>
      </c>
      <c r="G1533" s="27"/>
      <c r="H1533" s="1"/>
      <c r="I1533" s="1"/>
      <c r="J1533" s="1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spans="1:27" ht="16" customHeight="1">
      <c r="A1534" s="12"/>
      <c r="B1534" s="108"/>
      <c r="C1534" s="106"/>
      <c r="D1534" s="100" t="s">
        <v>29</v>
      </c>
      <c r="E1534" s="17">
        <v>1343</v>
      </c>
      <c r="F1534" s="18">
        <v>1600</v>
      </c>
      <c r="G1534" s="27"/>
      <c r="H1534" s="1"/>
      <c r="I1534" s="1"/>
      <c r="J1534" s="1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spans="1:27" ht="16" customHeight="1">
      <c r="A1535" s="12"/>
      <c r="B1535" s="108"/>
      <c r="C1535" s="106"/>
      <c r="D1535" s="100" t="s">
        <v>881</v>
      </c>
      <c r="E1535" s="17">
        <v>3218</v>
      </c>
      <c r="F1535" s="18">
        <v>850</v>
      </c>
      <c r="G1535" s="27"/>
      <c r="H1535" s="1"/>
      <c r="I1535" s="1"/>
      <c r="J1535" s="1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spans="1:27" ht="16" customHeight="1">
      <c r="A1536" s="12"/>
      <c r="B1536" s="108"/>
      <c r="C1536" s="106"/>
      <c r="D1536" s="100" t="s">
        <v>882</v>
      </c>
      <c r="E1536" s="17">
        <v>3139</v>
      </c>
      <c r="F1536" s="18">
        <v>1300</v>
      </c>
      <c r="G1536" s="27"/>
      <c r="H1536" s="1"/>
      <c r="I1536" s="1"/>
      <c r="J1536" s="1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spans="1:27" ht="16" customHeight="1">
      <c r="A1537" s="12"/>
      <c r="B1537" s="108"/>
      <c r="C1537" s="106"/>
      <c r="D1537" s="100" t="s">
        <v>671</v>
      </c>
      <c r="E1537" s="17" t="s">
        <v>672</v>
      </c>
      <c r="F1537" s="18">
        <v>2400</v>
      </c>
      <c r="G1537" s="27"/>
      <c r="H1537" s="1"/>
      <c r="I1537" s="1"/>
      <c r="J1537" s="1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:27" ht="16" customHeight="1">
      <c r="A1538" s="12"/>
      <c r="B1538" s="108"/>
      <c r="C1538" s="106"/>
      <c r="D1538" s="100" t="s">
        <v>883</v>
      </c>
      <c r="E1538" s="17" t="s">
        <v>884</v>
      </c>
      <c r="F1538" s="18">
        <v>950</v>
      </c>
      <c r="G1538" s="27"/>
      <c r="H1538" s="1"/>
      <c r="I1538" s="1"/>
      <c r="J1538" s="1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spans="1:27" ht="16" customHeight="1">
      <c r="A1539" s="12"/>
      <c r="B1539" s="108"/>
      <c r="C1539" s="106"/>
      <c r="D1539" s="100" t="s">
        <v>212</v>
      </c>
      <c r="E1539" s="17">
        <v>3069</v>
      </c>
      <c r="F1539" s="18">
        <v>3600</v>
      </c>
      <c r="G1539" s="27"/>
      <c r="H1539" s="1"/>
      <c r="I1539" s="1"/>
      <c r="J1539" s="1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spans="1:27" ht="16" customHeight="1">
      <c r="A1540" s="12"/>
      <c r="B1540" s="108"/>
      <c r="C1540" s="106"/>
      <c r="D1540" s="100" t="s">
        <v>885</v>
      </c>
      <c r="E1540" s="17" t="s">
        <v>886</v>
      </c>
      <c r="F1540" s="18">
        <v>650</v>
      </c>
      <c r="G1540" s="27"/>
      <c r="H1540" s="1"/>
      <c r="I1540" s="1"/>
      <c r="J1540" s="1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spans="1:27" ht="16" customHeight="1">
      <c r="A1541" s="12"/>
      <c r="B1541" s="108"/>
      <c r="C1541" s="106"/>
      <c r="D1541" s="100" t="s">
        <v>887</v>
      </c>
      <c r="E1541" s="17">
        <v>3142</v>
      </c>
      <c r="F1541" s="18">
        <v>650</v>
      </c>
      <c r="G1541" s="27"/>
      <c r="H1541" s="1"/>
      <c r="I1541" s="1"/>
      <c r="J1541" s="1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spans="1:27" ht="16" customHeight="1">
      <c r="A1542" s="12"/>
      <c r="B1542" s="108"/>
      <c r="C1542" s="106"/>
      <c r="D1542" s="100" t="s">
        <v>671</v>
      </c>
      <c r="E1542" s="17" t="s">
        <v>672</v>
      </c>
      <c r="F1542" s="18">
        <v>2400</v>
      </c>
      <c r="G1542" s="27"/>
      <c r="H1542" s="1"/>
      <c r="I1542" s="1"/>
      <c r="J1542" s="1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spans="1:27" ht="16" customHeight="1">
      <c r="A1543" s="12"/>
      <c r="B1543" s="108"/>
      <c r="C1543" s="106"/>
      <c r="D1543" s="100" t="s">
        <v>888</v>
      </c>
      <c r="E1543" s="17" t="s">
        <v>884</v>
      </c>
      <c r="F1543" s="18">
        <v>950</v>
      </c>
      <c r="G1543" s="27"/>
      <c r="H1543" s="1"/>
      <c r="I1543" s="1"/>
      <c r="J1543" s="1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spans="1:27" ht="16" customHeight="1">
      <c r="A1544" s="12"/>
      <c r="B1544" s="108"/>
      <c r="C1544" s="106"/>
      <c r="D1544" s="100" t="s">
        <v>65</v>
      </c>
      <c r="E1544" s="17">
        <v>3430</v>
      </c>
      <c r="F1544" s="18">
        <v>4200</v>
      </c>
      <c r="G1544" s="27"/>
      <c r="H1544" s="1"/>
      <c r="I1544" s="1"/>
      <c r="J1544" s="1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spans="1:27" ht="26" customHeight="1">
      <c r="A1545" s="12"/>
      <c r="B1545" s="117" t="s">
        <v>875</v>
      </c>
      <c r="C1545" s="107" t="s">
        <v>889</v>
      </c>
      <c r="D1545" s="100" t="s">
        <v>18</v>
      </c>
      <c r="E1545" s="17">
        <v>3030</v>
      </c>
      <c r="F1545" s="18">
        <v>3200</v>
      </c>
      <c r="G1545" s="27"/>
      <c r="H1545" s="1"/>
      <c r="I1545" s="1"/>
      <c r="J1545" s="1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spans="1:27" ht="16" customHeight="1">
      <c r="A1546" s="12"/>
      <c r="B1546" s="110" t="s">
        <v>890</v>
      </c>
      <c r="C1546" s="107" t="s">
        <v>344</v>
      </c>
      <c r="D1546" s="100" t="s">
        <v>26</v>
      </c>
      <c r="E1546" s="17">
        <v>0</v>
      </c>
      <c r="F1546" s="18">
        <v>2400</v>
      </c>
      <c r="G1546" s="27"/>
      <c r="H1546" s="1"/>
      <c r="I1546" s="1"/>
      <c r="J1546" s="1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spans="1:27" ht="16" customHeight="1">
      <c r="A1547" s="12"/>
      <c r="B1547" s="108"/>
      <c r="C1547" s="106" t="s">
        <v>832</v>
      </c>
      <c r="D1547" s="100" t="s">
        <v>60</v>
      </c>
      <c r="E1547" s="17">
        <v>3031</v>
      </c>
      <c r="F1547" s="18">
        <v>3100</v>
      </c>
      <c r="G1547" s="27"/>
      <c r="H1547" s="1"/>
      <c r="I1547" s="1"/>
      <c r="J1547" s="1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spans="1:27" ht="16" customHeight="1">
      <c r="A1548" s="12"/>
      <c r="B1548" s="108"/>
      <c r="C1548" s="118">
        <v>29900</v>
      </c>
      <c r="D1548" s="100" t="s">
        <v>891</v>
      </c>
      <c r="E1548" s="17">
        <v>0</v>
      </c>
      <c r="F1548" s="18">
        <v>1450</v>
      </c>
      <c r="G1548" s="27"/>
      <c r="H1548" s="1"/>
      <c r="I1548" s="1"/>
      <c r="J1548" s="1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spans="1:27" ht="16" customHeight="1">
      <c r="A1549" s="12"/>
      <c r="B1549" s="108"/>
      <c r="C1549" s="106"/>
      <c r="D1549" s="100" t="s">
        <v>20</v>
      </c>
      <c r="E1549" s="17">
        <v>1894</v>
      </c>
      <c r="F1549" s="18">
        <v>3200</v>
      </c>
      <c r="G1549" s="27"/>
      <c r="H1549" s="1"/>
      <c r="I1549" s="1"/>
      <c r="J1549" s="1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spans="1:27" ht="16" customHeight="1">
      <c r="A1550" s="12"/>
      <c r="B1550" s="108"/>
      <c r="C1550" s="106"/>
      <c r="D1550" s="100" t="s">
        <v>27</v>
      </c>
      <c r="E1550" s="17">
        <v>3063</v>
      </c>
      <c r="F1550" s="18">
        <v>2600</v>
      </c>
      <c r="G1550" s="27"/>
      <c r="H1550" s="1"/>
      <c r="I1550" s="1"/>
      <c r="J1550" s="1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spans="1:27" ht="16" customHeight="1">
      <c r="A1551" s="12"/>
      <c r="B1551" s="108"/>
      <c r="C1551" s="106"/>
      <c r="D1551" s="100" t="s">
        <v>65</v>
      </c>
      <c r="E1551" s="17">
        <v>2399</v>
      </c>
      <c r="F1551" s="18">
        <v>4900</v>
      </c>
      <c r="G1551" s="27"/>
      <c r="H1551" s="1"/>
      <c r="I1551" s="1"/>
      <c r="J1551" s="1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spans="1:27" ht="18" customHeight="1">
      <c r="A1552" s="12"/>
      <c r="B1552" s="108"/>
      <c r="C1552" s="106"/>
      <c r="D1552" s="100" t="s">
        <v>60</v>
      </c>
      <c r="E1552" s="17">
        <v>3032</v>
      </c>
      <c r="F1552" s="18">
        <v>3900</v>
      </c>
      <c r="G1552" s="27"/>
      <c r="H1552" s="1"/>
      <c r="I1552" s="1"/>
      <c r="J1552" s="1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spans="1:27" ht="16" customHeight="1">
      <c r="A1553" s="12"/>
      <c r="B1553" s="108"/>
      <c r="C1553" s="106"/>
      <c r="D1553" s="100" t="s">
        <v>61</v>
      </c>
      <c r="E1553" s="17">
        <v>3033</v>
      </c>
      <c r="F1553" s="18">
        <v>5200</v>
      </c>
      <c r="G1553" s="27"/>
      <c r="H1553" s="1"/>
      <c r="I1553" s="1"/>
      <c r="J1553" s="1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spans="1:27" ht="16" customHeight="1">
      <c r="A1554" s="12"/>
      <c r="B1554" s="108"/>
      <c r="C1554" s="106"/>
      <c r="D1554" s="100" t="s">
        <v>892</v>
      </c>
      <c r="E1554" s="17">
        <v>3034</v>
      </c>
      <c r="F1554" s="18">
        <v>5200</v>
      </c>
      <c r="G1554" s="27"/>
      <c r="H1554" s="1"/>
      <c r="I1554" s="1"/>
      <c r="J1554" s="1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spans="1:27" ht="16" customHeight="1">
      <c r="A1555" s="12"/>
      <c r="B1555" s="108"/>
      <c r="C1555" s="106"/>
      <c r="D1555" s="100" t="s">
        <v>29</v>
      </c>
      <c r="E1555" s="17">
        <v>3035</v>
      </c>
      <c r="F1555" s="18">
        <v>2300</v>
      </c>
      <c r="G1555" s="27"/>
      <c r="H1555" s="1"/>
      <c r="I1555" s="1"/>
      <c r="J1555" s="1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spans="1:27" ht="16" customHeight="1">
      <c r="A1556" s="12"/>
      <c r="B1556" s="108"/>
      <c r="C1556" s="106"/>
      <c r="D1556" s="100" t="s">
        <v>22</v>
      </c>
      <c r="E1556" s="17">
        <v>3036</v>
      </c>
      <c r="F1556" s="18">
        <v>3400</v>
      </c>
      <c r="G1556" s="27"/>
      <c r="H1556" s="1"/>
      <c r="I1556" s="1"/>
      <c r="J1556" s="1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spans="1:27" ht="16" customHeight="1">
      <c r="A1557" s="12"/>
      <c r="B1557" s="108"/>
      <c r="C1557" s="106"/>
      <c r="D1557" s="100" t="s">
        <v>33</v>
      </c>
      <c r="E1557" s="17">
        <v>3037</v>
      </c>
      <c r="F1557" s="18">
        <v>2200</v>
      </c>
      <c r="G1557" s="27"/>
      <c r="H1557" s="1"/>
      <c r="I1557" s="1"/>
      <c r="J1557" s="1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spans="1:27" ht="16" customHeight="1">
      <c r="A1558" s="12"/>
      <c r="B1558" s="108"/>
      <c r="C1558" s="106"/>
      <c r="D1558" s="100" t="s">
        <v>53</v>
      </c>
      <c r="E1558" s="17">
        <v>3038</v>
      </c>
      <c r="F1558" s="18">
        <v>2600</v>
      </c>
      <c r="G1558" s="27"/>
      <c r="H1558" s="1"/>
      <c r="I1558" s="1"/>
      <c r="J1558" s="1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spans="1:27" ht="26" customHeight="1">
      <c r="A1559" s="12"/>
      <c r="B1559" s="117" t="s">
        <v>875</v>
      </c>
      <c r="C1559" s="107" t="s">
        <v>893</v>
      </c>
      <c r="D1559" s="100" t="s">
        <v>18</v>
      </c>
      <c r="E1559" s="17">
        <v>1893</v>
      </c>
      <c r="F1559" s="18">
        <v>2900</v>
      </c>
      <c r="G1559" s="27"/>
      <c r="H1559" s="1"/>
      <c r="I1559" s="1"/>
      <c r="J1559" s="1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spans="1:27" ht="16" customHeight="1">
      <c r="A1560" s="12"/>
      <c r="B1560" s="108"/>
      <c r="C1560" s="107" t="s">
        <v>344</v>
      </c>
      <c r="D1560" s="100" t="s">
        <v>20</v>
      </c>
      <c r="E1560" s="17">
        <v>1894</v>
      </c>
      <c r="F1560" s="18">
        <v>2700</v>
      </c>
      <c r="G1560" s="27"/>
      <c r="H1560" s="1"/>
      <c r="I1560" s="1"/>
      <c r="J1560" s="1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spans="1:27" ht="16" customHeight="1">
      <c r="A1561" s="12"/>
      <c r="B1561" s="108"/>
      <c r="C1561" s="106" t="s">
        <v>832</v>
      </c>
      <c r="D1561" s="100" t="s">
        <v>14</v>
      </c>
      <c r="E1561" s="17">
        <v>1895</v>
      </c>
      <c r="F1561" s="18">
        <v>2100</v>
      </c>
      <c r="G1561" s="27"/>
      <c r="H1561" s="1"/>
      <c r="I1561" s="1"/>
      <c r="J1561" s="1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spans="1:27" ht="16" customHeight="1">
      <c r="A1562" s="12"/>
      <c r="B1562" s="108"/>
      <c r="C1562" s="118">
        <v>26995</v>
      </c>
      <c r="D1562" s="100" t="s">
        <v>60</v>
      </c>
      <c r="E1562" s="17">
        <v>1902</v>
      </c>
      <c r="F1562" s="18">
        <v>3900</v>
      </c>
      <c r="G1562" s="27"/>
      <c r="H1562" s="1"/>
      <c r="I1562" s="1"/>
      <c r="J1562" s="1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spans="1:27" ht="16" customHeight="1">
      <c r="A1563" s="12"/>
      <c r="B1563" s="108"/>
      <c r="C1563" s="106"/>
      <c r="D1563" s="100" t="s">
        <v>61</v>
      </c>
      <c r="E1563" s="17">
        <v>1903</v>
      </c>
      <c r="F1563" s="18">
        <v>5200</v>
      </c>
      <c r="G1563" s="27"/>
      <c r="H1563" s="1"/>
      <c r="I1563" s="1"/>
      <c r="J1563" s="1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spans="1:27" ht="16" customHeight="1">
      <c r="A1564" s="12"/>
      <c r="B1564" s="108"/>
      <c r="C1564" s="106"/>
      <c r="D1564" s="100" t="s">
        <v>26</v>
      </c>
      <c r="E1564" s="17">
        <v>1900</v>
      </c>
      <c r="F1564" s="18">
        <v>1800</v>
      </c>
      <c r="G1564" s="27"/>
      <c r="H1564" s="1"/>
      <c r="I1564" s="1"/>
      <c r="J1564" s="1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spans="1:27" ht="16" customHeight="1">
      <c r="A1565" s="12"/>
      <c r="B1565" s="108"/>
      <c r="C1565" s="106"/>
      <c r="D1565" s="100" t="s">
        <v>29</v>
      </c>
      <c r="E1565" s="17">
        <v>1901</v>
      </c>
      <c r="F1565" s="18">
        <v>1600</v>
      </c>
      <c r="G1565" s="27"/>
      <c r="H1565" s="1"/>
      <c r="I1565" s="1"/>
      <c r="J1565" s="1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:27" ht="16" customHeight="1">
      <c r="A1566" s="12"/>
      <c r="B1566" s="108"/>
      <c r="C1566" s="106"/>
      <c r="D1566" s="100" t="s">
        <v>22</v>
      </c>
      <c r="E1566" s="17">
        <v>1896</v>
      </c>
      <c r="F1566" s="18">
        <v>3400</v>
      </c>
      <c r="G1566" s="27"/>
      <c r="H1566" s="1"/>
      <c r="I1566" s="1"/>
      <c r="J1566" s="1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:27" ht="16" customHeight="1">
      <c r="A1567" s="12"/>
      <c r="B1567" s="108"/>
      <c r="C1567" s="106"/>
      <c r="D1567" s="100" t="s">
        <v>883</v>
      </c>
      <c r="E1567" s="17">
        <v>1897</v>
      </c>
      <c r="F1567" s="18">
        <v>1200</v>
      </c>
      <c r="G1567" s="27"/>
      <c r="H1567" s="1"/>
      <c r="I1567" s="1"/>
      <c r="J1567" s="1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spans="1:27" ht="16" customHeight="1">
      <c r="A1568" s="12"/>
      <c r="B1568" s="108"/>
      <c r="C1568" s="106"/>
      <c r="D1568" s="100" t="s">
        <v>206</v>
      </c>
      <c r="E1568" s="17">
        <v>1898</v>
      </c>
      <c r="F1568" s="18">
        <v>2400</v>
      </c>
      <c r="G1568" s="27"/>
      <c r="H1568" s="1"/>
      <c r="I1568" s="1"/>
      <c r="J1568" s="1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spans="1:27" ht="16" customHeight="1">
      <c r="A1569" s="12"/>
      <c r="B1569" s="108"/>
      <c r="C1569" s="106"/>
      <c r="D1569" s="100" t="s">
        <v>34</v>
      </c>
      <c r="E1569" s="17">
        <v>1899</v>
      </c>
      <c r="F1569" s="18">
        <v>4200</v>
      </c>
      <c r="G1569" s="27"/>
      <c r="H1569" s="1"/>
      <c r="I1569" s="1"/>
      <c r="J1569" s="1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spans="1:27" ht="16" customHeight="1">
      <c r="A1570" s="12"/>
      <c r="B1570" s="108"/>
      <c r="C1570" s="106"/>
      <c r="D1570" s="100" t="s">
        <v>894</v>
      </c>
      <c r="E1570" s="17">
        <v>1904</v>
      </c>
      <c r="F1570" s="18">
        <v>950</v>
      </c>
      <c r="G1570" s="27"/>
      <c r="H1570" s="1"/>
      <c r="I1570" s="1"/>
      <c r="J1570" s="1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spans="1:27" ht="27" customHeight="1">
      <c r="A1571" s="12"/>
      <c r="B1571" s="108"/>
      <c r="C1571" s="106"/>
      <c r="D1571" s="100" t="s">
        <v>895</v>
      </c>
      <c r="E1571" s="17" t="s">
        <v>896</v>
      </c>
      <c r="F1571" s="18">
        <v>650</v>
      </c>
      <c r="G1571" s="27"/>
      <c r="H1571" s="1"/>
      <c r="I1571" s="1"/>
      <c r="J1571" s="1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spans="1:27" ht="16" customHeight="1">
      <c r="A1572" s="12"/>
      <c r="B1572" s="108"/>
      <c r="C1572" s="106"/>
      <c r="D1572" s="100" t="s">
        <v>833</v>
      </c>
      <c r="E1572" s="17">
        <v>1906</v>
      </c>
      <c r="F1572" s="18">
        <v>1200</v>
      </c>
      <c r="G1572" s="27"/>
      <c r="H1572" s="1"/>
      <c r="I1572" s="1"/>
      <c r="J1572" s="1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spans="1:27" ht="30" customHeight="1">
      <c r="A1573" s="12"/>
      <c r="B1573" s="108"/>
      <c r="C1573" s="106"/>
      <c r="D1573" s="100" t="s">
        <v>897</v>
      </c>
      <c r="E1573" s="17" t="s">
        <v>898</v>
      </c>
      <c r="F1573" s="18">
        <v>980</v>
      </c>
      <c r="G1573" s="27"/>
      <c r="H1573" s="1"/>
      <c r="I1573" s="1"/>
      <c r="J1573" s="1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:27" ht="16" customHeight="1">
      <c r="A1574" s="12"/>
      <c r="B1574" s="108"/>
      <c r="C1574" s="106"/>
      <c r="D1574" s="100" t="s">
        <v>899</v>
      </c>
      <c r="E1574" s="17">
        <v>1908</v>
      </c>
      <c r="F1574" s="18">
        <v>950</v>
      </c>
      <c r="G1574" s="27"/>
      <c r="H1574" s="1"/>
      <c r="I1574" s="1"/>
      <c r="J1574" s="1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spans="1:27" ht="16" customHeight="1">
      <c r="A1575" s="12"/>
      <c r="B1575" s="108"/>
      <c r="C1575" s="106"/>
      <c r="D1575" s="100"/>
      <c r="E1575" s="13"/>
      <c r="F1575" s="18">
        <v>0</v>
      </c>
      <c r="G1575" s="27"/>
      <c r="H1575" s="1"/>
      <c r="I1575" s="1"/>
      <c r="J1575" s="1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:27" ht="16" customHeight="1">
      <c r="A1576" s="12"/>
      <c r="B1576" s="108"/>
      <c r="C1576" s="106"/>
      <c r="D1576" s="100" t="s">
        <v>18</v>
      </c>
      <c r="E1576" s="17">
        <v>1918</v>
      </c>
      <c r="F1576" s="18">
        <v>2900</v>
      </c>
      <c r="G1576" s="27"/>
      <c r="H1576" s="1"/>
      <c r="I1576" s="1"/>
      <c r="J1576" s="1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spans="1:27" ht="16" customHeight="1">
      <c r="A1577" s="12"/>
      <c r="B1577" s="108"/>
      <c r="C1577" s="106"/>
      <c r="D1577" s="100" t="s">
        <v>900</v>
      </c>
      <c r="E1577" s="13"/>
      <c r="F1577" s="18" t="s">
        <v>807</v>
      </c>
      <c r="G1577" s="27"/>
      <c r="H1577" s="1"/>
      <c r="I1577" s="1"/>
      <c r="J1577" s="1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spans="1:27" ht="26" customHeight="1">
      <c r="A1578" s="12"/>
      <c r="B1578" s="117" t="s">
        <v>875</v>
      </c>
      <c r="C1578" s="107" t="s">
        <v>901</v>
      </c>
      <c r="D1578" s="100" t="s">
        <v>53</v>
      </c>
      <c r="E1578" s="17">
        <v>3194</v>
      </c>
      <c r="F1578" s="18">
        <v>1095</v>
      </c>
      <c r="G1578" s="27"/>
      <c r="H1578" s="1"/>
      <c r="I1578" s="1"/>
      <c r="J1578" s="1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spans="1:27" ht="16" customHeight="1">
      <c r="A1579" s="12"/>
      <c r="B1579" s="109">
        <v>718</v>
      </c>
      <c r="C1579" s="107" t="s">
        <v>902</v>
      </c>
      <c r="D1579" s="100" t="s">
        <v>18</v>
      </c>
      <c r="E1579" s="17">
        <v>2400</v>
      </c>
      <c r="F1579" s="18">
        <v>4500</v>
      </c>
      <c r="G1579" s="27"/>
      <c r="H1579" s="1"/>
      <c r="I1579" s="1"/>
      <c r="J1579" s="1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spans="1:27" ht="16" customHeight="1">
      <c r="A1580" s="12"/>
      <c r="B1580" s="108"/>
      <c r="C1580" s="106"/>
      <c r="D1580" s="100" t="s">
        <v>903</v>
      </c>
      <c r="E1580" s="17">
        <v>0</v>
      </c>
      <c r="F1580" s="18">
        <v>1150</v>
      </c>
      <c r="G1580" s="27"/>
      <c r="H1580" s="1"/>
      <c r="I1580" s="1"/>
      <c r="J1580" s="1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spans="1:27" ht="16" customHeight="1">
      <c r="A1581" s="12"/>
      <c r="B1581" s="108"/>
      <c r="C1581" s="106"/>
      <c r="D1581" s="100" t="s">
        <v>858</v>
      </c>
      <c r="E1581" s="17" t="s">
        <v>859</v>
      </c>
      <c r="F1581" s="18">
        <v>1250</v>
      </c>
      <c r="G1581" s="27"/>
      <c r="H1581" s="1"/>
      <c r="I1581" s="1"/>
      <c r="J1581" s="1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spans="1:27" ht="16" customHeight="1">
      <c r="A1582" s="12"/>
      <c r="B1582" s="109">
        <v>718</v>
      </c>
      <c r="C1582" s="107" t="s">
        <v>208</v>
      </c>
      <c r="D1582" s="100" t="s">
        <v>20</v>
      </c>
      <c r="E1582" s="17">
        <v>3165</v>
      </c>
      <c r="F1582" s="18">
        <v>4136</v>
      </c>
      <c r="G1582" s="27"/>
      <c r="H1582" s="1"/>
      <c r="I1582" s="1"/>
      <c r="J1582" s="1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spans="1:27" ht="16" customHeight="1">
      <c r="A1583" s="12"/>
      <c r="B1583" s="109">
        <v>718</v>
      </c>
      <c r="C1583" s="107" t="s">
        <v>855</v>
      </c>
      <c r="D1583" s="100" t="s">
        <v>53</v>
      </c>
      <c r="E1583" s="17">
        <v>3233</v>
      </c>
      <c r="F1583" s="18">
        <v>1095</v>
      </c>
      <c r="G1583" s="27"/>
      <c r="H1583" s="1"/>
      <c r="I1583" s="1"/>
      <c r="J1583" s="1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spans="1:27" ht="26" customHeight="1">
      <c r="A1584" s="12"/>
      <c r="B1584" s="116" t="s">
        <v>904</v>
      </c>
      <c r="C1584" s="107" t="s">
        <v>893</v>
      </c>
      <c r="D1584" s="100" t="s">
        <v>26</v>
      </c>
      <c r="E1584" s="17">
        <v>3074</v>
      </c>
      <c r="F1584" s="18">
        <v>1495</v>
      </c>
      <c r="G1584" s="27"/>
      <c r="H1584" s="1"/>
      <c r="I1584" s="1"/>
      <c r="J1584" s="1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spans="1:27" ht="16" customHeight="1">
      <c r="A1585" s="12"/>
      <c r="B1585" s="108"/>
      <c r="C1585" s="106"/>
      <c r="D1585" s="100" t="s">
        <v>26</v>
      </c>
      <c r="E1585" s="17" t="s">
        <v>905</v>
      </c>
      <c r="F1585" s="18">
        <v>1495</v>
      </c>
      <c r="G1585" s="27"/>
      <c r="H1585" s="1"/>
      <c r="I1585" s="1"/>
      <c r="J1585" s="1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spans="1:27" ht="16" customHeight="1">
      <c r="A1586" s="12"/>
      <c r="B1586" s="108"/>
      <c r="C1586" s="107" t="s">
        <v>906</v>
      </c>
      <c r="D1586" s="100" t="s">
        <v>27</v>
      </c>
      <c r="E1586" s="17">
        <v>3075</v>
      </c>
      <c r="F1586" s="18">
        <v>1350</v>
      </c>
      <c r="G1586" s="27"/>
      <c r="H1586" s="1"/>
      <c r="I1586" s="1"/>
      <c r="J1586" s="1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spans="1:27" ht="16" customHeight="1">
      <c r="A1587" s="12"/>
      <c r="B1587" s="108"/>
      <c r="C1587" s="107" t="s">
        <v>906</v>
      </c>
      <c r="D1587" s="100" t="s">
        <v>200</v>
      </c>
      <c r="E1587" s="17">
        <v>3076</v>
      </c>
      <c r="F1587" s="18">
        <v>6900</v>
      </c>
      <c r="G1587" s="27"/>
      <c r="H1587" s="1"/>
      <c r="I1587" s="1"/>
      <c r="J1587" s="1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spans="1:27" ht="16" customHeight="1">
      <c r="A1588" s="12"/>
      <c r="B1588" s="108"/>
      <c r="C1588" s="106"/>
      <c r="D1588" s="100" t="s">
        <v>907</v>
      </c>
      <c r="E1588" s="17" t="s">
        <v>908</v>
      </c>
      <c r="F1588" s="18">
        <v>2450</v>
      </c>
      <c r="G1588" s="27"/>
      <c r="H1588" s="1"/>
      <c r="I1588" s="1"/>
      <c r="J1588" s="1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spans="1:27" ht="16" customHeight="1">
      <c r="A1589" s="12"/>
      <c r="B1589" s="108"/>
      <c r="C1589" s="106"/>
      <c r="D1589" s="100" t="s">
        <v>909</v>
      </c>
      <c r="E1589" s="17" t="s">
        <v>910</v>
      </c>
      <c r="F1589" s="18">
        <v>1850</v>
      </c>
      <c r="G1589" s="27"/>
      <c r="H1589" s="1"/>
      <c r="I1589" s="1"/>
      <c r="J1589" s="1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spans="1:27" ht="26" customHeight="1">
      <c r="A1590" s="12"/>
      <c r="B1590" s="116" t="s">
        <v>911</v>
      </c>
      <c r="C1590" s="107" t="s">
        <v>68</v>
      </c>
      <c r="D1590" s="100" t="s">
        <v>833</v>
      </c>
      <c r="E1590" s="17">
        <v>3077</v>
      </c>
      <c r="F1590" s="18">
        <v>1150</v>
      </c>
      <c r="G1590" s="27"/>
      <c r="H1590" s="1"/>
      <c r="I1590" s="1"/>
      <c r="J1590" s="1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spans="1:27" ht="16" customHeight="1">
      <c r="A1591" s="12"/>
      <c r="B1591" s="108"/>
      <c r="C1591" s="106"/>
      <c r="D1591" s="100"/>
      <c r="E1591" s="13"/>
      <c r="F1591" s="18" t="s">
        <v>807</v>
      </c>
      <c r="G1591" s="27"/>
      <c r="H1591" s="1"/>
      <c r="I1591" s="1"/>
      <c r="J1591" s="1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spans="1:27" ht="15.5" customHeight="1">
      <c r="A1592" s="29"/>
      <c r="B1592" s="109" t="s">
        <v>912</v>
      </c>
      <c r="C1592" s="107" t="s">
        <v>208</v>
      </c>
      <c r="D1592" s="100" t="s">
        <v>26</v>
      </c>
      <c r="E1592" s="17">
        <v>3290</v>
      </c>
      <c r="F1592" s="18">
        <v>1495</v>
      </c>
      <c r="G1592" s="27"/>
      <c r="H1592" s="1"/>
      <c r="I1592" s="1"/>
      <c r="J1592" s="1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spans="1:27" ht="16" customHeight="1">
      <c r="A1593" s="12"/>
      <c r="B1593" s="108"/>
      <c r="C1593" s="106"/>
      <c r="D1593" s="100" t="s">
        <v>27</v>
      </c>
      <c r="E1593" s="17">
        <v>3291</v>
      </c>
      <c r="F1593" s="18">
        <v>1150</v>
      </c>
      <c r="G1593" s="27"/>
      <c r="H1593" s="1"/>
      <c r="I1593" s="1"/>
      <c r="J1593" s="1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spans="1:27" ht="16" customHeight="1">
      <c r="A1594" s="12"/>
      <c r="B1594" s="108"/>
      <c r="C1594" s="106"/>
      <c r="D1594" s="100" t="s">
        <v>29</v>
      </c>
      <c r="E1594" s="17" t="s">
        <v>913</v>
      </c>
      <c r="F1594" s="18">
        <v>1695</v>
      </c>
      <c r="G1594" s="27"/>
      <c r="H1594" s="1"/>
      <c r="I1594" s="1"/>
      <c r="J1594" s="1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spans="1:27" ht="16" customHeight="1">
      <c r="A1595" s="12"/>
      <c r="B1595" s="108"/>
      <c r="C1595" s="106"/>
      <c r="D1595" s="100" t="s">
        <v>914</v>
      </c>
      <c r="E1595" s="17">
        <v>3293</v>
      </c>
      <c r="F1595" s="18">
        <v>695</v>
      </c>
      <c r="G1595" s="27"/>
      <c r="H1595" s="1"/>
      <c r="I1595" s="1"/>
      <c r="J1595" s="1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spans="1:27" ht="15.5" customHeight="1">
      <c r="A1596" s="29"/>
      <c r="B1596" s="109" t="s">
        <v>912</v>
      </c>
      <c r="C1596" s="107" t="s">
        <v>915</v>
      </c>
      <c r="D1596" s="100" t="s">
        <v>156</v>
      </c>
      <c r="E1596" s="17">
        <v>3365</v>
      </c>
      <c r="F1596" s="18">
        <v>895</v>
      </c>
      <c r="G1596" s="27"/>
      <c r="H1596" s="1"/>
      <c r="I1596" s="1"/>
      <c r="J1596" s="1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spans="1:27" ht="15.5" customHeight="1">
      <c r="A1597" s="155" t="s">
        <v>916</v>
      </c>
      <c r="B1597" s="134"/>
      <c r="C1597" s="134"/>
      <c r="D1597" s="134"/>
      <c r="E1597" s="135"/>
      <c r="F1597" s="135"/>
      <c r="G1597" s="135"/>
      <c r="H1597" s="1"/>
      <c r="I1597" s="1"/>
      <c r="J1597" s="1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spans="1:27" ht="16" customHeight="1">
      <c r="A1598" s="12"/>
      <c r="B1598" s="109" t="s">
        <v>917</v>
      </c>
      <c r="C1598" s="106"/>
      <c r="D1598" s="100" t="s">
        <v>12</v>
      </c>
      <c r="E1598" s="17">
        <v>2038</v>
      </c>
      <c r="F1598" s="18">
        <v>2495</v>
      </c>
      <c r="G1598" s="27"/>
      <c r="H1598" s="1"/>
      <c r="I1598" s="1"/>
      <c r="J1598" s="1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spans="1:27" ht="16" customHeight="1">
      <c r="A1599" s="12"/>
      <c r="B1599" s="108"/>
      <c r="C1599" s="106"/>
      <c r="D1599" s="100" t="s">
        <v>18</v>
      </c>
      <c r="E1599" s="17">
        <v>2039</v>
      </c>
      <c r="F1599" s="18">
        <v>4495</v>
      </c>
      <c r="G1599" s="27"/>
      <c r="H1599" s="1"/>
      <c r="I1599" s="1"/>
      <c r="J1599" s="1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spans="1:27" ht="16" customHeight="1">
      <c r="A1600" s="12"/>
      <c r="B1600" s="108"/>
      <c r="C1600" s="106"/>
      <c r="D1600" s="100" t="s">
        <v>60</v>
      </c>
      <c r="E1600" s="17">
        <v>2040</v>
      </c>
      <c r="F1600" s="18">
        <v>4295</v>
      </c>
      <c r="G1600" s="27"/>
      <c r="H1600" s="1"/>
      <c r="I1600" s="1"/>
      <c r="J1600" s="1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spans="1:27" ht="16" customHeight="1">
      <c r="A1601" s="12"/>
      <c r="B1601" s="109" t="s">
        <v>917</v>
      </c>
      <c r="C1601" s="107" t="s">
        <v>918</v>
      </c>
      <c r="D1601" s="100" t="s">
        <v>200</v>
      </c>
      <c r="E1601" s="13"/>
      <c r="F1601" s="18">
        <v>2795</v>
      </c>
      <c r="G1601" s="27"/>
      <c r="H1601" s="1"/>
      <c r="I1601" s="1"/>
      <c r="J1601" s="1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spans="1:27" ht="16" customHeight="1">
      <c r="A1602" s="12"/>
      <c r="B1602" s="109" t="s">
        <v>919</v>
      </c>
      <c r="C1602" s="106"/>
      <c r="D1602" s="100" t="s">
        <v>531</v>
      </c>
      <c r="E1602" s="13"/>
      <c r="F1602" s="18">
        <v>795</v>
      </c>
      <c r="G1602" s="27"/>
      <c r="H1602" s="1"/>
      <c r="I1602" s="1"/>
      <c r="J1602" s="1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spans="1:27" ht="30" customHeight="1">
      <c r="A1603" s="12"/>
      <c r="B1603" s="108"/>
      <c r="C1603" s="106"/>
      <c r="D1603" s="100" t="s">
        <v>920</v>
      </c>
      <c r="E1603" s="17" t="s">
        <v>921</v>
      </c>
      <c r="F1603" s="18">
        <v>1195</v>
      </c>
      <c r="G1603" s="27"/>
      <c r="H1603" s="1"/>
      <c r="I1603" s="1"/>
      <c r="J1603" s="1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 spans="1:27" ht="16" customHeight="1">
      <c r="A1604" s="12"/>
      <c r="B1604" s="109" t="s">
        <v>922</v>
      </c>
      <c r="C1604" s="107" t="s">
        <v>923</v>
      </c>
      <c r="D1604" s="100" t="s">
        <v>924</v>
      </c>
      <c r="E1604" s="17">
        <v>3205</v>
      </c>
      <c r="F1604" s="18">
        <v>3495</v>
      </c>
      <c r="G1604" s="27"/>
      <c r="H1604" s="1"/>
      <c r="I1604" s="1"/>
      <c r="J1604" s="1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spans="1:27" ht="16" customHeight="1">
      <c r="A1605" s="12"/>
      <c r="B1605" s="108"/>
      <c r="C1605" s="106"/>
      <c r="D1605" s="100" t="s">
        <v>200</v>
      </c>
      <c r="E1605" s="17">
        <v>1887</v>
      </c>
      <c r="F1605" s="18">
        <v>2795</v>
      </c>
      <c r="G1605" s="27"/>
      <c r="H1605" s="1"/>
      <c r="I1605" s="1"/>
      <c r="J1605" s="1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spans="1:27" ht="16" customHeight="1">
      <c r="A1606" s="12"/>
      <c r="B1606" s="108"/>
      <c r="C1606" s="106"/>
      <c r="D1606" s="100" t="s">
        <v>909</v>
      </c>
      <c r="E1606" s="17">
        <v>1888</v>
      </c>
      <c r="F1606" s="18">
        <v>1195</v>
      </c>
      <c r="G1606" s="27"/>
      <c r="H1606" s="1"/>
      <c r="I1606" s="1"/>
      <c r="J1606" s="1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spans="1:27" ht="16" customHeight="1">
      <c r="A1607" s="12"/>
      <c r="B1607" s="109" t="s">
        <v>917</v>
      </c>
      <c r="C1607" s="106"/>
      <c r="D1607" s="100" t="s">
        <v>65</v>
      </c>
      <c r="E1607" s="17">
        <v>2438</v>
      </c>
      <c r="F1607" s="18">
        <v>3470</v>
      </c>
      <c r="G1607" s="27"/>
      <c r="H1607" s="1"/>
      <c r="I1607" s="1"/>
      <c r="J1607" s="1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spans="1:27" ht="16" customHeight="1">
      <c r="A1608" s="12"/>
      <c r="B1608" s="108"/>
      <c r="C1608" s="106"/>
      <c r="D1608" s="100" t="s">
        <v>925</v>
      </c>
      <c r="E1608" s="17">
        <v>3221</v>
      </c>
      <c r="F1608" s="18">
        <v>1275</v>
      </c>
      <c r="G1608" s="27"/>
      <c r="H1608" s="1"/>
      <c r="I1608" s="1"/>
      <c r="J1608" s="1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:27" ht="16" customHeight="1">
      <c r="A1609" s="12"/>
      <c r="B1609" s="108"/>
      <c r="C1609" s="106"/>
      <c r="D1609" s="100" t="s">
        <v>18</v>
      </c>
      <c r="E1609" s="17">
        <v>3222</v>
      </c>
      <c r="F1609" s="18">
        <v>4950</v>
      </c>
      <c r="G1609" s="27"/>
      <c r="H1609" s="1"/>
      <c r="I1609" s="1"/>
      <c r="J1609" s="1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spans="1:27" ht="16" customHeight="1">
      <c r="A1610" s="12"/>
      <c r="B1610" s="108"/>
      <c r="C1610" s="106"/>
      <c r="D1610" s="100" t="s">
        <v>20</v>
      </c>
      <c r="E1610" s="17">
        <v>3223</v>
      </c>
      <c r="F1610" s="18">
        <v>4950</v>
      </c>
      <c r="G1610" s="27"/>
      <c r="H1610" s="1"/>
      <c r="I1610" s="1"/>
      <c r="J1610" s="1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spans="1:27" ht="16" customHeight="1">
      <c r="A1611" s="12"/>
      <c r="B1611" s="108"/>
      <c r="C1611" s="106"/>
      <c r="D1611" s="100" t="s">
        <v>200</v>
      </c>
      <c r="E1611" s="17">
        <v>3219</v>
      </c>
      <c r="F1611" s="18">
        <v>3795</v>
      </c>
      <c r="G1611" s="27"/>
      <c r="H1611" s="1"/>
      <c r="I1611" s="1"/>
      <c r="J1611" s="1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spans="1:27" ht="16" customHeight="1">
      <c r="A1612" s="12"/>
      <c r="B1612" s="109" t="s">
        <v>926</v>
      </c>
      <c r="C1612" s="107" t="s">
        <v>687</v>
      </c>
      <c r="D1612" s="100" t="s">
        <v>26</v>
      </c>
      <c r="E1612" s="17">
        <v>2357</v>
      </c>
      <c r="F1612" s="18">
        <v>1995</v>
      </c>
      <c r="G1612" s="27"/>
      <c r="H1612" s="1"/>
      <c r="I1612" s="1"/>
      <c r="J1612" s="1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spans="1:27" ht="16" customHeight="1">
      <c r="A1613" s="12"/>
      <c r="B1613" s="108"/>
      <c r="C1613" s="107" t="s">
        <v>687</v>
      </c>
      <c r="D1613" s="100" t="s">
        <v>27</v>
      </c>
      <c r="E1613" s="17">
        <v>2358</v>
      </c>
      <c r="F1613" s="18">
        <v>1295</v>
      </c>
      <c r="G1613" s="27"/>
      <c r="H1613" s="1"/>
      <c r="I1613" s="1"/>
      <c r="J1613" s="1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spans="1:27" ht="16" customHeight="1">
      <c r="A1614" s="12"/>
      <c r="B1614" s="109" t="s">
        <v>926</v>
      </c>
      <c r="C1614" s="106">
        <v>750</v>
      </c>
      <c r="D1614" s="100" t="s">
        <v>18</v>
      </c>
      <c r="E1614" s="13"/>
      <c r="F1614" s="18">
        <v>6950</v>
      </c>
      <c r="G1614" s="27"/>
      <c r="H1614" s="1"/>
      <c r="I1614" s="1"/>
      <c r="J1614" s="1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:27" ht="16" customHeight="1">
      <c r="A1615" s="12"/>
      <c r="B1615" s="108"/>
      <c r="C1615" s="106"/>
      <c r="D1615" s="100" t="s">
        <v>20</v>
      </c>
      <c r="E1615" s="13"/>
      <c r="F1615" s="18">
        <v>6950</v>
      </c>
      <c r="G1615" s="27"/>
      <c r="H1615" s="1"/>
      <c r="I1615" s="1"/>
      <c r="J1615" s="1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spans="1:27" ht="16" customHeight="1">
      <c r="A1616" s="12"/>
      <c r="B1616" s="108"/>
      <c r="C1616" s="106"/>
      <c r="D1616" s="100" t="s">
        <v>200</v>
      </c>
      <c r="E1616" s="17">
        <v>2559</v>
      </c>
      <c r="F1616" s="18">
        <v>4250</v>
      </c>
      <c r="G1616" s="27"/>
      <c r="H1616" s="1"/>
      <c r="I1616" s="1"/>
      <c r="J1616" s="1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spans="1:27" ht="16" customHeight="1">
      <c r="A1617" s="12"/>
      <c r="B1617" s="108"/>
      <c r="C1617" s="106"/>
      <c r="D1617" s="100" t="s">
        <v>909</v>
      </c>
      <c r="E1617" s="13"/>
      <c r="F1617" s="18">
        <v>2495</v>
      </c>
      <c r="G1617" s="27"/>
      <c r="H1617" s="1"/>
      <c r="I1617" s="1"/>
      <c r="J1617" s="1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spans="1:27" ht="16" customHeight="1">
      <c r="A1618" s="12"/>
      <c r="B1618" s="108"/>
      <c r="C1618" s="106"/>
      <c r="D1618" s="100" t="s">
        <v>927</v>
      </c>
      <c r="E1618" s="13"/>
      <c r="F1618" s="18">
        <v>1095</v>
      </c>
      <c r="G1618" s="27"/>
      <c r="H1618" s="1"/>
      <c r="I1618" s="1"/>
      <c r="J1618" s="1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spans="1:27" ht="16" customHeight="1">
      <c r="A1619" s="12"/>
      <c r="B1619" s="108"/>
      <c r="C1619" s="106"/>
      <c r="D1619" s="100" t="s">
        <v>928</v>
      </c>
      <c r="E1619" s="13"/>
      <c r="F1619" s="18">
        <v>2995</v>
      </c>
      <c r="G1619" s="27"/>
      <c r="H1619" s="1"/>
      <c r="I1619" s="1"/>
      <c r="J1619" s="1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spans="1:27" ht="16" customHeight="1">
      <c r="A1620" s="12"/>
      <c r="B1620" s="109" t="s">
        <v>926</v>
      </c>
      <c r="C1620" s="107" t="s">
        <v>929</v>
      </c>
      <c r="D1620" s="100" t="s">
        <v>65</v>
      </c>
      <c r="E1620" s="17">
        <v>3000</v>
      </c>
      <c r="F1620" s="18">
        <v>7950</v>
      </c>
      <c r="G1620" s="27"/>
      <c r="H1620" s="1"/>
      <c r="I1620" s="1"/>
      <c r="J1620" s="1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:27" ht="16" customHeight="1">
      <c r="A1621" s="12"/>
      <c r="B1621" s="108"/>
      <c r="C1621" s="107" t="s">
        <v>246</v>
      </c>
      <c r="D1621" s="100" t="s">
        <v>26</v>
      </c>
      <c r="E1621" s="17">
        <v>3211</v>
      </c>
      <c r="F1621" s="18">
        <v>2450</v>
      </c>
      <c r="G1621" s="27"/>
      <c r="H1621" s="1"/>
      <c r="I1621" s="1"/>
      <c r="J1621" s="1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spans="1:27" ht="16" customHeight="1">
      <c r="A1622" s="12"/>
      <c r="B1622" s="108"/>
      <c r="C1622" s="107"/>
      <c r="D1622" s="100" t="s">
        <v>27</v>
      </c>
      <c r="E1622" s="13"/>
      <c r="F1622" s="18">
        <v>2950</v>
      </c>
      <c r="G1622" s="27"/>
      <c r="H1622" s="1"/>
      <c r="I1622" s="1"/>
      <c r="J1622" s="1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spans="1:27" ht="16" customHeight="1">
      <c r="A1623" s="12"/>
      <c r="B1623" s="109" t="s">
        <v>926</v>
      </c>
      <c r="C1623" s="107" t="s">
        <v>930</v>
      </c>
      <c r="D1623" s="100" t="s">
        <v>200</v>
      </c>
      <c r="E1623" s="17" t="s">
        <v>931</v>
      </c>
      <c r="F1623" s="18">
        <v>6950</v>
      </c>
      <c r="G1623" s="27"/>
      <c r="H1623" s="1"/>
      <c r="I1623" s="1"/>
      <c r="J1623" s="1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spans="1:27" ht="16" customHeight="1">
      <c r="A1624" s="12"/>
      <c r="B1624" s="108"/>
      <c r="C1624" s="107" t="s">
        <v>246</v>
      </c>
      <c r="D1624" s="100" t="s">
        <v>932</v>
      </c>
      <c r="E1624" s="17" t="s">
        <v>933</v>
      </c>
      <c r="F1624" s="18">
        <v>2495</v>
      </c>
      <c r="G1624" s="27"/>
      <c r="H1624" s="1"/>
      <c r="I1624" s="1"/>
      <c r="J1624" s="1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spans="1:27" ht="16" customHeight="1">
      <c r="A1625" s="12"/>
      <c r="B1625" s="108"/>
      <c r="C1625" s="106"/>
      <c r="D1625" s="100" t="s">
        <v>909</v>
      </c>
      <c r="E1625" s="17">
        <v>3061</v>
      </c>
      <c r="F1625" s="18">
        <v>2495</v>
      </c>
      <c r="G1625" s="27"/>
      <c r="H1625" s="1"/>
      <c r="I1625" s="1"/>
      <c r="J1625" s="1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:27" ht="16" customHeight="1">
      <c r="A1626" s="12"/>
      <c r="B1626" s="108"/>
      <c r="C1626" s="106"/>
      <c r="D1626" s="100" t="s">
        <v>927</v>
      </c>
      <c r="E1626" s="17">
        <v>3062</v>
      </c>
      <c r="F1626" s="18">
        <v>1295</v>
      </c>
      <c r="G1626" s="27"/>
      <c r="H1626" s="1"/>
      <c r="I1626" s="1"/>
      <c r="J1626" s="1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spans="1:27" ht="16" customHeight="1">
      <c r="A1627" s="12"/>
      <c r="B1627" s="109" t="s">
        <v>934</v>
      </c>
      <c r="C1627" s="107" t="s">
        <v>935</v>
      </c>
      <c r="D1627" s="100" t="s">
        <v>18</v>
      </c>
      <c r="E1627" s="17" t="s">
        <v>936</v>
      </c>
      <c r="F1627" s="18">
        <v>4950</v>
      </c>
      <c r="G1627" s="27"/>
      <c r="H1627" s="1"/>
      <c r="I1627" s="1"/>
      <c r="J1627" s="1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:27" ht="16" customHeight="1">
      <c r="A1628" s="12"/>
      <c r="B1628" s="108"/>
      <c r="C1628" s="107" t="s">
        <v>937</v>
      </c>
      <c r="D1628" s="100" t="s">
        <v>26</v>
      </c>
      <c r="E1628" s="17" t="s">
        <v>938</v>
      </c>
      <c r="F1628" s="18">
        <v>2495</v>
      </c>
      <c r="G1628" s="27"/>
      <c r="H1628" s="1"/>
      <c r="I1628" s="1"/>
      <c r="J1628" s="1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spans="1:27" ht="16" customHeight="1">
      <c r="A1629" s="12"/>
      <c r="B1629" s="108"/>
      <c r="C1629" s="106"/>
      <c r="D1629" s="100" t="s">
        <v>14</v>
      </c>
      <c r="E1629" s="17" t="s">
        <v>939</v>
      </c>
      <c r="F1629" s="18">
        <v>4950</v>
      </c>
      <c r="G1629" s="27"/>
      <c r="H1629" s="1"/>
      <c r="I1629" s="1"/>
      <c r="J1629" s="1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spans="1:27" ht="16" customHeight="1">
      <c r="A1630" s="12"/>
      <c r="B1630" s="108"/>
      <c r="C1630" s="106"/>
      <c r="D1630" s="100" t="s">
        <v>940</v>
      </c>
      <c r="E1630" s="17" t="s">
        <v>941</v>
      </c>
      <c r="F1630" s="18">
        <v>1995</v>
      </c>
      <c r="G1630" s="27"/>
      <c r="H1630" s="1"/>
      <c r="I1630" s="1"/>
      <c r="J1630" s="1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spans="1:27" ht="16" customHeight="1">
      <c r="A1631" s="12"/>
      <c r="B1631" s="109" t="s">
        <v>934</v>
      </c>
      <c r="C1631" s="107" t="s">
        <v>942</v>
      </c>
      <c r="D1631" s="100" t="s">
        <v>29</v>
      </c>
      <c r="E1631" s="17">
        <v>3288</v>
      </c>
      <c r="F1631" s="18">
        <v>2750</v>
      </c>
      <c r="G1631" s="27"/>
      <c r="H1631" s="1"/>
      <c r="I1631" s="1"/>
      <c r="J1631" s="1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spans="1:27" ht="16" customHeight="1">
      <c r="A1632" s="12"/>
      <c r="B1632" s="109" t="s">
        <v>934</v>
      </c>
      <c r="C1632" s="106"/>
      <c r="D1632" s="100" t="s">
        <v>200</v>
      </c>
      <c r="E1632" s="17">
        <v>3359</v>
      </c>
      <c r="F1632" s="18">
        <v>5950</v>
      </c>
      <c r="G1632" s="27"/>
      <c r="H1632" s="1"/>
      <c r="I1632" s="1"/>
      <c r="J1632" s="1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spans="1:27" ht="15.5" customHeight="1">
      <c r="A1633" s="155" t="s">
        <v>943</v>
      </c>
      <c r="B1633" s="134"/>
      <c r="C1633" s="134"/>
      <c r="D1633" s="134"/>
      <c r="E1633" s="135"/>
      <c r="F1633" s="135"/>
      <c r="G1633" s="135"/>
      <c r="H1633" s="1"/>
      <c r="I1633" s="1"/>
      <c r="J1633" s="1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spans="1:27" ht="16" customHeight="1">
      <c r="A1634" s="12"/>
      <c r="B1634" s="109" t="s">
        <v>944</v>
      </c>
      <c r="C1634" s="107" t="s">
        <v>687</v>
      </c>
      <c r="D1634" s="100" t="s">
        <v>29</v>
      </c>
      <c r="E1634" s="17">
        <v>1114</v>
      </c>
      <c r="F1634" s="18">
        <v>1295</v>
      </c>
      <c r="G1634" s="27"/>
      <c r="H1634" s="1"/>
      <c r="I1634" s="1"/>
      <c r="J1634" s="1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spans="1:27" ht="27" customHeight="1">
      <c r="A1635" s="12"/>
      <c r="B1635" s="109" t="s">
        <v>944</v>
      </c>
      <c r="C1635" s="107" t="s">
        <v>687</v>
      </c>
      <c r="D1635" s="100" t="s">
        <v>29</v>
      </c>
      <c r="E1635" s="17" t="s">
        <v>945</v>
      </c>
      <c r="F1635" s="18">
        <v>1295</v>
      </c>
      <c r="G1635" s="27"/>
      <c r="H1635" s="1"/>
      <c r="I1635" s="1"/>
      <c r="J1635" s="1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spans="1:27" ht="16" customHeight="1">
      <c r="A1636" s="12"/>
      <c r="B1636" s="109" t="s">
        <v>944</v>
      </c>
      <c r="C1636" s="107" t="s">
        <v>687</v>
      </c>
      <c r="D1636" s="100" t="s">
        <v>946</v>
      </c>
      <c r="E1636" s="17">
        <v>1431</v>
      </c>
      <c r="F1636" s="18">
        <v>895</v>
      </c>
      <c r="G1636" s="27"/>
      <c r="H1636" s="1"/>
      <c r="I1636" s="1"/>
      <c r="J1636" s="1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:27" ht="16" customHeight="1">
      <c r="A1637" s="12"/>
      <c r="B1637" s="109" t="s">
        <v>944</v>
      </c>
      <c r="C1637" s="107" t="s">
        <v>930</v>
      </c>
      <c r="D1637" s="100" t="s">
        <v>26</v>
      </c>
      <c r="E1637" s="17">
        <v>1667</v>
      </c>
      <c r="F1637" s="18">
        <v>1750</v>
      </c>
      <c r="G1637" s="27"/>
      <c r="H1637" s="1"/>
      <c r="I1637" s="1"/>
      <c r="J1637" s="1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spans="1:27" ht="16" customHeight="1">
      <c r="A1638" s="12"/>
      <c r="B1638" s="108"/>
      <c r="C1638" s="106"/>
      <c r="D1638" s="100" t="s">
        <v>27</v>
      </c>
      <c r="E1638" s="17">
        <v>1668</v>
      </c>
      <c r="F1638" s="18">
        <v>1095</v>
      </c>
      <c r="G1638" s="27"/>
      <c r="H1638" s="1"/>
      <c r="I1638" s="1"/>
      <c r="J1638" s="1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spans="1:27" ht="16" customHeight="1">
      <c r="A1639" s="12"/>
      <c r="B1639" s="108"/>
      <c r="C1639" s="106"/>
      <c r="D1639" s="100" t="s">
        <v>947</v>
      </c>
      <c r="E1639" s="17">
        <v>1669</v>
      </c>
      <c r="F1639" s="18">
        <v>1095</v>
      </c>
      <c r="G1639" s="27"/>
      <c r="H1639" s="1"/>
      <c r="I1639" s="1"/>
      <c r="J1639" s="1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:27" ht="27" customHeight="1">
      <c r="A1640" s="12"/>
      <c r="B1640" s="108"/>
      <c r="C1640" s="106"/>
      <c r="D1640" s="100" t="s">
        <v>948</v>
      </c>
      <c r="E1640" s="17" t="s">
        <v>949</v>
      </c>
      <c r="F1640" s="18">
        <v>745</v>
      </c>
      <c r="G1640" s="27"/>
      <c r="H1640" s="1"/>
      <c r="I1640" s="1"/>
      <c r="J1640" s="1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:27" ht="27" customHeight="1">
      <c r="A1641" s="12"/>
      <c r="B1641" s="108"/>
      <c r="C1641" s="107" t="s">
        <v>607</v>
      </c>
      <c r="D1641" s="100" t="s">
        <v>29</v>
      </c>
      <c r="E1641" s="17" t="s">
        <v>950</v>
      </c>
      <c r="F1641" s="18">
        <v>3182</v>
      </c>
      <c r="G1641" s="27"/>
      <c r="H1641" s="1"/>
      <c r="I1641" s="1"/>
      <c r="J1641" s="1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spans="1:27" ht="16" customHeight="1">
      <c r="A1642" s="12"/>
      <c r="B1642" s="109">
        <v>599</v>
      </c>
      <c r="C1642" s="107" t="s">
        <v>687</v>
      </c>
      <c r="D1642" s="100" t="s">
        <v>26</v>
      </c>
      <c r="E1642" s="17">
        <v>2359</v>
      </c>
      <c r="F1642" s="18">
        <v>1591</v>
      </c>
      <c r="G1642" s="27"/>
      <c r="H1642" s="1"/>
      <c r="I1642" s="1"/>
      <c r="J1642" s="1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spans="1:27" ht="16" customHeight="1">
      <c r="A1643" s="12"/>
      <c r="B1643" s="108"/>
      <c r="C1643" s="107" t="s">
        <v>687</v>
      </c>
      <c r="D1643" s="100" t="s">
        <v>951</v>
      </c>
      <c r="E1643" s="17">
        <v>2358</v>
      </c>
      <c r="F1643" s="18">
        <v>955</v>
      </c>
      <c r="G1643" s="27"/>
      <c r="H1643" s="1"/>
      <c r="I1643" s="1"/>
      <c r="J1643" s="1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:27" ht="16" customHeight="1">
      <c r="A1644" s="12"/>
      <c r="B1644" s="108"/>
      <c r="C1644" s="107" t="s">
        <v>952</v>
      </c>
      <c r="D1644" s="100" t="s">
        <v>18</v>
      </c>
      <c r="E1644" s="17">
        <v>3145</v>
      </c>
      <c r="F1644" s="18">
        <v>1591</v>
      </c>
      <c r="G1644" s="27"/>
      <c r="H1644" s="1"/>
      <c r="I1644" s="1"/>
      <c r="J1644" s="1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:27" ht="16" customHeight="1">
      <c r="A1645" s="12"/>
      <c r="B1645" s="109">
        <v>488</v>
      </c>
      <c r="C1645" s="107" t="s">
        <v>953</v>
      </c>
      <c r="D1645" s="100" t="s">
        <v>26</v>
      </c>
      <c r="E1645" s="17">
        <v>3213</v>
      </c>
      <c r="F1645" s="18">
        <v>1909</v>
      </c>
      <c r="G1645" s="27"/>
      <c r="H1645" s="1"/>
      <c r="I1645" s="1"/>
      <c r="J1645" s="1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:27" ht="16" customHeight="1">
      <c r="A1646" s="12"/>
      <c r="B1646" s="108"/>
      <c r="C1646" s="106"/>
      <c r="D1646" s="100" t="s">
        <v>951</v>
      </c>
      <c r="E1646" s="17">
        <v>3214</v>
      </c>
      <c r="F1646" s="18">
        <v>1273</v>
      </c>
      <c r="G1646" s="27"/>
      <c r="H1646" s="1"/>
      <c r="I1646" s="1"/>
      <c r="J1646" s="1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spans="1:27" ht="16" customHeight="1">
      <c r="A1647" s="12"/>
      <c r="B1647" s="108"/>
      <c r="C1647" s="106"/>
      <c r="D1647" s="100" t="s">
        <v>954</v>
      </c>
      <c r="E1647" s="17">
        <v>3215</v>
      </c>
      <c r="F1647" s="18">
        <v>1591</v>
      </c>
      <c r="G1647" s="27"/>
      <c r="H1647" s="1"/>
      <c r="I1647" s="1"/>
      <c r="J1647" s="1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spans="1:27" ht="16" customHeight="1">
      <c r="A1648" s="12"/>
      <c r="B1648" s="108"/>
      <c r="C1648" s="106"/>
      <c r="D1648" s="100" t="s">
        <v>29</v>
      </c>
      <c r="E1648" s="17">
        <v>3216</v>
      </c>
      <c r="F1648" s="18">
        <v>2227</v>
      </c>
      <c r="G1648" s="27"/>
      <c r="H1648" s="1"/>
      <c r="I1648" s="1"/>
      <c r="J1648" s="1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spans="1:27" ht="16" customHeight="1">
      <c r="A1649" s="12"/>
      <c r="B1649" s="108"/>
      <c r="C1649" s="106"/>
      <c r="D1649" s="100" t="s">
        <v>955</v>
      </c>
      <c r="E1649" s="17">
        <v>3217</v>
      </c>
      <c r="F1649" s="18">
        <v>636</v>
      </c>
      <c r="G1649" s="27"/>
      <c r="H1649" s="1"/>
      <c r="I1649" s="1"/>
      <c r="J1649" s="1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:27" ht="27" customHeight="1">
      <c r="A1650" s="12"/>
      <c r="B1650" s="108"/>
      <c r="C1650" s="106"/>
      <c r="D1650" s="100" t="s">
        <v>29</v>
      </c>
      <c r="E1650" s="17" t="s">
        <v>956</v>
      </c>
      <c r="F1650" s="18">
        <v>2864</v>
      </c>
      <c r="G1650" s="27"/>
      <c r="H1650" s="1"/>
      <c r="I1650" s="1"/>
      <c r="J1650" s="1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 ht="16" customHeight="1">
      <c r="A1651" s="12"/>
      <c r="B1651" s="109" t="s">
        <v>957</v>
      </c>
      <c r="C1651" s="107" t="s">
        <v>68</v>
      </c>
      <c r="D1651" s="100" t="s">
        <v>60</v>
      </c>
      <c r="E1651" s="17">
        <v>2210</v>
      </c>
      <c r="F1651" s="18">
        <v>1273</v>
      </c>
      <c r="G1651" s="27"/>
      <c r="H1651" s="1"/>
      <c r="I1651" s="1"/>
      <c r="J1651" s="1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spans="1:27" ht="16" customHeight="1">
      <c r="A1652" s="12"/>
      <c r="B1652" s="108"/>
      <c r="C1652" s="107" t="s">
        <v>958</v>
      </c>
      <c r="D1652" s="100" t="s">
        <v>61</v>
      </c>
      <c r="E1652" s="17">
        <v>2211</v>
      </c>
      <c r="F1652" s="18">
        <v>1909</v>
      </c>
      <c r="G1652" s="27"/>
      <c r="H1652" s="1"/>
      <c r="I1652" s="1"/>
      <c r="J1652" s="1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spans="1:27" ht="16" customHeight="1">
      <c r="A1653" s="12"/>
      <c r="B1653" s="108"/>
      <c r="C1653" s="106"/>
      <c r="D1653" s="100" t="s">
        <v>26</v>
      </c>
      <c r="E1653" s="17">
        <v>2212</v>
      </c>
      <c r="F1653" s="18">
        <v>1591</v>
      </c>
      <c r="G1653" s="27"/>
      <c r="H1653" s="1"/>
      <c r="I1653" s="1"/>
      <c r="J1653" s="1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spans="1:27" ht="16" customHeight="1">
      <c r="A1654" s="12"/>
      <c r="B1654" s="108"/>
      <c r="C1654" s="106"/>
      <c r="D1654" s="100" t="s">
        <v>951</v>
      </c>
      <c r="E1654" s="17">
        <v>2213</v>
      </c>
      <c r="F1654" s="18">
        <v>1909</v>
      </c>
      <c r="G1654" s="27"/>
      <c r="H1654" s="1"/>
      <c r="I1654" s="1"/>
      <c r="J1654" s="1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spans="1:27" ht="15.5" customHeight="1">
      <c r="A1655" s="155" t="s">
        <v>959</v>
      </c>
      <c r="B1655" s="134"/>
      <c r="C1655" s="134"/>
      <c r="D1655" s="134"/>
      <c r="E1655" s="135"/>
      <c r="F1655" s="135"/>
      <c r="G1655" s="135"/>
      <c r="H1655" s="1"/>
      <c r="I1655" s="1"/>
      <c r="J1655" s="1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spans="1:27" ht="16" customHeight="1">
      <c r="A1656" s="12"/>
      <c r="B1656" s="109" t="s">
        <v>960</v>
      </c>
      <c r="C1656" s="107" t="s">
        <v>68</v>
      </c>
      <c r="D1656" s="100" t="s">
        <v>26</v>
      </c>
      <c r="E1656" s="17">
        <v>2215</v>
      </c>
      <c r="F1656" s="18">
        <v>1273</v>
      </c>
      <c r="G1656" s="27"/>
      <c r="H1656" s="1"/>
      <c r="I1656" s="1"/>
      <c r="J1656" s="1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spans="1:27" ht="16" customHeight="1">
      <c r="A1657" s="12"/>
      <c r="B1657" s="108"/>
      <c r="C1657" s="106"/>
      <c r="D1657" s="100" t="s">
        <v>951</v>
      </c>
      <c r="E1657" s="17">
        <v>2216</v>
      </c>
      <c r="F1657" s="18">
        <v>1145</v>
      </c>
      <c r="G1657" s="27"/>
      <c r="H1657" s="1"/>
      <c r="I1657" s="1"/>
      <c r="J1657" s="1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spans="1:27" ht="16" customHeight="1">
      <c r="A1658" s="12"/>
      <c r="B1658" s="109" t="s">
        <v>961</v>
      </c>
      <c r="C1658" s="107" t="s">
        <v>962</v>
      </c>
      <c r="D1658" s="100" t="s">
        <v>963</v>
      </c>
      <c r="E1658" s="17">
        <v>2430</v>
      </c>
      <c r="F1658" s="18">
        <v>573</v>
      </c>
      <c r="G1658" s="27"/>
      <c r="H1658" s="1"/>
      <c r="I1658" s="1"/>
      <c r="J1658" s="1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spans="1:27" ht="16" customHeight="1">
      <c r="A1659" s="12"/>
      <c r="B1659" s="108"/>
      <c r="C1659" s="106"/>
      <c r="D1659" s="100"/>
      <c r="E1659" s="17">
        <v>2431</v>
      </c>
      <c r="F1659" s="18">
        <v>573</v>
      </c>
      <c r="G1659" s="27"/>
      <c r="H1659" s="1"/>
      <c r="I1659" s="1"/>
      <c r="J1659" s="1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spans="1:27" ht="16" customHeight="1">
      <c r="A1660" s="12"/>
      <c r="B1660" s="108"/>
      <c r="C1660" s="106"/>
      <c r="D1660" s="100"/>
      <c r="E1660" s="17">
        <v>2432</v>
      </c>
      <c r="F1660" s="18">
        <v>573</v>
      </c>
      <c r="G1660" s="27"/>
      <c r="H1660" s="1"/>
      <c r="I1660" s="1"/>
      <c r="J1660" s="1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spans="1:27" ht="16" customHeight="1">
      <c r="A1661" s="12"/>
      <c r="B1661" s="108"/>
      <c r="C1661" s="106"/>
      <c r="D1661" s="100" t="s">
        <v>964</v>
      </c>
      <c r="E1661" s="17">
        <v>2433</v>
      </c>
      <c r="F1661" s="18">
        <v>573</v>
      </c>
      <c r="G1661" s="27"/>
      <c r="H1661" s="1"/>
      <c r="I1661" s="1"/>
      <c r="J1661" s="1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spans="1:27" ht="16" customHeight="1">
      <c r="A1662" s="12"/>
      <c r="B1662" s="108"/>
      <c r="C1662" s="106"/>
      <c r="D1662" s="100"/>
      <c r="E1662" s="17">
        <v>2434</v>
      </c>
      <c r="F1662" s="18">
        <v>573</v>
      </c>
      <c r="G1662" s="27"/>
      <c r="H1662" s="1"/>
      <c r="I1662" s="1"/>
      <c r="J1662" s="1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:27" ht="16" customHeight="1">
      <c r="A1663" s="12"/>
      <c r="B1663" s="109" t="s">
        <v>965</v>
      </c>
      <c r="C1663" s="107" t="s">
        <v>966</v>
      </c>
      <c r="D1663" s="100" t="s">
        <v>29</v>
      </c>
      <c r="E1663" s="17">
        <v>3411</v>
      </c>
      <c r="F1663" s="18">
        <v>955</v>
      </c>
      <c r="G1663" s="27"/>
      <c r="H1663" s="1"/>
      <c r="I1663" s="1"/>
      <c r="J1663" s="1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spans="1:27" ht="16" customHeight="1">
      <c r="A1664" s="12"/>
      <c r="B1664" s="108"/>
      <c r="C1664" s="106"/>
      <c r="D1664" s="100" t="s">
        <v>200</v>
      </c>
      <c r="E1664" s="17">
        <v>3412</v>
      </c>
      <c r="F1664" s="18">
        <v>1591</v>
      </c>
      <c r="G1664" s="27"/>
      <c r="H1664" s="1"/>
      <c r="I1664" s="1"/>
      <c r="J1664" s="1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spans="1:27" ht="16" customHeight="1">
      <c r="A1665" s="12"/>
      <c r="B1665" s="109" t="s">
        <v>965</v>
      </c>
      <c r="C1665" s="107" t="s">
        <v>962</v>
      </c>
      <c r="D1665" s="100" t="s">
        <v>963</v>
      </c>
      <c r="E1665" s="17">
        <v>2217</v>
      </c>
      <c r="F1665" s="18">
        <v>573</v>
      </c>
      <c r="G1665" s="27"/>
      <c r="H1665" s="1"/>
      <c r="I1665" s="1"/>
      <c r="J1665" s="1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spans="1:27" ht="16" customHeight="1">
      <c r="A1666" s="12"/>
      <c r="B1666" s="108"/>
      <c r="C1666" s="106"/>
      <c r="D1666" s="100" t="s">
        <v>964</v>
      </c>
      <c r="E1666" s="17">
        <v>2218</v>
      </c>
      <c r="F1666" s="18">
        <v>573</v>
      </c>
      <c r="G1666" s="27"/>
      <c r="H1666" s="1"/>
      <c r="I1666" s="1"/>
      <c r="J1666" s="1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spans="1:27" ht="16" customHeight="1">
      <c r="A1667" s="12"/>
      <c r="B1667" s="108"/>
      <c r="C1667" s="106"/>
      <c r="D1667" s="100" t="s">
        <v>12</v>
      </c>
      <c r="E1667" s="17">
        <v>2240</v>
      </c>
      <c r="F1667" s="18">
        <v>764</v>
      </c>
      <c r="G1667" s="27"/>
      <c r="H1667" s="1"/>
      <c r="I1667" s="1"/>
      <c r="J1667" s="1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spans="1:27" ht="16" customHeight="1">
      <c r="A1668" s="12"/>
      <c r="B1668" s="108"/>
      <c r="C1668" s="107" t="s">
        <v>246</v>
      </c>
      <c r="D1668" s="100" t="s">
        <v>951</v>
      </c>
      <c r="E1668" s="17">
        <v>2241</v>
      </c>
      <c r="F1668" s="18">
        <v>1591</v>
      </c>
      <c r="G1668" s="27"/>
      <c r="H1668" s="1"/>
      <c r="I1668" s="1"/>
      <c r="J1668" s="1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spans="1:27" ht="16" customHeight="1">
      <c r="A1669" s="12"/>
      <c r="B1669" s="108"/>
      <c r="C1669" s="106"/>
      <c r="D1669" s="100" t="s">
        <v>212</v>
      </c>
      <c r="E1669" s="17">
        <v>2242</v>
      </c>
      <c r="F1669" s="18">
        <v>1273</v>
      </c>
      <c r="G1669" s="27"/>
      <c r="H1669" s="1"/>
      <c r="I1669" s="1"/>
      <c r="J1669" s="1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spans="1:27" ht="16" customHeight="1">
      <c r="A1670" s="12"/>
      <c r="B1670" s="108"/>
      <c r="C1670" s="107" t="s">
        <v>246</v>
      </c>
      <c r="D1670" s="100" t="s">
        <v>22</v>
      </c>
      <c r="E1670" s="17">
        <v>2243</v>
      </c>
      <c r="F1670" s="18">
        <v>1591</v>
      </c>
      <c r="G1670" s="27"/>
      <c r="H1670" s="1"/>
      <c r="I1670" s="1"/>
      <c r="J1670" s="1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spans="1:27" ht="16" customHeight="1">
      <c r="A1671" s="12"/>
      <c r="B1671" s="109" t="s">
        <v>965</v>
      </c>
      <c r="C1671" s="107" t="s">
        <v>68</v>
      </c>
      <c r="D1671" s="100" t="s">
        <v>60</v>
      </c>
      <c r="E1671" s="17">
        <v>2325</v>
      </c>
      <c r="F1671" s="18">
        <v>1591</v>
      </c>
      <c r="G1671" s="27"/>
      <c r="H1671" s="1"/>
      <c r="I1671" s="1"/>
      <c r="J1671" s="1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spans="1:27" ht="16" customHeight="1">
      <c r="A1672" s="12"/>
      <c r="B1672" s="109" t="s">
        <v>967</v>
      </c>
      <c r="C1672" s="107" t="s">
        <v>968</v>
      </c>
      <c r="D1672" s="100" t="s">
        <v>20</v>
      </c>
      <c r="E1672" s="17">
        <v>3045</v>
      </c>
      <c r="F1672" s="18">
        <v>1591</v>
      </c>
      <c r="G1672" s="27"/>
      <c r="H1672" s="1"/>
      <c r="I1672" s="1"/>
      <c r="J1672" s="1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spans="1:27" ht="16" customHeight="1">
      <c r="A1673" s="12"/>
      <c r="B1673" s="108"/>
      <c r="C1673" s="106"/>
      <c r="D1673" s="100" t="s">
        <v>29</v>
      </c>
      <c r="E1673" s="17">
        <v>3046</v>
      </c>
      <c r="F1673" s="18">
        <v>1591</v>
      </c>
      <c r="G1673" s="27"/>
      <c r="H1673" s="1"/>
      <c r="I1673" s="1"/>
      <c r="J1673" s="1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spans="1:27" ht="16" customHeight="1">
      <c r="A1674" s="12"/>
      <c r="B1674" s="108"/>
      <c r="C1674" s="106"/>
      <c r="D1674" s="100" t="s">
        <v>854</v>
      </c>
      <c r="E1674" s="17">
        <v>3047</v>
      </c>
      <c r="F1674" s="18">
        <v>1591</v>
      </c>
      <c r="G1674" s="27"/>
      <c r="H1674" s="1"/>
      <c r="I1674" s="1"/>
      <c r="J1674" s="1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spans="1:27" ht="16" customHeight="1">
      <c r="A1675" s="12"/>
      <c r="B1675" s="108"/>
      <c r="C1675" s="106"/>
      <c r="D1675" s="100" t="s">
        <v>27</v>
      </c>
      <c r="E1675" s="17">
        <v>3048</v>
      </c>
      <c r="F1675" s="18">
        <v>1591</v>
      </c>
      <c r="G1675" s="27"/>
      <c r="H1675" s="1"/>
      <c r="I1675" s="1"/>
      <c r="J1675" s="1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spans="1:27" ht="16" customHeight="1">
      <c r="A1676" s="12"/>
      <c r="B1676" s="108"/>
      <c r="C1676" s="106"/>
      <c r="D1676" s="100" t="s">
        <v>53</v>
      </c>
      <c r="E1676" s="17">
        <v>3050</v>
      </c>
      <c r="F1676" s="18">
        <v>1591</v>
      </c>
      <c r="G1676" s="27"/>
      <c r="H1676" s="1"/>
      <c r="I1676" s="1"/>
      <c r="J1676" s="1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spans="1:27" ht="16" customHeight="1">
      <c r="A1677" s="12"/>
      <c r="B1677" s="108"/>
      <c r="C1677" s="106"/>
      <c r="D1677" s="100" t="s">
        <v>969</v>
      </c>
      <c r="E1677" s="17">
        <v>3049</v>
      </c>
      <c r="F1677" s="18">
        <v>1591</v>
      </c>
      <c r="G1677" s="27"/>
      <c r="H1677" s="1"/>
      <c r="I1677" s="1"/>
      <c r="J1677" s="1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spans="1:27" ht="16" customHeight="1">
      <c r="A1678" s="12"/>
      <c r="B1678" s="108"/>
      <c r="C1678" s="106"/>
      <c r="D1678" s="100" t="s">
        <v>555</v>
      </c>
      <c r="E1678" s="17">
        <v>3051</v>
      </c>
      <c r="F1678" s="18">
        <v>1591</v>
      </c>
      <c r="G1678" s="27"/>
      <c r="H1678" s="1"/>
      <c r="I1678" s="1"/>
      <c r="J1678" s="1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spans="1:27" ht="16" customHeight="1">
      <c r="A1679" s="12"/>
      <c r="B1679" s="109" t="s">
        <v>967</v>
      </c>
      <c r="C1679" s="107" t="s">
        <v>962</v>
      </c>
      <c r="D1679" s="100" t="s">
        <v>963</v>
      </c>
      <c r="E1679" s="17">
        <v>3208</v>
      </c>
      <c r="F1679" s="18">
        <v>573</v>
      </c>
      <c r="G1679" s="27"/>
      <c r="H1679" s="1"/>
      <c r="I1679" s="1"/>
      <c r="J1679" s="1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spans="1:27" ht="16" customHeight="1">
      <c r="A1680" s="12"/>
      <c r="B1680" s="108"/>
      <c r="C1680" s="106"/>
      <c r="D1680" s="100" t="s">
        <v>964</v>
      </c>
      <c r="E1680" s="17">
        <v>3209</v>
      </c>
      <c r="F1680" s="18">
        <v>573</v>
      </c>
      <c r="G1680" s="27"/>
      <c r="H1680" s="1"/>
      <c r="I1680" s="1"/>
      <c r="J1680" s="1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:27" ht="15.5" customHeight="1">
      <c r="A1681" s="155" t="s">
        <v>959</v>
      </c>
      <c r="B1681" s="134"/>
      <c r="C1681" s="134"/>
      <c r="D1681" s="134"/>
      <c r="E1681" s="135"/>
      <c r="F1681" s="135"/>
      <c r="G1681" s="135"/>
      <c r="H1681" s="1"/>
      <c r="I1681" s="1"/>
      <c r="J1681" s="1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spans="1:27" ht="16" customHeight="1">
      <c r="A1682" s="12"/>
      <c r="B1682" s="109" t="s">
        <v>970</v>
      </c>
      <c r="C1682" s="107" t="s">
        <v>971</v>
      </c>
      <c r="D1682" s="100" t="s">
        <v>63</v>
      </c>
      <c r="E1682" s="17">
        <v>3419</v>
      </c>
      <c r="F1682" s="18">
        <v>0</v>
      </c>
      <c r="G1682" s="27"/>
      <c r="H1682" s="1"/>
      <c r="I1682" s="1"/>
      <c r="J1682" s="1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spans="1:27" ht="16" customHeight="1">
      <c r="A1683" s="12"/>
      <c r="B1683" s="109" t="s">
        <v>970</v>
      </c>
      <c r="C1683" s="106"/>
      <c r="D1683" s="100" t="s">
        <v>29</v>
      </c>
      <c r="E1683" s="17">
        <v>1013</v>
      </c>
      <c r="F1683" s="18">
        <v>509</v>
      </c>
      <c r="G1683" s="27"/>
      <c r="H1683" s="1"/>
      <c r="I1683" s="1"/>
      <c r="J1683" s="1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spans="1:27" ht="16" customHeight="1">
      <c r="A1684" s="12"/>
      <c r="B1684" s="109" t="s">
        <v>972</v>
      </c>
      <c r="C1684" s="106"/>
      <c r="D1684" s="100" t="s">
        <v>259</v>
      </c>
      <c r="E1684" s="17">
        <v>707</v>
      </c>
      <c r="F1684" s="18">
        <v>445</v>
      </c>
      <c r="G1684" s="27"/>
      <c r="H1684" s="1"/>
      <c r="I1684" s="1"/>
      <c r="J1684" s="1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spans="1:27" ht="15.5" customHeight="1">
      <c r="A1685" s="155" t="s">
        <v>959</v>
      </c>
      <c r="B1685" s="134"/>
      <c r="C1685" s="134"/>
      <c r="D1685" s="134"/>
      <c r="E1685" s="135"/>
      <c r="F1685" s="135"/>
      <c r="G1685" s="135"/>
      <c r="H1685" s="1"/>
      <c r="I1685" s="1"/>
      <c r="J1685" s="1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spans="1:27" ht="26" customHeight="1">
      <c r="A1686" s="12"/>
      <c r="B1686" s="116" t="s">
        <v>973</v>
      </c>
      <c r="C1686" s="106"/>
      <c r="D1686" s="100" t="s">
        <v>18</v>
      </c>
      <c r="E1686" s="17">
        <v>3373</v>
      </c>
      <c r="F1686" s="18" t="s">
        <v>807</v>
      </c>
      <c r="G1686" s="27"/>
      <c r="H1686" s="1"/>
      <c r="I1686" s="1"/>
      <c r="J1686" s="1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spans="1:27" ht="16" customHeight="1">
      <c r="A1687" s="12"/>
      <c r="B1687" s="116" t="s">
        <v>974</v>
      </c>
      <c r="C1687" s="106"/>
      <c r="D1687" s="100" t="s">
        <v>26</v>
      </c>
      <c r="E1687" s="17">
        <v>3134</v>
      </c>
      <c r="F1687" s="18" t="s">
        <v>807</v>
      </c>
      <c r="G1687" s="27"/>
      <c r="H1687" s="1"/>
      <c r="I1687" s="1"/>
      <c r="J1687" s="1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spans="1:27" ht="15.5" customHeight="1">
      <c r="A1688" s="155" t="s">
        <v>975</v>
      </c>
      <c r="B1688" s="134"/>
      <c r="C1688" s="134"/>
      <c r="D1688" s="134"/>
      <c r="E1688" s="135"/>
      <c r="F1688" s="135"/>
      <c r="G1688" s="135"/>
      <c r="H1688" s="1"/>
      <c r="I1688" s="1"/>
      <c r="J1688" s="1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:27" ht="16" customHeight="1">
      <c r="A1689" s="12"/>
      <c r="B1689" s="109" t="s">
        <v>976</v>
      </c>
      <c r="C1689" s="107" t="s">
        <v>977</v>
      </c>
      <c r="D1689" s="100" t="s">
        <v>22</v>
      </c>
      <c r="E1689" s="17">
        <v>3286</v>
      </c>
      <c r="F1689" s="18">
        <v>4455</v>
      </c>
      <c r="G1689" s="27"/>
      <c r="H1689" s="1"/>
      <c r="I1689" s="1"/>
      <c r="J1689" s="1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:27" ht="16" customHeight="1">
      <c r="A1690" s="12"/>
      <c r="B1690" s="108"/>
      <c r="C1690" s="107" t="s">
        <v>930</v>
      </c>
      <c r="D1690" s="100" t="s">
        <v>22</v>
      </c>
      <c r="E1690" s="17">
        <v>3314</v>
      </c>
      <c r="F1690" s="18">
        <v>5250</v>
      </c>
      <c r="G1690" s="27"/>
      <c r="H1690" s="1"/>
      <c r="I1690" s="1"/>
      <c r="J1690" s="1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:27" ht="16" customHeight="1">
      <c r="A1691" s="12"/>
      <c r="B1691" s="109" t="s">
        <v>976</v>
      </c>
      <c r="C1691" s="107" t="s">
        <v>977</v>
      </c>
      <c r="D1691" s="100" t="s">
        <v>27</v>
      </c>
      <c r="E1691" s="17">
        <v>3366</v>
      </c>
      <c r="F1691" s="18">
        <v>2864</v>
      </c>
      <c r="G1691" s="27"/>
      <c r="H1691" s="1"/>
      <c r="I1691" s="1"/>
      <c r="J1691" s="1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:27" ht="16" customHeight="1">
      <c r="A1692" s="12"/>
      <c r="B1692" s="109" t="s">
        <v>976</v>
      </c>
      <c r="C1692" s="106" t="s">
        <v>607</v>
      </c>
      <c r="D1692" s="100" t="s">
        <v>18</v>
      </c>
      <c r="E1692" s="17">
        <v>3543</v>
      </c>
      <c r="F1692" s="18">
        <v>7950</v>
      </c>
      <c r="G1692" s="27"/>
      <c r="H1692" s="1"/>
      <c r="I1692" s="1"/>
      <c r="J1692" s="1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spans="1:27" ht="16" customHeight="1">
      <c r="A1693" s="12"/>
      <c r="B1693" s="108"/>
      <c r="C1693" s="106"/>
      <c r="D1693" s="100" t="s">
        <v>34</v>
      </c>
      <c r="E1693" s="17">
        <v>3544</v>
      </c>
      <c r="F1693" s="18">
        <v>9500</v>
      </c>
      <c r="G1693" s="27"/>
      <c r="H1693" s="1"/>
      <c r="I1693" s="1"/>
      <c r="J1693" s="1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spans="1:27" ht="16" customHeight="1">
      <c r="A1694" s="12"/>
      <c r="B1694" s="108"/>
      <c r="C1694" s="106"/>
      <c r="D1694" s="100" t="s">
        <v>978</v>
      </c>
      <c r="E1694" s="17">
        <v>3545</v>
      </c>
      <c r="F1694" s="18">
        <v>2227</v>
      </c>
      <c r="G1694" s="27"/>
      <c r="H1694" s="1"/>
      <c r="I1694" s="1"/>
      <c r="J1694" s="1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spans="1:27" ht="16" customHeight="1">
      <c r="A1695" s="12"/>
      <c r="B1695" s="108"/>
      <c r="C1695" s="106"/>
      <c r="D1695" s="100" t="s">
        <v>60</v>
      </c>
      <c r="E1695" s="17">
        <v>3547</v>
      </c>
      <c r="F1695" s="18">
        <v>6360</v>
      </c>
      <c r="G1695" s="27"/>
      <c r="H1695" s="1"/>
      <c r="I1695" s="1"/>
      <c r="J1695" s="1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:27" ht="16" customHeight="1">
      <c r="A1696" s="12"/>
      <c r="B1696" s="108"/>
      <c r="C1696" s="106"/>
      <c r="D1696" s="100" t="s">
        <v>979</v>
      </c>
      <c r="E1696" s="17">
        <v>354</v>
      </c>
      <c r="F1696" s="18">
        <v>3182</v>
      </c>
      <c r="G1696" s="27"/>
      <c r="H1696" s="1"/>
      <c r="I1696" s="1"/>
      <c r="J1696" s="1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spans="1:27" ht="16" customHeight="1">
      <c r="A1697" s="12"/>
      <c r="B1697" s="109" t="s">
        <v>980</v>
      </c>
      <c r="C1697" s="107"/>
      <c r="D1697" s="100" t="s">
        <v>18</v>
      </c>
      <c r="E1697" s="17">
        <v>2373</v>
      </c>
      <c r="F1697" s="18">
        <v>1145</v>
      </c>
      <c r="G1697" s="27"/>
      <c r="H1697" s="1"/>
      <c r="I1697" s="1"/>
      <c r="J1697" s="1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spans="1:27" ht="16" customHeight="1">
      <c r="A1698" s="12"/>
      <c r="B1698" s="108"/>
      <c r="C1698" s="106"/>
      <c r="D1698" s="100" t="s">
        <v>65</v>
      </c>
      <c r="E1698" s="17">
        <v>2374</v>
      </c>
      <c r="F1698" s="18">
        <v>1591</v>
      </c>
      <c r="G1698" s="27"/>
      <c r="H1698" s="1"/>
      <c r="I1698" s="1"/>
      <c r="J1698" s="1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spans="1:27" ht="16" customHeight="1">
      <c r="A1699" s="12"/>
      <c r="B1699" s="109" t="s">
        <v>575</v>
      </c>
      <c r="C1699" s="107"/>
      <c r="D1699" s="100" t="s">
        <v>981</v>
      </c>
      <c r="E1699" s="17">
        <v>3524</v>
      </c>
      <c r="F1699" s="18" t="s">
        <v>807</v>
      </c>
      <c r="G1699" s="27"/>
      <c r="H1699" s="1"/>
      <c r="I1699" s="1"/>
      <c r="J1699" s="1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spans="1:27" ht="16" customHeight="1">
      <c r="A1700" s="12"/>
      <c r="B1700" s="108"/>
      <c r="C1700" s="106"/>
      <c r="D1700" s="100" t="s">
        <v>982</v>
      </c>
      <c r="E1700" s="17">
        <v>3525</v>
      </c>
      <c r="F1700" s="18" t="s">
        <v>807</v>
      </c>
      <c r="G1700" s="27"/>
      <c r="H1700" s="1"/>
      <c r="I1700" s="1"/>
      <c r="J1700" s="1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spans="1:27" ht="16" customHeight="1">
      <c r="A1701" s="12"/>
      <c r="B1701" s="108"/>
      <c r="C1701" s="106"/>
      <c r="D1701" s="100" t="s">
        <v>983</v>
      </c>
      <c r="E1701" s="17">
        <v>3526</v>
      </c>
      <c r="F1701" s="18" t="s">
        <v>807</v>
      </c>
      <c r="G1701" s="27"/>
      <c r="H1701" s="1"/>
      <c r="I1701" s="1"/>
      <c r="J1701" s="1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spans="1:27" ht="15.5" customHeight="1">
      <c r="A1702" s="12"/>
      <c r="B1702" s="108"/>
      <c r="C1702" s="115"/>
      <c r="D1702" s="112"/>
      <c r="E1702" s="13"/>
      <c r="F1702" s="14"/>
      <c r="G1702" s="30"/>
      <c r="H1702" s="1"/>
      <c r="I1702" s="1"/>
      <c r="J1702" s="1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</sheetData>
  <mergeCells count="20">
    <mergeCell ref="A1688:G1688"/>
    <mergeCell ref="A3:F3"/>
    <mergeCell ref="A10:G10"/>
    <mergeCell ref="A2:F2"/>
    <mergeCell ref="A1655:G1655"/>
    <mergeCell ref="A4:F4"/>
    <mergeCell ref="A45:G45"/>
    <mergeCell ref="A1:G1"/>
    <mergeCell ref="A523:G523"/>
    <mergeCell ref="A1685:G1685"/>
    <mergeCell ref="A1597:G1597"/>
    <mergeCell ref="A1097:G1097"/>
    <mergeCell ref="A7:G7"/>
    <mergeCell ref="A1681:G1681"/>
    <mergeCell ref="A654:G654"/>
    <mergeCell ref="A393:G393"/>
    <mergeCell ref="A1412:G1412"/>
    <mergeCell ref="A235:G235"/>
    <mergeCell ref="A1633:G1633"/>
    <mergeCell ref="A1461:G146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/>
  <cols>
    <col min="1" max="1" width="16.5" style="121" customWidth="1"/>
    <col min="2" max="2" width="14.6640625" style="121" customWidth="1"/>
    <col min="3" max="3" width="13" style="121" customWidth="1"/>
    <col min="4" max="4" width="31" style="121" customWidth="1"/>
    <col min="5" max="5" width="13.33203125" style="121" customWidth="1"/>
    <col min="6" max="6" width="8" style="121" customWidth="1"/>
    <col min="7" max="7" width="13.5" style="121" customWidth="1"/>
    <col min="8" max="8" width="17.5" style="121" customWidth="1"/>
    <col min="9" max="9" width="18.1640625" style="121" customWidth="1"/>
    <col min="10" max="10" width="12.1640625" style="121" customWidth="1"/>
    <col min="11" max="11" width="14.5" style="121" customWidth="1"/>
    <col min="12" max="12" width="16.83203125" style="121" customWidth="1"/>
    <col min="13" max="15" width="21.5" style="121" customWidth="1"/>
    <col min="16" max="16" width="17.83203125" style="121" customWidth="1"/>
    <col min="17" max="17" width="15.5" style="121" customWidth="1"/>
    <col min="18" max="23" width="17.83203125" style="121" customWidth="1"/>
    <col min="24" max="24" width="24.5" style="121" customWidth="1"/>
    <col min="25" max="25" width="9.83203125" style="121" customWidth="1"/>
    <col min="26" max="26" width="12.5" style="121" customWidth="1"/>
  </cols>
  <sheetData>
    <row r="1" spans="1:26" ht="42.75" customHeight="1">
      <c r="A1" s="31" t="s">
        <v>984</v>
      </c>
      <c r="B1" s="32"/>
      <c r="C1" s="33"/>
      <c r="D1" s="34"/>
      <c r="E1" s="34"/>
      <c r="F1" s="35"/>
      <c r="G1" s="36"/>
      <c r="H1" s="37"/>
      <c r="I1" s="37"/>
      <c r="J1" s="37"/>
      <c r="K1" s="37"/>
      <c r="L1" s="38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9"/>
      <c r="Y1" s="40"/>
      <c r="Z1" s="1"/>
    </row>
    <row r="2" spans="1:26" ht="15.5" customHeight="1">
      <c r="A2" s="41"/>
      <c r="B2" s="42"/>
      <c r="C2" s="43"/>
      <c r="D2" s="44"/>
      <c r="E2" s="45" t="s">
        <v>985</v>
      </c>
      <c r="F2" s="45" t="s">
        <v>986</v>
      </c>
      <c r="G2" s="46" t="s">
        <v>987</v>
      </c>
      <c r="H2" s="47" t="s">
        <v>988</v>
      </c>
      <c r="I2" s="48" t="s">
        <v>989</v>
      </c>
      <c r="J2" s="48" t="s">
        <v>990</v>
      </c>
      <c r="K2" s="48" t="s">
        <v>991</v>
      </c>
      <c r="L2" s="49" t="s">
        <v>992</v>
      </c>
      <c r="M2" s="48" t="s">
        <v>993</v>
      </c>
      <c r="N2" s="48" t="s">
        <v>994</v>
      </c>
      <c r="O2" s="48" t="s">
        <v>995</v>
      </c>
      <c r="P2" s="48" t="s">
        <v>996</v>
      </c>
      <c r="Q2" s="48" t="s">
        <v>997</v>
      </c>
      <c r="R2" s="48" t="s">
        <v>996</v>
      </c>
      <c r="S2" s="48" t="s">
        <v>996</v>
      </c>
      <c r="T2" s="48" t="s">
        <v>996</v>
      </c>
      <c r="U2" s="48" t="s">
        <v>997</v>
      </c>
      <c r="V2" s="48" t="s">
        <v>997</v>
      </c>
      <c r="W2" s="48" t="s">
        <v>997</v>
      </c>
      <c r="X2" s="39" t="s">
        <v>8</v>
      </c>
      <c r="Y2" s="50"/>
      <c r="Z2" s="1"/>
    </row>
    <row r="3" spans="1:26" ht="15.5" customHeight="1">
      <c r="A3" s="51" t="s">
        <v>998</v>
      </c>
      <c r="B3" s="160" t="s">
        <v>217</v>
      </c>
      <c r="C3" s="43"/>
      <c r="D3" s="44"/>
      <c r="E3" s="44"/>
      <c r="F3" s="45"/>
      <c r="G3" s="46"/>
      <c r="H3" s="52"/>
      <c r="I3" s="37"/>
      <c r="J3" s="37"/>
      <c r="K3" s="37"/>
      <c r="L3" s="38"/>
      <c r="M3" s="37" t="s">
        <v>999</v>
      </c>
      <c r="N3" s="37" t="s">
        <v>1000</v>
      </c>
      <c r="O3" s="37" t="s">
        <v>1001</v>
      </c>
      <c r="P3" s="37" t="s">
        <v>1002</v>
      </c>
      <c r="Q3" s="37" t="s">
        <v>1002</v>
      </c>
      <c r="R3" s="37" t="s">
        <v>1003</v>
      </c>
      <c r="S3" s="37" t="s">
        <v>1004</v>
      </c>
      <c r="T3" s="37" t="s">
        <v>1005</v>
      </c>
      <c r="U3" s="37" t="s">
        <v>1003</v>
      </c>
      <c r="V3" s="37" t="s">
        <v>1004</v>
      </c>
      <c r="W3" s="37" t="s">
        <v>1005</v>
      </c>
      <c r="X3" s="39"/>
      <c r="Y3" s="53"/>
      <c r="Z3" s="1"/>
    </row>
    <row r="4" spans="1:26" ht="16.5" customHeight="1">
      <c r="A4" s="54"/>
      <c r="B4" s="162"/>
      <c r="C4" s="33"/>
      <c r="D4" s="55" t="s">
        <v>1006</v>
      </c>
      <c r="E4" s="55" t="s">
        <v>607</v>
      </c>
      <c r="F4" s="56" t="s">
        <v>1007</v>
      </c>
      <c r="G4" s="57" t="s">
        <v>1008</v>
      </c>
      <c r="H4" s="58">
        <v>12000</v>
      </c>
      <c r="I4" s="58">
        <f t="shared" ref="I4:I67" si="0">H4*0.7</f>
        <v>8400</v>
      </c>
      <c r="J4" s="58">
        <f t="shared" ref="J4:J67" si="1">I4/33</f>
        <v>254.54545454545453</v>
      </c>
      <c r="K4" s="58">
        <v>950</v>
      </c>
      <c r="L4" s="59">
        <f t="shared" ref="L4:L67" si="2">K4-50</f>
        <v>900</v>
      </c>
      <c r="M4" s="58">
        <f t="shared" ref="M4:M67" si="3">L4*0.75</f>
        <v>675</v>
      </c>
      <c r="N4" s="58">
        <f t="shared" ref="N4:N67" si="4">L4*0.65</f>
        <v>585</v>
      </c>
      <c r="O4" s="58">
        <f t="shared" ref="O4:O67" si="5">K4*0.5</f>
        <v>475</v>
      </c>
      <c r="P4" s="58">
        <f t="shared" ref="P4:P67" si="6">L4-J4</f>
        <v>645.4545454545455</v>
      </c>
      <c r="Q4" s="60">
        <f t="shared" ref="Q4:Q67" si="7">((L4-J4)/J4)</f>
        <v>2.535714285714286</v>
      </c>
      <c r="R4" s="58">
        <f t="shared" ref="R4:R67" si="8">M4-J4</f>
        <v>420.4545454545455</v>
      </c>
      <c r="S4" s="58">
        <f t="shared" ref="S4:S67" si="9">N4-J4</f>
        <v>330.4545454545455</v>
      </c>
      <c r="T4" s="58">
        <f t="shared" ref="T4:T67" si="10">O4-J4</f>
        <v>220.45454545454547</v>
      </c>
      <c r="U4" s="60">
        <f t="shared" ref="U4:U67" si="11">(M4-J4)/J4</f>
        <v>1.6517857142857146</v>
      </c>
      <c r="V4" s="60">
        <f t="shared" ref="V4:V67" si="12">(N4-J4)/J4</f>
        <v>1.298214285714286</v>
      </c>
      <c r="W4" s="60">
        <f t="shared" ref="W4:W67" si="13">(O4-J4)/J4</f>
        <v>0.86607142857142871</v>
      </c>
      <c r="X4" s="61" t="s">
        <v>13</v>
      </c>
      <c r="Y4" s="53"/>
      <c r="Z4" s="1"/>
    </row>
    <row r="5" spans="1:26" ht="15.5" customHeight="1">
      <c r="A5" s="54"/>
      <c r="B5" s="162"/>
      <c r="C5" s="33"/>
      <c r="D5" s="55" t="s">
        <v>1006</v>
      </c>
      <c r="E5" s="55" t="s">
        <v>68</v>
      </c>
      <c r="F5" s="56" t="s">
        <v>1007</v>
      </c>
      <c r="G5" s="57" t="s">
        <v>1009</v>
      </c>
      <c r="H5" s="58">
        <v>15000</v>
      </c>
      <c r="I5" s="58">
        <f t="shared" si="0"/>
        <v>10500</v>
      </c>
      <c r="J5" s="58">
        <f t="shared" si="1"/>
        <v>318.18181818181819</v>
      </c>
      <c r="K5" s="58">
        <v>1250</v>
      </c>
      <c r="L5" s="59">
        <f t="shared" si="2"/>
        <v>1200</v>
      </c>
      <c r="M5" s="58">
        <f t="shared" si="3"/>
        <v>900</v>
      </c>
      <c r="N5" s="58">
        <f t="shared" si="4"/>
        <v>780</v>
      </c>
      <c r="O5" s="58">
        <f t="shared" si="5"/>
        <v>625</v>
      </c>
      <c r="P5" s="58">
        <f t="shared" si="6"/>
        <v>881.81818181818176</v>
      </c>
      <c r="Q5" s="60">
        <f t="shared" si="7"/>
        <v>2.7714285714285714</v>
      </c>
      <c r="R5" s="58">
        <f t="shared" si="8"/>
        <v>581.81818181818176</v>
      </c>
      <c r="S5" s="58">
        <f t="shared" si="9"/>
        <v>461.81818181818181</v>
      </c>
      <c r="T5" s="58">
        <f t="shared" si="10"/>
        <v>306.81818181818181</v>
      </c>
      <c r="U5" s="60">
        <f t="shared" si="11"/>
        <v>1.8285714285714283</v>
      </c>
      <c r="V5" s="60">
        <f t="shared" si="12"/>
        <v>1.4514285714285713</v>
      </c>
      <c r="W5" s="60">
        <f t="shared" si="13"/>
        <v>0.9642857142857143</v>
      </c>
      <c r="X5" s="61" t="s">
        <v>13</v>
      </c>
      <c r="Y5" s="53"/>
      <c r="Z5" s="1"/>
    </row>
    <row r="6" spans="1:26" ht="15.5" customHeight="1">
      <c r="A6" s="54"/>
      <c r="B6" s="162"/>
      <c r="C6" s="33"/>
      <c r="D6" s="55" t="s">
        <v>1006</v>
      </c>
      <c r="E6" s="55" t="s">
        <v>1010</v>
      </c>
      <c r="F6" s="56" t="s">
        <v>1007</v>
      </c>
      <c r="G6" s="57" t="s">
        <v>1011</v>
      </c>
      <c r="H6" s="58">
        <v>16000</v>
      </c>
      <c r="I6" s="58">
        <f t="shared" si="0"/>
        <v>11200</v>
      </c>
      <c r="J6" s="58">
        <f t="shared" si="1"/>
        <v>339.39393939393938</v>
      </c>
      <c r="K6" s="58">
        <v>1250</v>
      </c>
      <c r="L6" s="59">
        <f t="shared" si="2"/>
        <v>1200</v>
      </c>
      <c r="M6" s="58">
        <f t="shared" si="3"/>
        <v>900</v>
      </c>
      <c r="N6" s="58">
        <f t="shared" si="4"/>
        <v>780</v>
      </c>
      <c r="O6" s="58">
        <f t="shared" si="5"/>
        <v>625</v>
      </c>
      <c r="P6" s="58">
        <f t="shared" si="6"/>
        <v>860.60606060606062</v>
      </c>
      <c r="Q6" s="60">
        <f t="shared" si="7"/>
        <v>2.535714285714286</v>
      </c>
      <c r="R6" s="58">
        <f t="shared" si="8"/>
        <v>560.60606060606062</v>
      </c>
      <c r="S6" s="58">
        <f t="shared" si="9"/>
        <v>440.60606060606062</v>
      </c>
      <c r="T6" s="58">
        <f t="shared" si="10"/>
        <v>285.60606060606062</v>
      </c>
      <c r="U6" s="60">
        <f t="shared" si="11"/>
        <v>1.6517857142857144</v>
      </c>
      <c r="V6" s="60">
        <f t="shared" si="12"/>
        <v>1.2982142857142858</v>
      </c>
      <c r="W6" s="60">
        <f t="shared" si="13"/>
        <v>0.84151785714285721</v>
      </c>
      <c r="X6" s="61" t="s">
        <v>13</v>
      </c>
      <c r="Y6" s="53"/>
      <c r="Z6" s="1"/>
    </row>
    <row r="7" spans="1:26" ht="15.5" customHeight="1">
      <c r="A7" s="54"/>
      <c r="B7" s="162"/>
      <c r="C7" s="33"/>
      <c r="D7" s="55" t="s">
        <v>1006</v>
      </c>
      <c r="E7" s="55" t="s">
        <v>297</v>
      </c>
      <c r="F7" s="56" t="s">
        <v>1007</v>
      </c>
      <c r="G7" s="57" t="s">
        <v>1012</v>
      </c>
      <c r="H7" s="58">
        <v>16000</v>
      </c>
      <c r="I7" s="58">
        <f t="shared" si="0"/>
        <v>11200</v>
      </c>
      <c r="J7" s="58">
        <f t="shared" si="1"/>
        <v>339.39393939393938</v>
      </c>
      <c r="K7" s="58">
        <v>1250</v>
      </c>
      <c r="L7" s="59">
        <f t="shared" si="2"/>
        <v>1200</v>
      </c>
      <c r="M7" s="58">
        <f t="shared" si="3"/>
        <v>900</v>
      </c>
      <c r="N7" s="58">
        <f t="shared" si="4"/>
        <v>780</v>
      </c>
      <c r="O7" s="58">
        <f t="shared" si="5"/>
        <v>625</v>
      </c>
      <c r="P7" s="58">
        <f t="shared" si="6"/>
        <v>860.60606060606062</v>
      </c>
      <c r="Q7" s="60">
        <f t="shared" si="7"/>
        <v>2.535714285714286</v>
      </c>
      <c r="R7" s="58">
        <f t="shared" si="8"/>
        <v>560.60606060606062</v>
      </c>
      <c r="S7" s="58">
        <f t="shared" si="9"/>
        <v>440.60606060606062</v>
      </c>
      <c r="T7" s="58">
        <f t="shared" si="10"/>
        <v>285.60606060606062</v>
      </c>
      <c r="U7" s="60">
        <f t="shared" si="11"/>
        <v>1.6517857142857144</v>
      </c>
      <c r="V7" s="60">
        <f t="shared" si="12"/>
        <v>1.2982142857142858</v>
      </c>
      <c r="W7" s="60">
        <f t="shared" si="13"/>
        <v>0.84151785714285721</v>
      </c>
      <c r="X7" s="61" t="s">
        <v>13</v>
      </c>
      <c r="Y7" s="53"/>
      <c r="Z7" s="1"/>
    </row>
    <row r="8" spans="1:26" ht="15.5" customHeight="1">
      <c r="A8" s="54"/>
      <c r="B8" s="162"/>
      <c r="C8" s="33"/>
      <c r="D8" s="55" t="s">
        <v>1013</v>
      </c>
      <c r="E8" s="55" t="s">
        <v>607</v>
      </c>
      <c r="F8" s="56" t="s">
        <v>1014</v>
      </c>
      <c r="G8" s="57" t="s">
        <v>1015</v>
      </c>
      <c r="H8" s="58">
        <v>15000</v>
      </c>
      <c r="I8" s="58">
        <f t="shared" si="0"/>
        <v>10500</v>
      </c>
      <c r="J8" s="58">
        <f t="shared" si="1"/>
        <v>318.18181818181819</v>
      </c>
      <c r="K8" s="58">
        <v>1100</v>
      </c>
      <c r="L8" s="59">
        <f t="shared" si="2"/>
        <v>1050</v>
      </c>
      <c r="M8" s="58">
        <f t="shared" si="3"/>
        <v>787.5</v>
      </c>
      <c r="N8" s="58">
        <f t="shared" si="4"/>
        <v>682.5</v>
      </c>
      <c r="O8" s="58">
        <f t="shared" si="5"/>
        <v>550</v>
      </c>
      <c r="P8" s="58">
        <f t="shared" si="6"/>
        <v>731.81818181818176</v>
      </c>
      <c r="Q8" s="60">
        <f t="shared" si="7"/>
        <v>2.2999999999999998</v>
      </c>
      <c r="R8" s="58">
        <f t="shared" si="8"/>
        <v>469.31818181818181</v>
      </c>
      <c r="S8" s="58">
        <f t="shared" si="9"/>
        <v>364.31818181818181</v>
      </c>
      <c r="T8" s="58">
        <f t="shared" si="10"/>
        <v>231.81818181818181</v>
      </c>
      <c r="U8" s="60">
        <f t="shared" si="11"/>
        <v>1.4749999999999999</v>
      </c>
      <c r="V8" s="60">
        <f t="shared" si="12"/>
        <v>1.145</v>
      </c>
      <c r="W8" s="60">
        <f t="shared" si="13"/>
        <v>0.72857142857142854</v>
      </c>
      <c r="X8" s="61" t="s">
        <v>21</v>
      </c>
      <c r="Y8" s="62"/>
      <c r="Z8" s="1"/>
    </row>
    <row r="9" spans="1:26" ht="15.5" customHeight="1">
      <c r="A9" s="54"/>
      <c r="B9" s="162"/>
      <c r="C9" s="33"/>
      <c r="D9" s="55" t="s">
        <v>1013</v>
      </c>
      <c r="E9" s="55" t="s">
        <v>68</v>
      </c>
      <c r="F9" s="56" t="s">
        <v>1014</v>
      </c>
      <c r="G9" s="57" t="s">
        <v>1016</v>
      </c>
      <c r="H9" s="58">
        <v>17000</v>
      </c>
      <c r="I9" s="58">
        <f t="shared" si="0"/>
        <v>11900</v>
      </c>
      <c r="J9" s="58">
        <f t="shared" si="1"/>
        <v>360.60606060606062</v>
      </c>
      <c r="K9" s="58">
        <v>1400</v>
      </c>
      <c r="L9" s="59">
        <f t="shared" si="2"/>
        <v>1350</v>
      </c>
      <c r="M9" s="58">
        <f t="shared" si="3"/>
        <v>1012.5</v>
      </c>
      <c r="N9" s="58">
        <f t="shared" si="4"/>
        <v>877.5</v>
      </c>
      <c r="O9" s="58">
        <f t="shared" si="5"/>
        <v>700</v>
      </c>
      <c r="P9" s="58">
        <f t="shared" si="6"/>
        <v>989.39393939393938</v>
      </c>
      <c r="Q9" s="60">
        <f t="shared" si="7"/>
        <v>2.7436974789915967</v>
      </c>
      <c r="R9" s="58">
        <f t="shared" si="8"/>
        <v>651.89393939393938</v>
      </c>
      <c r="S9" s="58">
        <f t="shared" si="9"/>
        <v>516.89393939393938</v>
      </c>
      <c r="T9" s="58">
        <f t="shared" si="10"/>
        <v>339.39393939393938</v>
      </c>
      <c r="U9" s="60">
        <f t="shared" si="11"/>
        <v>1.8077731092436973</v>
      </c>
      <c r="V9" s="60">
        <f t="shared" si="12"/>
        <v>1.4334033613445376</v>
      </c>
      <c r="W9" s="60">
        <f t="shared" si="13"/>
        <v>0.94117647058823517</v>
      </c>
      <c r="X9" s="61" t="s">
        <v>21</v>
      </c>
      <c r="Y9" s="53"/>
      <c r="Z9" s="1"/>
    </row>
    <row r="10" spans="1:26" ht="15.5" customHeight="1">
      <c r="A10" s="54"/>
      <c r="B10" s="162"/>
      <c r="C10" s="33"/>
      <c r="D10" s="55" t="s">
        <v>1017</v>
      </c>
      <c r="E10" s="55" t="s">
        <v>607</v>
      </c>
      <c r="F10" s="56" t="s">
        <v>1014</v>
      </c>
      <c r="G10" s="57" t="s">
        <v>1018</v>
      </c>
      <c r="H10" s="58">
        <v>15000</v>
      </c>
      <c r="I10" s="58">
        <f t="shared" si="0"/>
        <v>10500</v>
      </c>
      <c r="J10" s="58">
        <f t="shared" si="1"/>
        <v>318.18181818181819</v>
      </c>
      <c r="K10" s="58">
        <v>1100</v>
      </c>
      <c r="L10" s="59">
        <f t="shared" si="2"/>
        <v>1050</v>
      </c>
      <c r="M10" s="58">
        <f t="shared" si="3"/>
        <v>787.5</v>
      </c>
      <c r="N10" s="58">
        <f t="shared" si="4"/>
        <v>682.5</v>
      </c>
      <c r="O10" s="58">
        <f t="shared" si="5"/>
        <v>550</v>
      </c>
      <c r="P10" s="58">
        <f t="shared" si="6"/>
        <v>731.81818181818176</v>
      </c>
      <c r="Q10" s="60">
        <f t="shared" si="7"/>
        <v>2.2999999999999998</v>
      </c>
      <c r="R10" s="58">
        <f t="shared" si="8"/>
        <v>469.31818181818181</v>
      </c>
      <c r="S10" s="58">
        <f t="shared" si="9"/>
        <v>364.31818181818181</v>
      </c>
      <c r="T10" s="58">
        <f t="shared" si="10"/>
        <v>231.81818181818181</v>
      </c>
      <c r="U10" s="60">
        <f t="shared" si="11"/>
        <v>1.4749999999999999</v>
      </c>
      <c r="V10" s="60">
        <f t="shared" si="12"/>
        <v>1.145</v>
      </c>
      <c r="W10" s="60">
        <f t="shared" si="13"/>
        <v>0.72857142857142854</v>
      </c>
      <c r="X10" s="61" t="s">
        <v>23</v>
      </c>
      <c r="Y10" s="63"/>
      <c r="Z10" s="1"/>
    </row>
    <row r="11" spans="1:26" ht="15.5" customHeight="1">
      <c r="A11" s="54"/>
      <c r="B11" s="162"/>
      <c r="C11" s="33"/>
      <c r="D11" s="55" t="s">
        <v>1017</v>
      </c>
      <c r="E11" s="55" t="s">
        <v>1019</v>
      </c>
      <c r="F11" s="56" t="s">
        <v>1014</v>
      </c>
      <c r="G11" s="57" t="s">
        <v>1020</v>
      </c>
      <c r="H11" s="58">
        <v>18000</v>
      </c>
      <c r="I11" s="58">
        <f t="shared" si="0"/>
        <v>12600</v>
      </c>
      <c r="J11" s="58">
        <f t="shared" si="1"/>
        <v>381.81818181818181</v>
      </c>
      <c r="K11" s="58">
        <v>1400</v>
      </c>
      <c r="L11" s="59">
        <f t="shared" si="2"/>
        <v>1350</v>
      </c>
      <c r="M11" s="58">
        <f t="shared" si="3"/>
        <v>1012.5</v>
      </c>
      <c r="N11" s="58">
        <f t="shared" si="4"/>
        <v>877.5</v>
      </c>
      <c r="O11" s="58">
        <f t="shared" si="5"/>
        <v>700</v>
      </c>
      <c r="P11" s="58">
        <f t="shared" si="6"/>
        <v>968.18181818181824</v>
      </c>
      <c r="Q11" s="60">
        <f t="shared" si="7"/>
        <v>2.535714285714286</v>
      </c>
      <c r="R11" s="58">
        <f t="shared" si="8"/>
        <v>630.68181818181824</v>
      </c>
      <c r="S11" s="58">
        <f t="shared" si="9"/>
        <v>495.68181818181819</v>
      </c>
      <c r="T11" s="58">
        <f t="shared" si="10"/>
        <v>318.18181818181819</v>
      </c>
      <c r="U11" s="60">
        <f t="shared" si="11"/>
        <v>1.6517857142857144</v>
      </c>
      <c r="V11" s="60">
        <f t="shared" si="12"/>
        <v>1.2982142857142858</v>
      </c>
      <c r="W11" s="60">
        <f t="shared" si="13"/>
        <v>0.83333333333333337</v>
      </c>
      <c r="X11" s="61" t="s">
        <v>23</v>
      </c>
      <c r="Y11" s="64"/>
      <c r="Z11" s="1"/>
    </row>
    <row r="12" spans="1:26" ht="15.5" customHeight="1">
      <c r="A12" s="54"/>
      <c r="B12" s="162"/>
      <c r="C12" s="33"/>
      <c r="D12" s="55" t="s">
        <v>1021</v>
      </c>
      <c r="E12" s="55" t="s">
        <v>68</v>
      </c>
      <c r="F12" s="56" t="s">
        <v>1014</v>
      </c>
      <c r="G12" s="57" t="s">
        <v>1022</v>
      </c>
      <c r="H12" s="58">
        <v>17000</v>
      </c>
      <c r="I12" s="58">
        <f t="shared" si="0"/>
        <v>11900</v>
      </c>
      <c r="J12" s="58">
        <f t="shared" si="1"/>
        <v>360.60606060606062</v>
      </c>
      <c r="K12" s="58">
        <v>1400</v>
      </c>
      <c r="L12" s="59">
        <f t="shared" si="2"/>
        <v>1350</v>
      </c>
      <c r="M12" s="58">
        <f t="shared" si="3"/>
        <v>1012.5</v>
      </c>
      <c r="N12" s="58">
        <f t="shared" si="4"/>
        <v>877.5</v>
      </c>
      <c r="O12" s="58">
        <f t="shared" si="5"/>
        <v>700</v>
      </c>
      <c r="P12" s="58">
        <f t="shared" si="6"/>
        <v>989.39393939393938</v>
      </c>
      <c r="Q12" s="60">
        <f t="shared" si="7"/>
        <v>2.7436974789915967</v>
      </c>
      <c r="R12" s="58">
        <f t="shared" si="8"/>
        <v>651.89393939393938</v>
      </c>
      <c r="S12" s="58">
        <f t="shared" si="9"/>
        <v>516.89393939393938</v>
      </c>
      <c r="T12" s="58">
        <f t="shared" si="10"/>
        <v>339.39393939393938</v>
      </c>
      <c r="U12" s="60">
        <f t="shared" si="11"/>
        <v>1.8077731092436973</v>
      </c>
      <c r="V12" s="60">
        <f t="shared" si="12"/>
        <v>1.4334033613445376</v>
      </c>
      <c r="W12" s="60">
        <f t="shared" si="13"/>
        <v>0.94117647058823517</v>
      </c>
      <c r="X12" s="61" t="s">
        <v>28</v>
      </c>
      <c r="Y12" s="53"/>
      <c r="Z12" s="1"/>
    </row>
    <row r="13" spans="1:26" ht="15.5" customHeight="1">
      <c r="A13" s="54"/>
      <c r="B13" s="162"/>
      <c r="C13" s="33"/>
      <c r="D13" s="55" t="s">
        <v>1023</v>
      </c>
      <c r="E13" s="55" t="s">
        <v>607</v>
      </c>
      <c r="F13" s="56" t="s">
        <v>1014</v>
      </c>
      <c r="G13" s="57" t="s">
        <v>1024</v>
      </c>
      <c r="H13" s="58">
        <v>16000</v>
      </c>
      <c r="I13" s="58">
        <f t="shared" si="0"/>
        <v>11200</v>
      </c>
      <c r="J13" s="58">
        <f t="shared" si="1"/>
        <v>339.39393939393938</v>
      </c>
      <c r="K13" s="58">
        <v>1100</v>
      </c>
      <c r="L13" s="59">
        <f t="shared" si="2"/>
        <v>1050</v>
      </c>
      <c r="M13" s="58">
        <f t="shared" si="3"/>
        <v>787.5</v>
      </c>
      <c r="N13" s="58">
        <f t="shared" si="4"/>
        <v>682.5</v>
      </c>
      <c r="O13" s="58">
        <f t="shared" si="5"/>
        <v>550</v>
      </c>
      <c r="P13" s="58">
        <f t="shared" si="6"/>
        <v>710.60606060606062</v>
      </c>
      <c r="Q13" s="60">
        <f t="shared" si="7"/>
        <v>2.09375</v>
      </c>
      <c r="R13" s="58">
        <f t="shared" si="8"/>
        <v>448.10606060606062</v>
      </c>
      <c r="S13" s="58">
        <f t="shared" si="9"/>
        <v>343.10606060606062</v>
      </c>
      <c r="T13" s="58">
        <f t="shared" si="10"/>
        <v>210.60606060606062</v>
      </c>
      <c r="U13" s="60">
        <f t="shared" si="11"/>
        <v>1.3203125000000002</v>
      </c>
      <c r="V13" s="60">
        <f t="shared" si="12"/>
        <v>1.0109375</v>
      </c>
      <c r="W13" s="60">
        <f t="shared" si="13"/>
        <v>0.62053571428571441</v>
      </c>
      <c r="X13" s="61" t="s">
        <v>30</v>
      </c>
      <c r="Y13" s="53"/>
      <c r="Z13" s="1"/>
    </row>
    <row r="14" spans="1:26" ht="15.5" customHeight="1">
      <c r="A14" s="54"/>
      <c r="B14" s="162"/>
      <c r="C14" s="33"/>
      <c r="D14" s="55" t="s">
        <v>1023</v>
      </c>
      <c r="E14" s="55" t="s">
        <v>582</v>
      </c>
      <c r="F14" s="56" t="s">
        <v>1014</v>
      </c>
      <c r="G14" s="57" t="s">
        <v>1025</v>
      </c>
      <c r="H14" s="58">
        <v>18000</v>
      </c>
      <c r="I14" s="58">
        <f t="shared" si="0"/>
        <v>12600</v>
      </c>
      <c r="J14" s="58">
        <f t="shared" si="1"/>
        <v>381.81818181818181</v>
      </c>
      <c r="K14" s="58">
        <v>1400</v>
      </c>
      <c r="L14" s="59">
        <f t="shared" si="2"/>
        <v>1350</v>
      </c>
      <c r="M14" s="58">
        <f t="shared" si="3"/>
        <v>1012.5</v>
      </c>
      <c r="N14" s="58">
        <f t="shared" si="4"/>
        <v>877.5</v>
      </c>
      <c r="O14" s="58">
        <f t="shared" si="5"/>
        <v>700</v>
      </c>
      <c r="P14" s="58">
        <f t="shared" si="6"/>
        <v>968.18181818181824</v>
      </c>
      <c r="Q14" s="60">
        <f t="shared" si="7"/>
        <v>2.535714285714286</v>
      </c>
      <c r="R14" s="58">
        <f t="shared" si="8"/>
        <v>630.68181818181824</v>
      </c>
      <c r="S14" s="58">
        <f t="shared" si="9"/>
        <v>495.68181818181819</v>
      </c>
      <c r="T14" s="58">
        <f t="shared" si="10"/>
        <v>318.18181818181819</v>
      </c>
      <c r="U14" s="60">
        <f t="shared" si="11"/>
        <v>1.6517857142857144</v>
      </c>
      <c r="V14" s="60">
        <f t="shared" si="12"/>
        <v>1.2982142857142858</v>
      </c>
      <c r="W14" s="60">
        <f t="shared" si="13"/>
        <v>0.83333333333333337</v>
      </c>
      <c r="X14" s="61" t="s">
        <v>32</v>
      </c>
      <c r="Y14" s="53"/>
      <c r="Z14" s="1"/>
    </row>
    <row r="15" spans="1:26" ht="15.5" customHeight="1">
      <c r="A15" s="54"/>
      <c r="B15" s="162"/>
      <c r="C15" s="33"/>
      <c r="D15" s="55" t="s">
        <v>1023</v>
      </c>
      <c r="E15" s="55" t="s">
        <v>1026</v>
      </c>
      <c r="F15" s="56" t="s">
        <v>1014</v>
      </c>
      <c r="G15" s="57" t="s">
        <v>1027</v>
      </c>
      <c r="H15" s="58">
        <v>18000</v>
      </c>
      <c r="I15" s="58">
        <f t="shared" si="0"/>
        <v>12600</v>
      </c>
      <c r="J15" s="58">
        <f t="shared" si="1"/>
        <v>381.81818181818181</v>
      </c>
      <c r="K15" s="58">
        <v>1400</v>
      </c>
      <c r="L15" s="59">
        <f t="shared" si="2"/>
        <v>1350</v>
      </c>
      <c r="M15" s="58">
        <f t="shared" si="3"/>
        <v>1012.5</v>
      </c>
      <c r="N15" s="58">
        <f t="shared" si="4"/>
        <v>877.5</v>
      </c>
      <c r="O15" s="58">
        <f t="shared" si="5"/>
        <v>700</v>
      </c>
      <c r="P15" s="58">
        <f t="shared" si="6"/>
        <v>968.18181818181824</v>
      </c>
      <c r="Q15" s="60">
        <f t="shared" si="7"/>
        <v>2.535714285714286</v>
      </c>
      <c r="R15" s="58">
        <f t="shared" si="8"/>
        <v>630.68181818181824</v>
      </c>
      <c r="S15" s="58">
        <f t="shared" si="9"/>
        <v>495.68181818181819</v>
      </c>
      <c r="T15" s="58">
        <f t="shared" si="10"/>
        <v>318.18181818181819</v>
      </c>
      <c r="U15" s="60">
        <f t="shared" si="11"/>
        <v>1.6517857142857144</v>
      </c>
      <c r="V15" s="60">
        <f t="shared" si="12"/>
        <v>1.2982142857142858</v>
      </c>
      <c r="W15" s="60">
        <f t="shared" si="13"/>
        <v>0.83333333333333337</v>
      </c>
      <c r="X15" s="61" t="s">
        <v>32</v>
      </c>
      <c r="Y15" s="53"/>
      <c r="Z15" s="1"/>
    </row>
    <row r="16" spans="1:26" ht="15.5" customHeight="1">
      <c r="A16" s="54"/>
      <c r="B16" s="162"/>
      <c r="C16" s="33"/>
      <c r="D16" s="55" t="s">
        <v>1028</v>
      </c>
      <c r="E16" s="55" t="s">
        <v>607</v>
      </c>
      <c r="F16" s="56" t="s">
        <v>1014</v>
      </c>
      <c r="G16" s="57" t="s">
        <v>1029</v>
      </c>
      <c r="H16" s="58">
        <v>16000</v>
      </c>
      <c r="I16" s="58">
        <f t="shared" si="0"/>
        <v>11200</v>
      </c>
      <c r="J16" s="58">
        <f t="shared" si="1"/>
        <v>339.39393939393938</v>
      </c>
      <c r="K16" s="58">
        <v>1150</v>
      </c>
      <c r="L16" s="59">
        <f t="shared" si="2"/>
        <v>1100</v>
      </c>
      <c r="M16" s="58">
        <f t="shared" si="3"/>
        <v>825</v>
      </c>
      <c r="N16" s="58">
        <f t="shared" si="4"/>
        <v>715</v>
      </c>
      <c r="O16" s="58">
        <f t="shared" si="5"/>
        <v>575</v>
      </c>
      <c r="P16" s="58">
        <f t="shared" si="6"/>
        <v>760.60606060606062</v>
      </c>
      <c r="Q16" s="60">
        <f t="shared" si="7"/>
        <v>2.2410714285714288</v>
      </c>
      <c r="R16" s="58">
        <f t="shared" si="8"/>
        <v>485.60606060606062</v>
      </c>
      <c r="S16" s="58">
        <f t="shared" si="9"/>
        <v>375.60606060606062</v>
      </c>
      <c r="T16" s="58">
        <f t="shared" si="10"/>
        <v>235.60606060606062</v>
      </c>
      <c r="U16" s="60">
        <f t="shared" si="11"/>
        <v>1.4308035714285716</v>
      </c>
      <c r="V16" s="60">
        <f t="shared" si="12"/>
        <v>1.1066964285714287</v>
      </c>
      <c r="W16" s="60">
        <f t="shared" si="13"/>
        <v>0.6941964285714286</v>
      </c>
      <c r="X16" s="61" t="s">
        <v>35</v>
      </c>
      <c r="Y16" s="53"/>
      <c r="Z16" s="1"/>
    </row>
    <row r="17" spans="1:26" ht="15.5" customHeight="1">
      <c r="A17" s="54"/>
      <c r="B17" s="162"/>
      <c r="C17" s="33"/>
      <c r="D17" s="55" t="s">
        <v>1028</v>
      </c>
      <c r="E17" s="55" t="s">
        <v>68</v>
      </c>
      <c r="F17" s="56" t="s">
        <v>1014</v>
      </c>
      <c r="G17" s="57" t="s">
        <v>1030</v>
      </c>
      <c r="H17" s="58">
        <v>18000</v>
      </c>
      <c r="I17" s="58">
        <f t="shared" si="0"/>
        <v>12600</v>
      </c>
      <c r="J17" s="58">
        <f t="shared" si="1"/>
        <v>381.81818181818181</v>
      </c>
      <c r="K17" s="58">
        <v>1500</v>
      </c>
      <c r="L17" s="59">
        <f t="shared" si="2"/>
        <v>1450</v>
      </c>
      <c r="M17" s="58">
        <f t="shared" si="3"/>
        <v>1087.5</v>
      </c>
      <c r="N17" s="58">
        <f t="shared" si="4"/>
        <v>942.5</v>
      </c>
      <c r="O17" s="58">
        <f t="shared" si="5"/>
        <v>750</v>
      </c>
      <c r="P17" s="58">
        <f t="shared" si="6"/>
        <v>1068.1818181818182</v>
      </c>
      <c r="Q17" s="60">
        <f t="shared" si="7"/>
        <v>2.7976190476190479</v>
      </c>
      <c r="R17" s="58">
        <f t="shared" si="8"/>
        <v>705.68181818181824</v>
      </c>
      <c r="S17" s="58">
        <f t="shared" si="9"/>
        <v>560.68181818181824</v>
      </c>
      <c r="T17" s="58">
        <f t="shared" si="10"/>
        <v>368.18181818181819</v>
      </c>
      <c r="U17" s="60">
        <f t="shared" si="11"/>
        <v>1.8482142857142858</v>
      </c>
      <c r="V17" s="60">
        <f t="shared" si="12"/>
        <v>1.4684523809523811</v>
      </c>
      <c r="W17" s="60">
        <f t="shared" si="13"/>
        <v>0.9642857142857143</v>
      </c>
      <c r="X17" s="61" t="s">
        <v>35</v>
      </c>
      <c r="Y17" s="53"/>
      <c r="Z17" s="1"/>
    </row>
    <row r="18" spans="1:26" ht="15.5" customHeight="1">
      <c r="A18" s="54"/>
      <c r="B18" s="162"/>
      <c r="C18" s="33"/>
      <c r="D18" s="55" t="s">
        <v>1031</v>
      </c>
      <c r="E18" s="55" t="s">
        <v>607</v>
      </c>
      <c r="F18" s="56" t="s">
        <v>1014</v>
      </c>
      <c r="G18" s="57" t="s">
        <v>1032</v>
      </c>
      <c r="H18" s="58">
        <v>16000</v>
      </c>
      <c r="I18" s="58">
        <f t="shared" si="0"/>
        <v>11200</v>
      </c>
      <c r="J18" s="58">
        <f t="shared" si="1"/>
        <v>339.39393939393938</v>
      </c>
      <c r="K18" s="58">
        <v>1200</v>
      </c>
      <c r="L18" s="59">
        <f t="shared" si="2"/>
        <v>1150</v>
      </c>
      <c r="M18" s="58">
        <f t="shared" si="3"/>
        <v>862.5</v>
      </c>
      <c r="N18" s="58">
        <f t="shared" si="4"/>
        <v>747.5</v>
      </c>
      <c r="O18" s="58">
        <f t="shared" si="5"/>
        <v>600</v>
      </c>
      <c r="P18" s="58">
        <f t="shared" si="6"/>
        <v>810.60606060606062</v>
      </c>
      <c r="Q18" s="60">
        <f t="shared" si="7"/>
        <v>2.3883928571428572</v>
      </c>
      <c r="R18" s="58">
        <f t="shared" si="8"/>
        <v>523.10606060606062</v>
      </c>
      <c r="S18" s="58">
        <f t="shared" si="9"/>
        <v>408.10606060606062</v>
      </c>
      <c r="T18" s="58">
        <f t="shared" si="10"/>
        <v>260.60606060606062</v>
      </c>
      <c r="U18" s="60">
        <f t="shared" si="11"/>
        <v>1.541294642857143</v>
      </c>
      <c r="V18" s="60">
        <f t="shared" si="12"/>
        <v>1.2024553571428573</v>
      </c>
      <c r="W18" s="60">
        <f t="shared" si="13"/>
        <v>0.7678571428571429</v>
      </c>
      <c r="X18" s="61" t="s">
        <v>1033</v>
      </c>
      <c r="Y18" s="53"/>
      <c r="Z18" s="1"/>
    </row>
    <row r="19" spans="1:26" ht="15.5" customHeight="1">
      <c r="A19" s="54"/>
      <c r="B19" s="162"/>
      <c r="C19" s="33"/>
      <c r="D19" s="55" t="s">
        <v>1031</v>
      </c>
      <c r="E19" s="55" t="s">
        <v>68</v>
      </c>
      <c r="F19" s="56" t="s">
        <v>1014</v>
      </c>
      <c r="G19" s="57" t="s">
        <v>1034</v>
      </c>
      <c r="H19" s="58">
        <v>18000</v>
      </c>
      <c r="I19" s="58">
        <f t="shared" si="0"/>
        <v>12600</v>
      </c>
      <c r="J19" s="58">
        <f t="shared" si="1"/>
        <v>381.81818181818181</v>
      </c>
      <c r="K19" s="58">
        <v>1500</v>
      </c>
      <c r="L19" s="59">
        <f t="shared" si="2"/>
        <v>1450</v>
      </c>
      <c r="M19" s="58">
        <f t="shared" si="3"/>
        <v>1087.5</v>
      </c>
      <c r="N19" s="58">
        <f t="shared" si="4"/>
        <v>942.5</v>
      </c>
      <c r="O19" s="58">
        <f t="shared" si="5"/>
        <v>750</v>
      </c>
      <c r="P19" s="58">
        <f t="shared" si="6"/>
        <v>1068.1818181818182</v>
      </c>
      <c r="Q19" s="60">
        <f t="shared" si="7"/>
        <v>2.7976190476190479</v>
      </c>
      <c r="R19" s="58">
        <f t="shared" si="8"/>
        <v>705.68181818181824</v>
      </c>
      <c r="S19" s="58">
        <f t="shared" si="9"/>
        <v>560.68181818181824</v>
      </c>
      <c r="T19" s="58">
        <f t="shared" si="10"/>
        <v>368.18181818181819</v>
      </c>
      <c r="U19" s="60">
        <f t="shared" si="11"/>
        <v>1.8482142857142858</v>
      </c>
      <c r="V19" s="60">
        <f t="shared" si="12"/>
        <v>1.4684523809523811</v>
      </c>
      <c r="W19" s="60">
        <f t="shared" si="13"/>
        <v>0.9642857142857143</v>
      </c>
      <c r="X19" s="61" t="s">
        <v>1035</v>
      </c>
      <c r="Y19" s="53"/>
      <c r="Z19" s="1"/>
    </row>
    <row r="20" spans="1:26" ht="15.5" customHeight="1">
      <c r="A20" s="54"/>
      <c r="B20" s="162"/>
      <c r="C20" s="33"/>
      <c r="D20" s="55" t="s">
        <v>314</v>
      </c>
      <c r="E20" s="55" t="s">
        <v>607</v>
      </c>
      <c r="F20" s="56" t="s">
        <v>1014</v>
      </c>
      <c r="G20" s="57" t="s">
        <v>1036</v>
      </c>
      <c r="H20" s="58">
        <v>16000</v>
      </c>
      <c r="I20" s="58">
        <f t="shared" si="0"/>
        <v>11200</v>
      </c>
      <c r="J20" s="58">
        <f t="shared" si="1"/>
        <v>339.39393939393938</v>
      </c>
      <c r="K20" s="58">
        <v>1200</v>
      </c>
      <c r="L20" s="59">
        <f t="shared" si="2"/>
        <v>1150</v>
      </c>
      <c r="M20" s="58">
        <f t="shared" si="3"/>
        <v>862.5</v>
      </c>
      <c r="N20" s="58">
        <f t="shared" si="4"/>
        <v>747.5</v>
      </c>
      <c r="O20" s="58">
        <f t="shared" si="5"/>
        <v>600</v>
      </c>
      <c r="P20" s="58">
        <f t="shared" si="6"/>
        <v>810.60606060606062</v>
      </c>
      <c r="Q20" s="60">
        <f t="shared" si="7"/>
        <v>2.3883928571428572</v>
      </c>
      <c r="R20" s="58">
        <f t="shared" si="8"/>
        <v>523.10606060606062</v>
      </c>
      <c r="S20" s="58">
        <f t="shared" si="9"/>
        <v>408.10606060606062</v>
      </c>
      <c r="T20" s="58">
        <f t="shared" si="10"/>
        <v>260.60606060606062</v>
      </c>
      <c r="U20" s="60">
        <f t="shared" si="11"/>
        <v>1.541294642857143</v>
      </c>
      <c r="V20" s="60">
        <f t="shared" si="12"/>
        <v>1.2024553571428573</v>
      </c>
      <c r="W20" s="60">
        <f t="shared" si="13"/>
        <v>0.7678571428571429</v>
      </c>
      <c r="X20" s="61" t="s">
        <v>39</v>
      </c>
      <c r="Y20" s="53"/>
      <c r="Z20" s="1"/>
    </row>
    <row r="21" spans="1:26" ht="15.75" customHeight="1">
      <c r="A21" s="54"/>
      <c r="B21" s="162"/>
      <c r="C21" s="33"/>
      <c r="D21" s="55" t="s">
        <v>314</v>
      </c>
      <c r="E21" s="55" t="s">
        <v>68</v>
      </c>
      <c r="F21" s="56" t="s">
        <v>1014</v>
      </c>
      <c r="G21" s="57" t="s">
        <v>1037</v>
      </c>
      <c r="H21" s="58">
        <v>18000</v>
      </c>
      <c r="I21" s="58">
        <f t="shared" si="0"/>
        <v>12600</v>
      </c>
      <c r="J21" s="58">
        <f t="shared" si="1"/>
        <v>381.81818181818181</v>
      </c>
      <c r="K21" s="58">
        <v>1500</v>
      </c>
      <c r="L21" s="59">
        <f t="shared" si="2"/>
        <v>1450</v>
      </c>
      <c r="M21" s="58">
        <f t="shared" si="3"/>
        <v>1087.5</v>
      </c>
      <c r="N21" s="58">
        <f t="shared" si="4"/>
        <v>942.5</v>
      </c>
      <c r="O21" s="58">
        <f t="shared" si="5"/>
        <v>750</v>
      </c>
      <c r="P21" s="58">
        <f t="shared" si="6"/>
        <v>1068.1818181818182</v>
      </c>
      <c r="Q21" s="60">
        <f t="shared" si="7"/>
        <v>2.7976190476190479</v>
      </c>
      <c r="R21" s="58">
        <f t="shared" si="8"/>
        <v>705.68181818181824</v>
      </c>
      <c r="S21" s="58">
        <f t="shared" si="9"/>
        <v>560.68181818181824</v>
      </c>
      <c r="T21" s="58">
        <f t="shared" si="10"/>
        <v>368.18181818181819</v>
      </c>
      <c r="U21" s="60">
        <f t="shared" si="11"/>
        <v>1.8482142857142858</v>
      </c>
      <c r="V21" s="60">
        <f t="shared" si="12"/>
        <v>1.4684523809523811</v>
      </c>
      <c r="W21" s="60">
        <f t="shared" si="13"/>
        <v>0.9642857142857143</v>
      </c>
      <c r="X21" s="61" t="s">
        <v>41</v>
      </c>
      <c r="Y21" s="1"/>
      <c r="Z21" s="1"/>
    </row>
    <row r="22" spans="1:26" ht="15.75" customHeight="1">
      <c r="A22" s="54"/>
      <c r="B22" s="162"/>
      <c r="C22" s="33"/>
      <c r="D22" s="55" t="s">
        <v>314</v>
      </c>
      <c r="E22" s="55" t="s">
        <v>219</v>
      </c>
      <c r="F22" s="56" t="s">
        <v>1014</v>
      </c>
      <c r="G22" s="57" t="s">
        <v>1038</v>
      </c>
      <c r="H22" s="58">
        <v>18000</v>
      </c>
      <c r="I22" s="58">
        <f t="shared" si="0"/>
        <v>12600</v>
      </c>
      <c r="J22" s="58">
        <f t="shared" si="1"/>
        <v>381.81818181818181</v>
      </c>
      <c r="K22" s="58">
        <v>1500</v>
      </c>
      <c r="L22" s="59">
        <f t="shared" si="2"/>
        <v>1450</v>
      </c>
      <c r="M22" s="58">
        <f t="shared" si="3"/>
        <v>1087.5</v>
      </c>
      <c r="N22" s="58">
        <f t="shared" si="4"/>
        <v>942.5</v>
      </c>
      <c r="O22" s="58">
        <f t="shared" si="5"/>
        <v>750</v>
      </c>
      <c r="P22" s="58">
        <f t="shared" si="6"/>
        <v>1068.1818181818182</v>
      </c>
      <c r="Q22" s="60">
        <f t="shared" si="7"/>
        <v>2.7976190476190479</v>
      </c>
      <c r="R22" s="58">
        <f t="shared" si="8"/>
        <v>705.68181818181824</v>
      </c>
      <c r="S22" s="58">
        <f t="shared" si="9"/>
        <v>560.68181818181824</v>
      </c>
      <c r="T22" s="58">
        <f t="shared" si="10"/>
        <v>368.18181818181819</v>
      </c>
      <c r="U22" s="60">
        <f t="shared" si="11"/>
        <v>1.8482142857142858</v>
      </c>
      <c r="V22" s="60">
        <f t="shared" si="12"/>
        <v>1.4684523809523811</v>
      </c>
      <c r="W22" s="60">
        <f t="shared" si="13"/>
        <v>0.9642857142857143</v>
      </c>
      <c r="X22" s="61" t="s">
        <v>41</v>
      </c>
      <c r="Y22" s="1"/>
      <c r="Z22" s="1"/>
    </row>
    <row r="23" spans="1:26" ht="15.75" customHeight="1">
      <c r="A23" s="54"/>
      <c r="B23" s="162"/>
      <c r="C23" s="33"/>
      <c r="D23" s="55" t="s">
        <v>314</v>
      </c>
      <c r="E23" s="55" t="s">
        <v>225</v>
      </c>
      <c r="F23" s="56" t="s">
        <v>1014</v>
      </c>
      <c r="G23" s="57" t="s">
        <v>1039</v>
      </c>
      <c r="H23" s="58">
        <v>20000</v>
      </c>
      <c r="I23" s="58">
        <f t="shared" si="0"/>
        <v>14000</v>
      </c>
      <c r="J23" s="58">
        <f t="shared" si="1"/>
        <v>424.24242424242425</v>
      </c>
      <c r="K23" s="58">
        <v>1500</v>
      </c>
      <c r="L23" s="59">
        <f t="shared" si="2"/>
        <v>1450</v>
      </c>
      <c r="M23" s="58">
        <f t="shared" si="3"/>
        <v>1087.5</v>
      </c>
      <c r="N23" s="58">
        <f t="shared" si="4"/>
        <v>942.5</v>
      </c>
      <c r="O23" s="58">
        <f t="shared" si="5"/>
        <v>750</v>
      </c>
      <c r="P23" s="58">
        <f t="shared" si="6"/>
        <v>1025.7575757575758</v>
      </c>
      <c r="Q23" s="60">
        <f t="shared" si="7"/>
        <v>2.4178571428571427</v>
      </c>
      <c r="R23" s="58">
        <f t="shared" si="8"/>
        <v>663.25757575757575</v>
      </c>
      <c r="S23" s="58">
        <f t="shared" si="9"/>
        <v>518.25757575757575</v>
      </c>
      <c r="T23" s="58">
        <f t="shared" si="10"/>
        <v>325.75757575757575</v>
      </c>
      <c r="U23" s="60">
        <f t="shared" si="11"/>
        <v>1.563392857142857</v>
      </c>
      <c r="V23" s="60">
        <f t="shared" si="12"/>
        <v>1.2216071428571429</v>
      </c>
      <c r="W23" s="60">
        <f t="shared" si="13"/>
        <v>0.76785714285714279</v>
      </c>
      <c r="X23" s="61" t="s">
        <v>41</v>
      </c>
      <c r="Y23" s="1"/>
      <c r="Z23" s="1"/>
    </row>
    <row r="24" spans="1:26" ht="15.75" customHeight="1">
      <c r="A24" s="54"/>
      <c r="B24" s="162"/>
      <c r="C24" s="33"/>
      <c r="D24" s="55" t="s">
        <v>1040</v>
      </c>
      <c r="E24" s="55" t="s">
        <v>607</v>
      </c>
      <c r="F24" s="56" t="s">
        <v>1014</v>
      </c>
      <c r="G24" s="57" t="s">
        <v>1041</v>
      </c>
      <c r="H24" s="58">
        <v>15000</v>
      </c>
      <c r="I24" s="58">
        <f t="shared" si="0"/>
        <v>10500</v>
      </c>
      <c r="J24" s="58">
        <f t="shared" si="1"/>
        <v>318.18181818181819</v>
      </c>
      <c r="K24" s="58">
        <v>1200</v>
      </c>
      <c r="L24" s="59">
        <f t="shared" si="2"/>
        <v>1150</v>
      </c>
      <c r="M24" s="58">
        <f t="shared" si="3"/>
        <v>862.5</v>
      </c>
      <c r="N24" s="58">
        <f t="shared" si="4"/>
        <v>747.5</v>
      </c>
      <c r="O24" s="58">
        <f t="shared" si="5"/>
        <v>600</v>
      </c>
      <c r="P24" s="58">
        <f t="shared" si="6"/>
        <v>831.81818181818176</v>
      </c>
      <c r="Q24" s="60">
        <f t="shared" si="7"/>
        <v>2.6142857142857139</v>
      </c>
      <c r="R24" s="58">
        <f t="shared" si="8"/>
        <v>544.31818181818176</v>
      </c>
      <c r="S24" s="58">
        <f t="shared" si="9"/>
        <v>429.31818181818181</v>
      </c>
      <c r="T24" s="58">
        <f t="shared" si="10"/>
        <v>281.81818181818181</v>
      </c>
      <c r="U24" s="60">
        <f t="shared" si="11"/>
        <v>1.7107142857142854</v>
      </c>
      <c r="V24" s="60">
        <f t="shared" si="12"/>
        <v>1.3492857142857142</v>
      </c>
      <c r="W24" s="60">
        <f t="shared" si="13"/>
        <v>0.88571428571428568</v>
      </c>
      <c r="X24" s="61" t="s">
        <v>41</v>
      </c>
      <c r="Y24" s="1"/>
      <c r="Z24" s="1"/>
    </row>
    <row r="25" spans="1:26" ht="15.75" customHeight="1">
      <c r="A25" s="54"/>
      <c r="B25" s="162"/>
      <c r="C25" s="33"/>
      <c r="D25" s="55" t="s">
        <v>1040</v>
      </c>
      <c r="E25" s="55" t="s">
        <v>1042</v>
      </c>
      <c r="F25" s="56" t="s">
        <v>1014</v>
      </c>
      <c r="G25" s="57" t="s">
        <v>1043</v>
      </c>
      <c r="H25" s="58">
        <v>18000</v>
      </c>
      <c r="I25" s="58">
        <f t="shared" si="0"/>
        <v>12600</v>
      </c>
      <c r="J25" s="58">
        <f t="shared" si="1"/>
        <v>381.81818181818181</v>
      </c>
      <c r="K25" s="58">
        <v>1200</v>
      </c>
      <c r="L25" s="59">
        <f t="shared" si="2"/>
        <v>1150</v>
      </c>
      <c r="M25" s="58">
        <f t="shared" si="3"/>
        <v>862.5</v>
      </c>
      <c r="N25" s="58">
        <f t="shared" si="4"/>
        <v>747.5</v>
      </c>
      <c r="O25" s="58">
        <f t="shared" si="5"/>
        <v>600</v>
      </c>
      <c r="P25" s="58">
        <f t="shared" si="6"/>
        <v>768.18181818181824</v>
      </c>
      <c r="Q25" s="60">
        <f t="shared" si="7"/>
        <v>2.0119047619047623</v>
      </c>
      <c r="R25" s="58">
        <f t="shared" si="8"/>
        <v>480.68181818181819</v>
      </c>
      <c r="S25" s="58">
        <f t="shared" si="9"/>
        <v>365.68181818181819</v>
      </c>
      <c r="T25" s="58">
        <f t="shared" si="10"/>
        <v>218.18181818181819</v>
      </c>
      <c r="U25" s="60">
        <f t="shared" si="11"/>
        <v>1.2589285714285714</v>
      </c>
      <c r="V25" s="60">
        <f t="shared" si="12"/>
        <v>0.95773809523809528</v>
      </c>
      <c r="W25" s="60">
        <f t="shared" si="13"/>
        <v>0.5714285714285714</v>
      </c>
      <c r="X25" s="61"/>
      <c r="Y25" s="1"/>
      <c r="Z25" s="1"/>
    </row>
    <row r="26" spans="1:26" ht="15.75" customHeight="1">
      <c r="A26" s="54"/>
      <c r="B26" s="162"/>
      <c r="C26" s="33"/>
      <c r="D26" s="55" t="s">
        <v>1044</v>
      </c>
      <c r="E26" s="55" t="s">
        <v>607</v>
      </c>
      <c r="F26" s="56" t="s">
        <v>1014</v>
      </c>
      <c r="G26" s="57" t="s">
        <v>1045</v>
      </c>
      <c r="H26" s="58">
        <v>16000</v>
      </c>
      <c r="I26" s="58">
        <f t="shared" si="0"/>
        <v>11200</v>
      </c>
      <c r="J26" s="58">
        <f t="shared" si="1"/>
        <v>339.39393939393938</v>
      </c>
      <c r="K26" s="58">
        <v>1150</v>
      </c>
      <c r="L26" s="59">
        <f t="shared" si="2"/>
        <v>1100</v>
      </c>
      <c r="M26" s="58">
        <f t="shared" si="3"/>
        <v>825</v>
      </c>
      <c r="N26" s="58">
        <f t="shared" si="4"/>
        <v>715</v>
      </c>
      <c r="O26" s="58">
        <f t="shared" si="5"/>
        <v>575</v>
      </c>
      <c r="P26" s="58">
        <f t="shared" si="6"/>
        <v>760.60606060606062</v>
      </c>
      <c r="Q26" s="60">
        <f t="shared" si="7"/>
        <v>2.2410714285714288</v>
      </c>
      <c r="R26" s="58">
        <f t="shared" si="8"/>
        <v>485.60606060606062</v>
      </c>
      <c r="S26" s="58">
        <f t="shared" si="9"/>
        <v>375.60606060606062</v>
      </c>
      <c r="T26" s="58">
        <f t="shared" si="10"/>
        <v>235.60606060606062</v>
      </c>
      <c r="U26" s="60">
        <f t="shared" si="11"/>
        <v>1.4308035714285716</v>
      </c>
      <c r="V26" s="60">
        <f t="shared" si="12"/>
        <v>1.1066964285714287</v>
      </c>
      <c r="W26" s="60">
        <f t="shared" si="13"/>
        <v>0.6941964285714286</v>
      </c>
      <c r="X26" s="61"/>
      <c r="Y26" s="1"/>
      <c r="Z26" s="1"/>
    </row>
    <row r="27" spans="1:26" ht="15.75" customHeight="1">
      <c r="A27" s="54"/>
      <c r="B27" s="162"/>
      <c r="C27" s="33"/>
      <c r="D27" s="55" t="s">
        <v>1044</v>
      </c>
      <c r="E27" s="55" t="s">
        <v>68</v>
      </c>
      <c r="F27" s="56" t="s">
        <v>1014</v>
      </c>
      <c r="G27" s="57" t="s">
        <v>1046</v>
      </c>
      <c r="H27" s="58">
        <v>23000</v>
      </c>
      <c r="I27" s="58">
        <f t="shared" si="0"/>
        <v>16099.999999999998</v>
      </c>
      <c r="J27" s="58">
        <f t="shared" si="1"/>
        <v>487.87878787878782</v>
      </c>
      <c r="K27" s="58">
        <v>1500</v>
      </c>
      <c r="L27" s="59">
        <f t="shared" si="2"/>
        <v>1450</v>
      </c>
      <c r="M27" s="58">
        <f t="shared" si="3"/>
        <v>1087.5</v>
      </c>
      <c r="N27" s="58">
        <f t="shared" si="4"/>
        <v>942.5</v>
      </c>
      <c r="O27" s="58">
        <f t="shared" si="5"/>
        <v>750</v>
      </c>
      <c r="P27" s="58">
        <f t="shared" si="6"/>
        <v>962.12121212121224</v>
      </c>
      <c r="Q27" s="60">
        <f t="shared" si="7"/>
        <v>1.9720496894409942</v>
      </c>
      <c r="R27" s="58">
        <f t="shared" si="8"/>
        <v>599.62121212121224</v>
      </c>
      <c r="S27" s="58">
        <f t="shared" si="9"/>
        <v>454.62121212121218</v>
      </c>
      <c r="T27" s="58">
        <f t="shared" si="10"/>
        <v>262.12121212121218</v>
      </c>
      <c r="U27" s="60">
        <f t="shared" si="11"/>
        <v>1.2290372670807457</v>
      </c>
      <c r="V27" s="60">
        <f t="shared" si="12"/>
        <v>0.93183229813664625</v>
      </c>
      <c r="W27" s="60">
        <f t="shared" si="13"/>
        <v>0.5372670807453418</v>
      </c>
      <c r="X27" s="61"/>
      <c r="Y27" s="1"/>
      <c r="Z27" s="1"/>
    </row>
    <row r="28" spans="1:26" ht="15.75" customHeight="1">
      <c r="A28" s="54"/>
      <c r="B28" s="162"/>
      <c r="C28" s="33"/>
      <c r="D28" s="55" t="s">
        <v>251</v>
      </c>
      <c r="E28" s="55" t="s">
        <v>607</v>
      </c>
      <c r="F28" s="56" t="s">
        <v>1014</v>
      </c>
      <c r="G28" s="57" t="s">
        <v>1047</v>
      </c>
      <c r="H28" s="58">
        <v>16000</v>
      </c>
      <c r="I28" s="58">
        <f t="shared" si="0"/>
        <v>11200</v>
      </c>
      <c r="J28" s="58">
        <f t="shared" si="1"/>
        <v>339.39393939393938</v>
      </c>
      <c r="K28" s="58">
        <v>1200</v>
      </c>
      <c r="L28" s="59">
        <f t="shared" si="2"/>
        <v>1150</v>
      </c>
      <c r="M28" s="58">
        <f t="shared" si="3"/>
        <v>862.5</v>
      </c>
      <c r="N28" s="58">
        <f t="shared" si="4"/>
        <v>747.5</v>
      </c>
      <c r="O28" s="58">
        <f t="shared" si="5"/>
        <v>600</v>
      </c>
      <c r="P28" s="58">
        <f t="shared" si="6"/>
        <v>810.60606060606062</v>
      </c>
      <c r="Q28" s="60">
        <f t="shared" si="7"/>
        <v>2.3883928571428572</v>
      </c>
      <c r="R28" s="58">
        <f t="shared" si="8"/>
        <v>523.10606060606062</v>
      </c>
      <c r="S28" s="58">
        <f t="shared" si="9"/>
        <v>408.10606060606062</v>
      </c>
      <c r="T28" s="58">
        <f t="shared" si="10"/>
        <v>260.60606060606062</v>
      </c>
      <c r="U28" s="60">
        <f t="shared" si="11"/>
        <v>1.541294642857143</v>
      </c>
      <c r="V28" s="60">
        <f t="shared" si="12"/>
        <v>1.2024553571428573</v>
      </c>
      <c r="W28" s="60">
        <f t="shared" si="13"/>
        <v>0.7678571428571429</v>
      </c>
      <c r="X28" s="61" t="s">
        <v>44</v>
      </c>
      <c r="Y28" s="1"/>
      <c r="Z28" s="1"/>
    </row>
    <row r="29" spans="1:26" ht="15.75" customHeight="1">
      <c r="A29" s="54"/>
      <c r="B29" s="162"/>
      <c r="C29" s="33"/>
      <c r="D29" s="55" t="s">
        <v>1048</v>
      </c>
      <c r="E29" s="55" t="s">
        <v>320</v>
      </c>
      <c r="F29" s="56" t="s">
        <v>1014</v>
      </c>
      <c r="G29" s="57" t="s">
        <v>1049</v>
      </c>
      <c r="H29" s="58">
        <v>22000</v>
      </c>
      <c r="I29" s="58">
        <f t="shared" si="0"/>
        <v>15399.999999999998</v>
      </c>
      <c r="J29" s="58">
        <f t="shared" si="1"/>
        <v>466.66666666666663</v>
      </c>
      <c r="K29" s="58">
        <v>1500</v>
      </c>
      <c r="L29" s="59">
        <f t="shared" si="2"/>
        <v>1450</v>
      </c>
      <c r="M29" s="58">
        <f t="shared" si="3"/>
        <v>1087.5</v>
      </c>
      <c r="N29" s="58">
        <f t="shared" si="4"/>
        <v>942.5</v>
      </c>
      <c r="O29" s="58">
        <f t="shared" si="5"/>
        <v>750</v>
      </c>
      <c r="P29" s="58">
        <f t="shared" si="6"/>
        <v>983.33333333333337</v>
      </c>
      <c r="Q29" s="60">
        <f t="shared" si="7"/>
        <v>2.1071428571428572</v>
      </c>
      <c r="R29" s="58">
        <f t="shared" si="8"/>
        <v>620.83333333333337</v>
      </c>
      <c r="S29" s="58">
        <f t="shared" si="9"/>
        <v>475.83333333333337</v>
      </c>
      <c r="T29" s="58">
        <f t="shared" si="10"/>
        <v>283.33333333333337</v>
      </c>
      <c r="U29" s="60">
        <f t="shared" si="11"/>
        <v>1.330357142857143</v>
      </c>
      <c r="V29" s="60">
        <f t="shared" si="12"/>
        <v>1.0196428571428573</v>
      </c>
      <c r="W29" s="60">
        <f t="shared" si="13"/>
        <v>0.60714285714285732</v>
      </c>
      <c r="X29" s="61"/>
      <c r="Y29" s="1"/>
      <c r="Z29" s="1"/>
    </row>
    <row r="30" spans="1:26" ht="15.75" customHeight="1">
      <c r="A30" s="54"/>
      <c r="B30" s="162"/>
      <c r="C30" s="33"/>
      <c r="D30" s="55" t="s">
        <v>1050</v>
      </c>
      <c r="E30" s="55" t="s">
        <v>68</v>
      </c>
      <c r="F30" s="56" t="s">
        <v>1014</v>
      </c>
      <c r="G30" s="57" t="s">
        <v>1051</v>
      </c>
      <c r="H30" s="58">
        <v>18000</v>
      </c>
      <c r="I30" s="58">
        <f t="shared" si="0"/>
        <v>12600</v>
      </c>
      <c r="J30" s="58">
        <f t="shared" si="1"/>
        <v>381.81818181818181</v>
      </c>
      <c r="K30" s="58">
        <v>1500</v>
      </c>
      <c r="L30" s="59">
        <f t="shared" si="2"/>
        <v>1450</v>
      </c>
      <c r="M30" s="58">
        <f t="shared" si="3"/>
        <v>1087.5</v>
      </c>
      <c r="N30" s="58">
        <f t="shared" si="4"/>
        <v>942.5</v>
      </c>
      <c r="O30" s="58">
        <f t="shared" si="5"/>
        <v>750</v>
      </c>
      <c r="P30" s="58">
        <f t="shared" si="6"/>
        <v>1068.1818181818182</v>
      </c>
      <c r="Q30" s="60">
        <f t="shared" si="7"/>
        <v>2.7976190476190479</v>
      </c>
      <c r="R30" s="58">
        <f t="shared" si="8"/>
        <v>705.68181818181824</v>
      </c>
      <c r="S30" s="58">
        <f t="shared" si="9"/>
        <v>560.68181818181824</v>
      </c>
      <c r="T30" s="58">
        <f t="shared" si="10"/>
        <v>368.18181818181819</v>
      </c>
      <c r="U30" s="60">
        <f t="shared" si="11"/>
        <v>1.8482142857142858</v>
      </c>
      <c r="V30" s="60">
        <f t="shared" si="12"/>
        <v>1.4684523809523811</v>
      </c>
      <c r="W30" s="60">
        <f t="shared" si="13"/>
        <v>0.9642857142857143</v>
      </c>
      <c r="X30" s="61" t="s">
        <v>47</v>
      </c>
      <c r="Y30" s="1"/>
      <c r="Z30" s="1"/>
    </row>
    <row r="31" spans="1:26" ht="15.75" customHeight="1">
      <c r="A31" s="54"/>
      <c r="B31" s="162"/>
      <c r="C31" s="33"/>
      <c r="D31" s="55" t="s">
        <v>1052</v>
      </c>
      <c r="E31" s="55" t="s">
        <v>493</v>
      </c>
      <c r="F31" s="56" t="s">
        <v>1014</v>
      </c>
      <c r="G31" s="57" t="s">
        <v>1053</v>
      </c>
      <c r="H31" s="58">
        <v>25000</v>
      </c>
      <c r="I31" s="58">
        <f t="shared" si="0"/>
        <v>17500</v>
      </c>
      <c r="J31" s="58">
        <f t="shared" si="1"/>
        <v>530.30303030303025</v>
      </c>
      <c r="K31" s="58">
        <v>1500</v>
      </c>
      <c r="L31" s="59">
        <f t="shared" si="2"/>
        <v>1450</v>
      </c>
      <c r="M31" s="58">
        <f t="shared" si="3"/>
        <v>1087.5</v>
      </c>
      <c r="N31" s="58">
        <f t="shared" si="4"/>
        <v>942.5</v>
      </c>
      <c r="O31" s="58">
        <f t="shared" si="5"/>
        <v>750</v>
      </c>
      <c r="P31" s="58">
        <f t="shared" si="6"/>
        <v>919.69696969696975</v>
      </c>
      <c r="Q31" s="60">
        <f t="shared" si="7"/>
        <v>1.7342857142857144</v>
      </c>
      <c r="R31" s="58">
        <f t="shared" si="8"/>
        <v>557.19696969696975</v>
      </c>
      <c r="S31" s="58">
        <f t="shared" si="9"/>
        <v>412.19696969696975</v>
      </c>
      <c r="T31" s="58">
        <f t="shared" si="10"/>
        <v>219.69696969696975</v>
      </c>
      <c r="U31" s="60">
        <f t="shared" si="11"/>
        <v>1.0507142857142859</v>
      </c>
      <c r="V31" s="60">
        <f t="shared" si="12"/>
        <v>0.77728571428571447</v>
      </c>
      <c r="W31" s="60">
        <f t="shared" si="13"/>
        <v>0.41428571428571442</v>
      </c>
      <c r="X31" s="61"/>
      <c r="Y31" s="1"/>
      <c r="Z31" s="1"/>
    </row>
    <row r="32" spans="1:26" ht="15.75" customHeight="1">
      <c r="A32" s="54"/>
      <c r="B32" s="162"/>
      <c r="C32" s="33"/>
      <c r="D32" s="55" t="s">
        <v>1054</v>
      </c>
      <c r="E32" s="55" t="s">
        <v>607</v>
      </c>
      <c r="F32" s="56" t="s">
        <v>1055</v>
      </c>
      <c r="G32" s="57" t="s">
        <v>1056</v>
      </c>
      <c r="H32" s="58">
        <v>18000</v>
      </c>
      <c r="I32" s="58">
        <f t="shared" si="0"/>
        <v>12600</v>
      </c>
      <c r="J32" s="58">
        <f t="shared" si="1"/>
        <v>381.81818181818181</v>
      </c>
      <c r="K32" s="58">
        <v>1300</v>
      </c>
      <c r="L32" s="59">
        <f t="shared" si="2"/>
        <v>1250</v>
      </c>
      <c r="M32" s="58">
        <f t="shared" si="3"/>
        <v>937.5</v>
      </c>
      <c r="N32" s="58">
        <f t="shared" si="4"/>
        <v>812.5</v>
      </c>
      <c r="O32" s="58">
        <f t="shared" si="5"/>
        <v>650</v>
      </c>
      <c r="P32" s="58">
        <f t="shared" si="6"/>
        <v>868.18181818181824</v>
      </c>
      <c r="Q32" s="60">
        <f t="shared" si="7"/>
        <v>2.2738095238095242</v>
      </c>
      <c r="R32" s="58">
        <f t="shared" si="8"/>
        <v>555.68181818181824</v>
      </c>
      <c r="S32" s="58">
        <f t="shared" si="9"/>
        <v>430.68181818181819</v>
      </c>
      <c r="T32" s="58">
        <f t="shared" si="10"/>
        <v>268.18181818181819</v>
      </c>
      <c r="U32" s="60">
        <f t="shared" si="11"/>
        <v>1.455357142857143</v>
      </c>
      <c r="V32" s="60">
        <f t="shared" si="12"/>
        <v>1.1279761904761905</v>
      </c>
      <c r="W32" s="60">
        <f t="shared" si="13"/>
        <v>0.70238095238095244</v>
      </c>
      <c r="X32" s="61" t="s">
        <v>48</v>
      </c>
      <c r="Y32" s="1"/>
      <c r="Z32" s="1"/>
    </row>
    <row r="33" spans="1:26" ht="15.75" customHeight="1">
      <c r="A33" s="54"/>
      <c r="B33" s="162"/>
      <c r="C33" s="33"/>
      <c r="D33" s="55" t="s">
        <v>1054</v>
      </c>
      <c r="E33" s="55" t="s">
        <v>68</v>
      </c>
      <c r="F33" s="56" t="s">
        <v>1055</v>
      </c>
      <c r="G33" s="57" t="s">
        <v>1057</v>
      </c>
      <c r="H33" s="58">
        <v>20000</v>
      </c>
      <c r="I33" s="58">
        <f t="shared" si="0"/>
        <v>14000</v>
      </c>
      <c r="J33" s="58">
        <f t="shared" si="1"/>
        <v>424.24242424242425</v>
      </c>
      <c r="K33" s="58">
        <v>1600</v>
      </c>
      <c r="L33" s="59">
        <f t="shared" si="2"/>
        <v>1550</v>
      </c>
      <c r="M33" s="58">
        <f t="shared" si="3"/>
        <v>1162.5</v>
      </c>
      <c r="N33" s="58">
        <f t="shared" si="4"/>
        <v>1007.5</v>
      </c>
      <c r="O33" s="58">
        <f t="shared" si="5"/>
        <v>800</v>
      </c>
      <c r="P33" s="58">
        <f t="shared" si="6"/>
        <v>1125.7575757575758</v>
      </c>
      <c r="Q33" s="60">
        <f t="shared" si="7"/>
        <v>2.6535714285714285</v>
      </c>
      <c r="R33" s="58">
        <f t="shared" si="8"/>
        <v>738.25757575757575</v>
      </c>
      <c r="S33" s="58">
        <f t="shared" si="9"/>
        <v>583.25757575757575</v>
      </c>
      <c r="T33" s="58">
        <f t="shared" si="10"/>
        <v>375.75757575757575</v>
      </c>
      <c r="U33" s="60">
        <f t="shared" si="11"/>
        <v>1.7401785714285714</v>
      </c>
      <c r="V33" s="60">
        <f t="shared" si="12"/>
        <v>1.3748214285714286</v>
      </c>
      <c r="W33" s="60">
        <f t="shared" si="13"/>
        <v>0.88571428571428568</v>
      </c>
      <c r="X33" s="61" t="s">
        <v>48</v>
      </c>
      <c r="Y33" s="1"/>
      <c r="Z33" s="1"/>
    </row>
    <row r="34" spans="1:26" ht="15.75" customHeight="1">
      <c r="A34" s="54"/>
      <c r="B34" s="162"/>
      <c r="C34" s="33"/>
      <c r="D34" s="55" t="s">
        <v>1058</v>
      </c>
      <c r="E34" s="55" t="s">
        <v>607</v>
      </c>
      <c r="F34" s="56" t="s">
        <v>1014</v>
      </c>
      <c r="G34" s="57" t="s">
        <v>1059</v>
      </c>
      <c r="H34" s="58">
        <v>18000</v>
      </c>
      <c r="I34" s="58">
        <f t="shared" si="0"/>
        <v>12600</v>
      </c>
      <c r="J34" s="58">
        <f t="shared" si="1"/>
        <v>381.81818181818181</v>
      </c>
      <c r="K34" s="58">
        <v>1300</v>
      </c>
      <c r="L34" s="59">
        <f t="shared" si="2"/>
        <v>1250</v>
      </c>
      <c r="M34" s="58">
        <f t="shared" si="3"/>
        <v>937.5</v>
      </c>
      <c r="N34" s="58">
        <f t="shared" si="4"/>
        <v>812.5</v>
      </c>
      <c r="O34" s="58">
        <f t="shared" si="5"/>
        <v>650</v>
      </c>
      <c r="P34" s="58">
        <f t="shared" si="6"/>
        <v>868.18181818181824</v>
      </c>
      <c r="Q34" s="60">
        <f t="shared" si="7"/>
        <v>2.2738095238095242</v>
      </c>
      <c r="R34" s="58">
        <f t="shared" si="8"/>
        <v>555.68181818181824</v>
      </c>
      <c r="S34" s="58">
        <f t="shared" si="9"/>
        <v>430.68181818181819</v>
      </c>
      <c r="T34" s="58">
        <f t="shared" si="10"/>
        <v>268.18181818181819</v>
      </c>
      <c r="U34" s="60">
        <f t="shared" si="11"/>
        <v>1.455357142857143</v>
      </c>
      <c r="V34" s="60">
        <f t="shared" si="12"/>
        <v>1.1279761904761905</v>
      </c>
      <c r="W34" s="60">
        <f t="shared" si="13"/>
        <v>0.70238095238095244</v>
      </c>
      <c r="X34" s="61" t="s">
        <v>23</v>
      </c>
      <c r="Y34" s="1"/>
      <c r="Z34" s="1"/>
    </row>
    <row r="35" spans="1:26" ht="15.75" customHeight="1">
      <c r="A35" s="54"/>
      <c r="B35" s="162"/>
      <c r="C35" s="33"/>
      <c r="D35" s="55" t="s">
        <v>1060</v>
      </c>
      <c r="E35" s="55" t="s">
        <v>607</v>
      </c>
      <c r="F35" s="56" t="s">
        <v>1014</v>
      </c>
      <c r="G35" s="57" t="s">
        <v>1061</v>
      </c>
      <c r="H35" s="58">
        <v>15000</v>
      </c>
      <c r="I35" s="58">
        <f t="shared" si="0"/>
        <v>10500</v>
      </c>
      <c r="J35" s="58">
        <f t="shared" si="1"/>
        <v>318.18181818181819</v>
      </c>
      <c r="K35" s="58">
        <v>1300</v>
      </c>
      <c r="L35" s="59">
        <f t="shared" si="2"/>
        <v>1250</v>
      </c>
      <c r="M35" s="58">
        <f t="shared" si="3"/>
        <v>937.5</v>
      </c>
      <c r="N35" s="58">
        <f t="shared" si="4"/>
        <v>812.5</v>
      </c>
      <c r="O35" s="58">
        <f t="shared" si="5"/>
        <v>650</v>
      </c>
      <c r="P35" s="58">
        <f t="shared" si="6"/>
        <v>931.81818181818176</v>
      </c>
      <c r="Q35" s="60">
        <f t="shared" si="7"/>
        <v>2.9285714285714284</v>
      </c>
      <c r="R35" s="58">
        <f t="shared" si="8"/>
        <v>619.31818181818176</v>
      </c>
      <c r="S35" s="58">
        <f t="shared" si="9"/>
        <v>494.31818181818181</v>
      </c>
      <c r="T35" s="58">
        <f t="shared" si="10"/>
        <v>331.81818181818181</v>
      </c>
      <c r="U35" s="60">
        <f t="shared" si="11"/>
        <v>1.9464285714285712</v>
      </c>
      <c r="V35" s="60">
        <f t="shared" si="12"/>
        <v>1.5535714285714286</v>
      </c>
      <c r="W35" s="60">
        <f t="shared" si="13"/>
        <v>1.0428571428571429</v>
      </c>
      <c r="X35" s="61" t="s">
        <v>48</v>
      </c>
      <c r="Y35" s="1"/>
      <c r="Z35" s="1"/>
    </row>
    <row r="36" spans="1:26" ht="15.75" customHeight="1">
      <c r="A36" s="54"/>
      <c r="B36" s="162"/>
      <c r="C36" s="33"/>
      <c r="D36" s="55" t="s">
        <v>1060</v>
      </c>
      <c r="E36" s="55" t="s">
        <v>1062</v>
      </c>
      <c r="F36" s="56" t="s">
        <v>1014</v>
      </c>
      <c r="G36" s="57" t="s">
        <v>1063</v>
      </c>
      <c r="H36" s="58">
        <v>19000</v>
      </c>
      <c r="I36" s="58">
        <f t="shared" si="0"/>
        <v>13300</v>
      </c>
      <c r="J36" s="58">
        <f t="shared" si="1"/>
        <v>403.030303030303</v>
      </c>
      <c r="K36" s="58">
        <v>1600</v>
      </c>
      <c r="L36" s="59">
        <f t="shared" si="2"/>
        <v>1550</v>
      </c>
      <c r="M36" s="58">
        <f t="shared" si="3"/>
        <v>1162.5</v>
      </c>
      <c r="N36" s="58">
        <f t="shared" si="4"/>
        <v>1007.5</v>
      </c>
      <c r="O36" s="58">
        <f t="shared" si="5"/>
        <v>800</v>
      </c>
      <c r="P36" s="58">
        <f t="shared" si="6"/>
        <v>1146.969696969697</v>
      </c>
      <c r="Q36" s="60">
        <f t="shared" si="7"/>
        <v>2.8458646616541357</v>
      </c>
      <c r="R36" s="58">
        <f t="shared" si="8"/>
        <v>759.469696969697</v>
      </c>
      <c r="S36" s="58">
        <f t="shared" si="9"/>
        <v>604.469696969697</v>
      </c>
      <c r="T36" s="58">
        <f t="shared" si="10"/>
        <v>396.969696969697</v>
      </c>
      <c r="U36" s="60">
        <f t="shared" si="11"/>
        <v>1.8843984962406017</v>
      </c>
      <c r="V36" s="60">
        <f t="shared" si="12"/>
        <v>1.499812030075188</v>
      </c>
      <c r="W36" s="60">
        <f t="shared" si="13"/>
        <v>0.98496240601503771</v>
      </c>
      <c r="X36" s="61" t="s">
        <v>48</v>
      </c>
      <c r="Y36" s="1"/>
      <c r="Z36" s="1"/>
    </row>
    <row r="37" spans="1:26" ht="15.75" customHeight="1">
      <c r="A37" s="54"/>
      <c r="B37" s="162"/>
      <c r="C37" s="33"/>
      <c r="D37" s="55" t="s">
        <v>1064</v>
      </c>
      <c r="E37" s="55" t="s">
        <v>607</v>
      </c>
      <c r="F37" s="56" t="s">
        <v>1055</v>
      </c>
      <c r="G37" s="57" t="s">
        <v>1065</v>
      </c>
      <c r="H37" s="58">
        <v>18000</v>
      </c>
      <c r="I37" s="58">
        <f t="shared" si="0"/>
        <v>12600</v>
      </c>
      <c r="J37" s="58">
        <f t="shared" si="1"/>
        <v>381.81818181818181</v>
      </c>
      <c r="K37" s="58">
        <v>1300</v>
      </c>
      <c r="L37" s="59">
        <f t="shared" si="2"/>
        <v>1250</v>
      </c>
      <c r="M37" s="58">
        <f t="shared" si="3"/>
        <v>937.5</v>
      </c>
      <c r="N37" s="58">
        <f t="shared" si="4"/>
        <v>812.5</v>
      </c>
      <c r="O37" s="58">
        <f t="shared" si="5"/>
        <v>650</v>
      </c>
      <c r="P37" s="58">
        <f t="shared" si="6"/>
        <v>868.18181818181824</v>
      </c>
      <c r="Q37" s="60">
        <f t="shared" si="7"/>
        <v>2.2738095238095242</v>
      </c>
      <c r="R37" s="58">
        <f t="shared" si="8"/>
        <v>555.68181818181824</v>
      </c>
      <c r="S37" s="58">
        <f t="shared" si="9"/>
        <v>430.68181818181819</v>
      </c>
      <c r="T37" s="58">
        <f t="shared" si="10"/>
        <v>268.18181818181819</v>
      </c>
      <c r="U37" s="60">
        <f t="shared" si="11"/>
        <v>1.455357142857143</v>
      </c>
      <c r="V37" s="60">
        <f t="shared" si="12"/>
        <v>1.1279761904761905</v>
      </c>
      <c r="W37" s="60">
        <f t="shared" si="13"/>
        <v>0.70238095238095244</v>
      </c>
      <c r="X37" s="61" t="s">
        <v>52</v>
      </c>
      <c r="Y37" s="1"/>
      <c r="Z37" s="1"/>
    </row>
    <row r="38" spans="1:26" ht="15.75" customHeight="1">
      <c r="A38" s="54"/>
      <c r="B38" s="162"/>
      <c r="C38" s="33"/>
      <c r="D38" s="65" t="s">
        <v>1064</v>
      </c>
      <c r="E38" s="65" t="s">
        <v>68</v>
      </c>
      <c r="F38" s="66" t="s">
        <v>1055</v>
      </c>
      <c r="G38" s="67" t="s">
        <v>1066</v>
      </c>
      <c r="H38" s="68">
        <v>20000</v>
      </c>
      <c r="I38" s="58">
        <f t="shared" si="0"/>
        <v>14000</v>
      </c>
      <c r="J38" s="58">
        <f t="shared" si="1"/>
        <v>424.24242424242425</v>
      </c>
      <c r="K38" s="58">
        <v>1600</v>
      </c>
      <c r="L38" s="59">
        <f t="shared" si="2"/>
        <v>1550</v>
      </c>
      <c r="M38" s="58">
        <f t="shared" si="3"/>
        <v>1162.5</v>
      </c>
      <c r="N38" s="58">
        <f t="shared" si="4"/>
        <v>1007.5</v>
      </c>
      <c r="O38" s="58">
        <f t="shared" si="5"/>
        <v>800</v>
      </c>
      <c r="P38" s="58">
        <f t="shared" si="6"/>
        <v>1125.7575757575758</v>
      </c>
      <c r="Q38" s="60">
        <f t="shared" si="7"/>
        <v>2.6535714285714285</v>
      </c>
      <c r="R38" s="58">
        <f t="shared" si="8"/>
        <v>738.25757575757575</v>
      </c>
      <c r="S38" s="58">
        <f t="shared" si="9"/>
        <v>583.25757575757575</v>
      </c>
      <c r="T38" s="58">
        <f t="shared" si="10"/>
        <v>375.75757575757575</v>
      </c>
      <c r="U38" s="60">
        <f t="shared" si="11"/>
        <v>1.7401785714285714</v>
      </c>
      <c r="V38" s="60">
        <f t="shared" si="12"/>
        <v>1.3748214285714286</v>
      </c>
      <c r="W38" s="60">
        <f t="shared" si="13"/>
        <v>0.88571428571428568</v>
      </c>
      <c r="X38" s="61"/>
      <c r="Y38" s="1"/>
      <c r="Z38" s="1"/>
    </row>
    <row r="39" spans="1:26" ht="15.75" customHeight="1">
      <c r="A39" s="54"/>
      <c r="B39" s="162"/>
      <c r="C39" s="33"/>
      <c r="D39" s="65" t="s">
        <v>1064</v>
      </c>
      <c r="E39" s="65" t="s">
        <v>465</v>
      </c>
      <c r="F39" s="66" t="s">
        <v>1055</v>
      </c>
      <c r="G39" s="67" t="s">
        <v>1067</v>
      </c>
      <c r="H39" s="68">
        <v>22000</v>
      </c>
      <c r="I39" s="58">
        <f t="shared" si="0"/>
        <v>15399.999999999998</v>
      </c>
      <c r="J39" s="58">
        <f t="shared" si="1"/>
        <v>466.66666666666663</v>
      </c>
      <c r="K39" s="58">
        <v>1600</v>
      </c>
      <c r="L39" s="59">
        <f t="shared" si="2"/>
        <v>1550</v>
      </c>
      <c r="M39" s="58">
        <f t="shared" si="3"/>
        <v>1162.5</v>
      </c>
      <c r="N39" s="58">
        <f t="shared" si="4"/>
        <v>1007.5</v>
      </c>
      <c r="O39" s="58">
        <f t="shared" si="5"/>
        <v>800</v>
      </c>
      <c r="P39" s="58">
        <f t="shared" si="6"/>
        <v>1083.3333333333335</v>
      </c>
      <c r="Q39" s="60">
        <f t="shared" si="7"/>
        <v>2.3214285714285721</v>
      </c>
      <c r="R39" s="58">
        <f t="shared" si="8"/>
        <v>695.83333333333337</v>
      </c>
      <c r="S39" s="58">
        <f t="shared" si="9"/>
        <v>540.83333333333337</v>
      </c>
      <c r="T39" s="58">
        <f t="shared" si="10"/>
        <v>333.33333333333337</v>
      </c>
      <c r="U39" s="60">
        <f t="shared" si="11"/>
        <v>1.4910714285714288</v>
      </c>
      <c r="V39" s="60">
        <f t="shared" si="12"/>
        <v>1.1589285714285715</v>
      </c>
      <c r="W39" s="60">
        <f t="shared" si="13"/>
        <v>0.71428571428571441</v>
      </c>
      <c r="X39" s="61"/>
      <c r="Y39" s="1"/>
      <c r="Z39" s="1"/>
    </row>
    <row r="40" spans="1:26" ht="15.75" customHeight="1">
      <c r="A40" s="54"/>
      <c r="B40" s="162"/>
      <c r="C40" s="33"/>
      <c r="D40" s="65" t="s">
        <v>1068</v>
      </c>
      <c r="E40" s="65" t="s">
        <v>607</v>
      </c>
      <c r="F40" s="66" t="s">
        <v>1014</v>
      </c>
      <c r="G40" s="67" t="s">
        <v>1069</v>
      </c>
      <c r="H40" s="68">
        <v>15000</v>
      </c>
      <c r="I40" s="58">
        <f t="shared" si="0"/>
        <v>10500</v>
      </c>
      <c r="J40" s="58">
        <f t="shared" si="1"/>
        <v>318.18181818181819</v>
      </c>
      <c r="K40" s="58">
        <v>1200</v>
      </c>
      <c r="L40" s="59">
        <f t="shared" si="2"/>
        <v>1150</v>
      </c>
      <c r="M40" s="58">
        <f t="shared" si="3"/>
        <v>862.5</v>
      </c>
      <c r="N40" s="58">
        <f t="shared" si="4"/>
        <v>747.5</v>
      </c>
      <c r="O40" s="58">
        <f t="shared" si="5"/>
        <v>600</v>
      </c>
      <c r="P40" s="58">
        <f t="shared" si="6"/>
        <v>831.81818181818176</v>
      </c>
      <c r="Q40" s="60">
        <f t="shared" si="7"/>
        <v>2.6142857142857139</v>
      </c>
      <c r="R40" s="58">
        <f t="shared" si="8"/>
        <v>544.31818181818176</v>
      </c>
      <c r="S40" s="58">
        <f t="shared" si="9"/>
        <v>429.31818181818181</v>
      </c>
      <c r="T40" s="58">
        <f t="shared" si="10"/>
        <v>281.81818181818181</v>
      </c>
      <c r="U40" s="60">
        <f t="shared" si="11"/>
        <v>1.7107142857142854</v>
      </c>
      <c r="V40" s="60">
        <f t="shared" si="12"/>
        <v>1.3492857142857142</v>
      </c>
      <c r="W40" s="60">
        <f t="shared" si="13"/>
        <v>0.88571428571428568</v>
      </c>
      <c r="X40" s="61"/>
      <c r="Y40" s="1"/>
      <c r="Z40" s="1"/>
    </row>
    <row r="41" spans="1:26" ht="15.75" customHeight="1">
      <c r="A41" s="54"/>
      <c r="B41" s="162"/>
      <c r="C41" s="33"/>
      <c r="D41" s="65" t="s">
        <v>1070</v>
      </c>
      <c r="E41" s="65" t="s">
        <v>607</v>
      </c>
      <c r="F41" s="56" t="s">
        <v>1055</v>
      </c>
      <c r="G41" s="57" t="s">
        <v>1071</v>
      </c>
      <c r="H41" s="58">
        <v>18000</v>
      </c>
      <c r="I41" s="58">
        <f t="shared" si="0"/>
        <v>12600</v>
      </c>
      <c r="J41" s="58">
        <f t="shared" si="1"/>
        <v>381.81818181818181</v>
      </c>
      <c r="K41" s="58">
        <v>1200</v>
      </c>
      <c r="L41" s="59">
        <f t="shared" si="2"/>
        <v>1150</v>
      </c>
      <c r="M41" s="58">
        <f t="shared" si="3"/>
        <v>862.5</v>
      </c>
      <c r="N41" s="58">
        <f t="shared" si="4"/>
        <v>747.5</v>
      </c>
      <c r="O41" s="58">
        <f t="shared" si="5"/>
        <v>600</v>
      </c>
      <c r="P41" s="58">
        <f t="shared" si="6"/>
        <v>768.18181818181824</v>
      </c>
      <c r="Q41" s="60">
        <f t="shared" si="7"/>
        <v>2.0119047619047623</v>
      </c>
      <c r="R41" s="58">
        <f t="shared" si="8"/>
        <v>480.68181818181819</v>
      </c>
      <c r="S41" s="58">
        <f t="shared" si="9"/>
        <v>365.68181818181819</v>
      </c>
      <c r="T41" s="58">
        <f t="shared" si="10"/>
        <v>218.18181818181819</v>
      </c>
      <c r="U41" s="60">
        <f t="shared" si="11"/>
        <v>1.2589285714285714</v>
      </c>
      <c r="V41" s="60">
        <f t="shared" si="12"/>
        <v>0.95773809523809528</v>
      </c>
      <c r="W41" s="60">
        <f t="shared" si="13"/>
        <v>0.5714285714285714</v>
      </c>
      <c r="X41" s="61" t="s">
        <v>58</v>
      </c>
      <c r="Y41" s="1"/>
      <c r="Z41" s="1"/>
    </row>
    <row r="42" spans="1:26" ht="15.75" customHeight="1">
      <c r="A42" s="54"/>
      <c r="B42" s="162"/>
      <c r="C42" s="33"/>
      <c r="D42" s="55" t="s">
        <v>322</v>
      </c>
      <c r="E42" s="55" t="s">
        <v>607</v>
      </c>
      <c r="F42" s="56" t="s">
        <v>1014</v>
      </c>
      <c r="G42" s="57" t="s">
        <v>1072</v>
      </c>
      <c r="H42" s="58">
        <v>18000</v>
      </c>
      <c r="I42" s="58">
        <f t="shared" si="0"/>
        <v>12600</v>
      </c>
      <c r="J42" s="58">
        <f t="shared" si="1"/>
        <v>381.81818181818181</v>
      </c>
      <c r="K42" s="58">
        <v>1200</v>
      </c>
      <c r="L42" s="59">
        <f t="shared" si="2"/>
        <v>1150</v>
      </c>
      <c r="M42" s="58">
        <f t="shared" si="3"/>
        <v>862.5</v>
      </c>
      <c r="N42" s="58">
        <f t="shared" si="4"/>
        <v>747.5</v>
      </c>
      <c r="O42" s="58">
        <f t="shared" si="5"/>
        <v>600</v>
      </c>
      <c r="P42" s="58">
        <f t="shared" si="6"/>
        <v>768.18181818181824</v>
      </c>
      <c r="Q42" s="60">
        <f t="shared" si="7"/>
        <v>2.0119047619047623</v>
      </c>
      <c r="R42" s="58">
        <f t="shared" si="8"/>
        <v>480.68181818181819</v>
      </c>
      <c r="S42" s="58">
        <f t="shared" si="9"/>
        <v>365.68181818181819</v>
      </c>
      <c r="T42" s="58">
        <f t="shared" si="10"/>
        <v>218.18181818181819</v>
      </c>
      <c r="U42" s="60">
        <f t="shared" si="11"/>
        <v>1.2589285714285714</v>
      </c>
      <c r="V42" s="60">
        <f t="shared" si="12"/>
        <v>0.95773809523809528</v>
      </c>
      <c r="W42" s="60">
        <f t="shared" si="13"/>
        <v>0.5714285714285714</v>
      </c>
      <c r="X42" s="61" t="s">
        <v>59</v>
      </c>
      <c r="Y42" s="1"/>
      <c r="Z42" s="1"/>
    </row>
    <row r="43" spans="1:26" ht="15.75" customHeight="1">
      <c r="A43" s="54"/>
      <c r="B43" s="162"/>
      <c r="C43" s="33"/>
      <c r="D43" s="65" t="s">
        <v>322</v>
      </c>
      <c r="E43" s="65" t="s">
        <v>1042</v>
      </c>
      <c r="F43" s="56" t="s">
        <v>1014</v>
      </c>
      <c r="G43" s="57" t="s">
        <v>1073</v>
      </c>
      <c r="H43" s="58">
        <v>25000</v>
      </c>
      <c r="I43" s="58">
        <f t="shared" si="0"/>
        <v>17500</v>
      </c>
      <c r="J43" s="58">
        <f t="shared" si="1"/>
        <v>530.30303030303025</v>
      </c>
      <c r="K43" s="58">
        <v>1500</v>
      </c>
      <c r="L43" s="59">
        <f t="shared" si="2"/>
        <v>1450</v>
      </c>
      <c r="M43" s="58">
        <f t="shared" si="3"/>
        <v>1087.5</v>
      </c>
      <c r="N43" s="58">
        <f t="shared" si="4"/>
        <v>942.5</v>
      </c>
      <c r="O43" s="58">
        <f t="shared" si="5"/>
        <v>750</v>
      </c>
      <c r="P43" s="58">
        <f t="shared" si="6"/>
        <v>919.69696969696975</v>
      </c>
      <c r="Q43" s="60">
        <f t="shared" si="7"/>
        <v>1.7342857142857144</v>
      </c>
      <c r="R43" s="58">
        <f t="shared" si="8"/>
        <v>557.19696969696975</v>
      </c>
      <c r="S43" s="58">
        <f t="shared" si="9"/>
        <v>412.19696969696975</v>
      </c>
      <c r="T43" s="58">
        <f t="shared" si="10"/>
        <v>219.69696969696975</v>
      </c>
      <c r="U43" s="60">
        <f t="shared" si="11"/>
        <v>1.0507142857142859</v>
      </c>
      <c r="V43" s="60">
        <f t="shared" si="12"/>
        <v>0.77728571428571447</v>
      </c>
      <c r="W43" s="60">
        <f t="shared" si="13"/>
        <v>0.41428571428571442</v>
      </c>
      <c r="X43" s="61"/>
      <c r="Y43" s="1"/>
      <c r="Z43" s="1"/>
    </row>
    <row r="44" spans="1:26" ht="15.75" customHeight="1">
      <c r="A44" s="54"/>
      <c r="B44" s="162"/>
      <c r="C44" s="33"/>
      <c r="D44" s="55" t="s">
        <v>1074</v>
      </c>
      <c r="E44" s="55" t="s">
        <v>68</v>
      </c>
      <c r="F44" s="56" t="s">
        <v>1014</v>
      </c>
      <c r="G44" s="57" t="s">
        <v>1075</v>
      </c>
      <c r="H44" s="58">
        <v>18000</v>
      </c>
      <c r="I44" s="58">
        <f t="shared" si="0"/>
        <v>12600</v>
      </c>
      <c r="J44" s="58">
        <f t="shared" si="1"/>
        <v>381.81818181818181</v>
      </c>
      <c r="K44" s="58">
        <v>1500</v>
      </c>
      <c r="L44" s="59">
        <f t="shared" si="2"/>
        <v>1450</v>
      </c>
      <c r="M44" s="58">
        <f t="shared" si="3"/>
        <v>1087.5</v>
      </c>
      <c r="N44" s="58">
        <f t="shared" si="4"/>
        <v>942.5</v>
      </c>
      <c r="O44" s="58">
        <f t="shared" si="5"/>
        <v>750</v>
      </c>
      <c r="P44" s="58">
        <f t="shared" si="6"/>
        <v>1068.1818181818182</v>
      </c>
      <c r="Q44" s="60">
        <f t="shared" si="7"/>
        <v>2.7976190476190479</v>
      </c>
      <c r="R44" s="58">
        <f t="shared" si="8"/>
        <v>705.68181818181824</v>
      </c>
      <c r="S44" s="58">
        <f t="shared" si="9"/>
        <v>560.68181818181824</v>
      </c>
      <c r="T44" s="58">
        <f t="shared" si="10"/>
        <v>368.18181818181819</v>
      </c>
      <c r="U44" s="60">
        <f t="shared" si="11"/>
        <v>1.8482142857142858</v>
      </c>
      <c r="V44" s="60">
        <f t="shared" si="12"/>
        <v>1.4684523809523811</v>
      </c>
      <c r="W44" s="60">
        <f t="shared" si="13"/>
        <v>0.9642857142857143</v>
      </c>
      <c r="X44" s="61"/>
      <c r="Y44" s="1"/>
      <c r="Z44" s="1"/>
    </row>
    <row r="45" spans="1:26" ht="15.75" customHeight="1">
      <c r="A45" s="54"/>
      <c r="B45" s="162"/>
      <c r="C45" s="33"/>
      <c r="D45" s="55" t="s">
        <v>1076</v>
      </c>
      <c r="E45" s="55" t="s">
        <v>68</v>
      </c>
      <c r="F45" s="56" t="s">
        <v>1014</v>
      </c>
      <c r="G45" s="57" t="s">
        <v>1077</v>
      </c>
      <c r="H45" s="58">
        <v>18000</v>
      </c>
      <c r="I45" s="58">
        <f t="shared" si="0"/>
        <v>12600</v>
      </c>
      <c r="J45" s="58">
        <f t="shared" si="1"/>
        <v>381.81818181818181</v>
      </c>
      <c r="K45" s="58">
        <v>1500</v>
      </c>
      <c r="L45" s="59">
        <f t="shared" si="2"/>
        <v>1450</v>
      </c>
      <c r="M45" s="58">
        <f t="shared" si="3"/>
        <v>1087.5</v>
      </c>
      <c r="N45" s="58">
        <f t="shared" si="4"/>
        <v>942.5</v>
      </c>
      <c r="O45" s="58">
        <f t="shared" si="5"/>
        <v>750</v>
      </c>
      <c r="P45" s="58">
        <f t="shared" si="6"/>
        <v>1068.1818181818182</v>
      </c>
      <c r="Q45" s="60">
        <f t="shared" si="7"/>
        <v>2.7976190476190479</v>
      </c>
      <c r="R45" s="58">
        <f t="shared" si="8"/>
        <v>705.68181818181824</v>
      </c>
      <c r="S45" s="58">
        <f t="shared" si="9"/>
        <v>560.68181818181824</v>
      </c>
      <c r="T45" s="58">
        <f t="shared" si="10"/>
        <v>368.18181818181819</v>
      </c>
      <c r="U45" s="60">
        <f t="shared" si="11"/>
        <v>1.8482142857142858</v>
      </c>
      <c r="V45" s="60">
        <f t="shared" si="12"/>
        <v>1.4684523809523811</v>
      </c>
      <c r="W45" s="60">
        <f t="shared" si="13"/>
        <v>0.9642857142857143</v>
      </c>
      <c r="X45" s="61" t="s">
        <v>48</v>
      </c>
      <c r="Y45" s="1"/>
      <c r="Z45" s="1"/>
    </row>
    <row r="46" spans="1:26" ht="15.75" customHeight="1">
      <c r="A46" s="54"/>
      <c r="B46" s="162"/>
      <c r="C46" s="33"/>
      <c r="D46" s="55" t="s">
        <v>1078</v>
      </c>
      <c r="E46" s="55" t="s">
        <v>607</v>
      </c>
      <c r="F46" s="56" t="s">
        <v>1014</v>
      </c>
      <c r="G46" s="57" t="s">
        <v>1079</v>
      </c>
      <c r="H46" s="58">
        <v>15000</v>
      </c>
      <c r="I46" s="58">
        <f t="shared" si="0"/>
        <v>10500</v>
      </c>
      <c r="J46" s="58">
        <f t="shared" si="1"/>
        <v>318.18181818181819</v>
      </c>
      <c r="K46" s="58">
        <v>1200</v>
      </c>
      <c r="L46" s="59">
        <f t="shared" si="2"/>
        <v>1150</v>
      </c>
      <c r="M46" s="58">
        <f t="shared" si="3"/>
        <v>862.5</v>
      </c>
      <c r="N46" s="58">
        <f t="shared" si="4"/>
        <v>747.5</v>
      </c>
      <c r="O46" s="58">
        <f t="shared" si="5"/>
        <v>600</v>
      </c>
      <c r="P46" s="58">
        <f t="shared" si="6"/>
        <v>831.81818181818176</v>
      </c>
      <c r="Q46" s="60">
        <f t="shared" si="7"/>
        <v>2.6142857142857139</v>
      </c>
      <c r="R46" s="58">
        <f t="shared" si="8"/>
        <v>544.31818181818176</v>
      </c>
      <c r="S46" s="58">
        <f t="shared" si="9"/>
        <v>429.31818181818181</v>
      </c>
      <c r="T46" s="58">
        <f t="shared" si="10"/>
        <v>281.81818181818181</v>
      </c>
      <c r="U46" s="60">
        <f t="shared" si="11"/>
        <v>1.7107142857142854</v>
      </c>
      <c r="V46" s="60">
        <f t="shared" si="12"/>
        <v>1.3492857142857142</v>
      </c>
      <c r="W46" s="60">
        <f t="shared" si="13"/>
        <v>0.88571428571428568</v>
      </c>
      <c r="X46" s="61" t="s">
        <v>62</v>
      </c>
      <c r="Y46" s="1"/>
      <c r="Z46" s="1"/>
    </row>
    <row r="47" spans="1:26" ht="15.75" customHeight="1">
      <c r="A47" s="54"/>
      <c r="B47" s="161"/>
      <c r="C47" s="69"/>
      <c r="D47" s="55" t="s">
        <v>1078</v>
      </c>
      <c r="E47" s="55" t="s">
        <v>225</v>
      </c>
      <c r="F47" s="56" t="s">
        <v>1014</v>
      </c>
      <c r="G47" s="57" t="s">
        <v>1080</v>
      </c>
      <c r="H47" s="58">
        <v>20000</v>
      </c>
      <c r="I47" s="58">
        <f t="shared" si="0"/>
        <v>14000</v>
      </c>
      <c r="J47" s="58">
        <f t="shared" si="1"/>
        <v>424.24242424242425</v>
      </c>
      <c r="K47" s="58">
        <v>1500</v>
      </c>
      <c r="L47" s="59">
        <f t="shared" si="2"/>
        <v>1450</v>
      </c>
      <c r="M47" s="58">
        <f t="shared" si="3"/>
        <v>1087.5</v>
      </c>
      <c r="N47" s="58">
        <f t="shared" si="4"/>
        <v>942.5</v>
      </c>
      <c r="O47" s="58">
        <f t="shared" si="5"/>
        <v>750</v>
      </c>
      <c r="P47" s="58">
        <f t="shared" si="6"/>
        <v>1025.7575757575758</v>
      </c>
      <c r="Q47" s="60">
        <f t="shared" si="7"/>
        <v>2.4178571428571427</v>
      </c>
      <c r="R47" s="58">
        <f t="shared" si="8"/>
        <v>663.25757575757575</v>
      </c>
      <c r="S47" s="58">
        <f t="shared" si="9"/>
        <v>518.25757575757575</v>
      </c>
      <c r="T47" s="58">
        <f t="shared" si="10"/>
        <v>325.75757575757575</v>
      </c>
      <c r="U47" s="60">
        <f t="shared" si="11"/>
        <v>1.563392857142857</v>
      </c>
      <c r="V47" s="60">
        <f t="shared" si="12"/>
        <v>1.2216071428571429</v>
      </c>
      <c r="W47" s="60">
        <f t="shared" si="13"/>
        <v>0.76785714285714279</v>
      </c>
      <c r="X47" s="61" t="s">
        <v>47</v>
      </c>
      <c r="Y47" s="1"/>
      <c r="Z47" s="1"/>
    </row>
    <row r="48" spans="1:26" ht="15.75" customHeight="1">
      <c r="A48" s="54"/>
      <c r="B48" s="160" t="s">
        <v>1081</v>
      </c>
      <c r="C48" s="33"/>
      <c r="D48" s="55" t="s">
        <v>1082</v>
      </c>
      <c r="E48" s="55" t="s">
        <v>607</v>
      </c>
      <c r="F48" s="56" t="s">
        <v>1007</v>
      </c>
      <c r="G48" s="57" t="s">
        <v>1083</v>
      </c>
      <c r="H48" s="58">
        <v>15000</v>
      </c>
      <c r="I48" s="58">
        <f t="shared" si="0"/>
        <v>10500</v>
      </c>
      <c r="J48" s="58">
        <f t="shared" si="1"/>
        <v>318.18181818181819</v>
      </c>
      <c r="K48" s="58">
        <v>1200</v>
      </c>
      <c r="L48" s="59">
        <f t="shared" si="2"/>
        <v>1150</v>
      </c>
      <c r="M48" s="58">
        <f t="shared" si="3"/>
        <v>862.5</v>
      </c>
      <c r="N48" s="58">
        <f t="shared" si="4"/>
        <v>747.5</v>
      </c>
      <c r="O48" s="58">
        <f t="shared" si="5"/>
        <v>600</v>
      </c>
      <c r="P48" s="58">
        <f t="shared" si="6"/>
        <v>831.81818181818176</v>
      </c>
      <c r="Q48" s="60">
        <f t="shared" si="7"/>
        <v>2.6142857142857139</v>
      </c>
      <c r="R48" s="58">
        <f t="shared" si="8"/>
        <v>544.31818181818176</v>
      </c>
      <c r="S48" s="58">
        <f t="shared" si="9"/>
        <v>429.31818181818181</v>
      </c>
      <c r="T48" s="58">
        <f t="shared" si="10"/>
        <v>281.81818181818181</v>
      </c>
      <c r="U48" s="60">
        <f t="shared" si="11"/>
        <v>1.7107142857142854</v>
      </c>
      <c r="V48" s="60">
        <f t="shared" si="12"/>
        <v>1.3492857142857142</v>
      </c>
      <c r="W48" s="60">
        <f t="shared" si="13"/>
        <v>0.88571428571428568</v>
      </c>
      <c r="X48" s="61" t="s">
        <v>64</v>
      </c>
      <c r="Y48" s="1"/>
      <c r="Z48" s="1"/>
    </row>
    <row r="49" spans="1:26" ht="15.75" customHeight="1">
      <c r="A49" s="54"/>
      <c r="B49" s="162"/>
      <c r="C49" s="33"/>
      <c r="D49" s="55" t="s">
        <v>1084</v>
      </c>
      <c r="E49" s="55" t="s">
        <v>607</v>
      </c>
      <c r="F49" s="56" t="s">
        <v>1007</v>
      </c>
      <c r="G49" s="57" t="s">
        <v>1085</v>
      </c>
      <c r="H49" s="58">
        <v>15000</v>
      </c>
      <c r="I49" s="58">
        <f t="shared" si="0"/>
        <v>10500</v>
      </c>
      <c r="J49" s="58">
        <f t="shared" si="1"/>
        <v>318.18181818181819</v>
      </c>
      <c r="K49" s="58">
        <v>1200</v>
      </c>
      <c r="L49" s="59">
        <f t="shared" si="2"/>
        <v>1150</v>
      </c>
      <c r="M49" s="58">
        <f t="shared" si="3"/>
        <v>862.5</v>
      </c>
      <c r="N49" s="58">
        <f t="shared" si="4"/>
        <v>747.5</v>
      </c>
      <c r="O49" s="58">
        <f t="shared" si="5"/>
        <v>600</v>
      </c>
      <c r="P49" s="58">
        <f t="shared" si="6"/>
        <v>831.81818181818176</v>
      </c>
      <c r="Q49" s="60">
        <f t="shared" si="7"/>
        <v>2.6142857142857139</v>
      </c>
      <c r="R49" s="58">
        <f t="shared" si="8"/>
        <v>544.31818181818176</v>
      </c>
      <c r="S49" s="58">
        <f t="shared" si="9"/>
        <v>429.31818181818181</v>
      </c>
      <c r="T49" s="58">
        <f t="shared" si="10"/>
        <v>281.81818181818181</v>
      </c>
      <c r="U49" s="60">
        <f t="shared" si="11"/>
        <v>1.7107142857142854</v>
      </c>
      <c r="V49" s="60">
        <f t="shared" si="12"/>
        <v>1.3492857142857142</v>
      </c>
      <c r="W49" s="60">
        <f t="shared" si="13"/>
        <v>0.88571428571428568</v>
      </c>
      <c r="X49" s="61" t="s">
        <v>64</v>
      </c>
      <c r="Y49" s="1"/>
      <c r="Z49" s="1"/>
    </row>
    <row r="50" spans="1:26" ht="15.75" customHeight="1">
      <c r="A50" s="54"/>
      <c r="B50" s="162"/>
      <c r="C50" s="33"/>
      <c r="D50" s="55" t="s">
        <v>1086</v>
      </c>
      <c r="E50" s="55" t="s">
        <v>68</v>
      </c>
      <c r="F50" s="56" t="s">
        <v>1014</v>
      </c>
      <c r="G50" s="57" t="s">
        <v>1087</v>
      </c>
      <c r="H50" s="58">
        <v>18000</v>
      </c>
      <c r="I50" s="58">
        <f t="shared" si="0"/>
        <v>12600</v>
      </c>
      <c r="J50" s="58">
        <f t="shared" si="1"/>
        <v>381.81818181818181</v>
      </c>
      <c r="K50" s="58">
        <v>1500</v>
      </c>
      <c r="L50" s="59">
        <f t="shared" si="2"/>
        <v>1450</v>
      </c>
      <c r="M50" s="58">
        <f t="shared" si="3"/>
        <v>1087.5</v>
      </c>
      <c r="N50" s="58">
        <f t="shared" si="4"/>
        <v>942.5</v>
      </c>
      <c r="O50" s="58">
        <f t="shared" si="5"/>
        <v>750</v>
      </c>
      <c r="P50" s="58">
        <f t="shared" si="6"/>
        <v>1068.1818181818182</v>
      </c>
      <c r="Q50" s="60">
        <f t="shared" si="7"/>
        <v>2.7976190476190479</v>
      </c>
      <c r="R50" s="58">
        <f t="shared" si="8"/>
        <v>705.68181818181824</v>
      </c>
      <c r="S50" s="58">
        <f t="shared" si="9"/>
        <v>560.68181818181824</v>
      </c>
      <c r="T50" s="58">
        <f t="shared" si="10"/>
        <v>368.18181818181819</v>
      </c>
      <c r="U50" s="60">
        <f t="shared" si="11"/>
        <v>1.8482142857142858</v>
      </c>
      <c r="V50" s="60">
        <f t="shared" si="12"/>
        <v>1.4684523809523811</v>
      </c>
      <c r="W50" s="60">
        <f t="shared" si="13"/>
        <v>0.9642857142857143</v>
      </c>
      <c r="X50" s="61" t="s">
        <v>21</v>
      </c>
      <c r="Y50" s="1"/>
      <c r="Z50" s="1"/>
    </row>
    <row r="51" spans="1:26" ht="15.75" customHeight="1">
      <c r="A51" s="54"/>
      <c r="B51" s="162"/>
      <c r="C51" s="33"/>
      <c r="D51" s="55" t="s">
        <v>755</v>
      </c>
      <c r="E51" s="55" t="s">
        <v>607</v>
      </c>
      <c r="F51" s="56" t="s">
        <v>1014</v>
      </c>
      <c r="G51" s="57" t="s">
        <v>1088</v>
      </c>
      <c r="H51" s="58">
        <v>15000</v>
      </c>
      <c r="I51" s="58">
        <f t="shared" si="0"/>
        <v>10500</v>
      </c>
      <c r="J51" s="58">
        <f t="shared" si="1"/>
        <v>318.18181818181819</v>
      </c>
      <c r="K51" s="58">
        <v>1200</v>
      </c>
      <c r="L51" s="59">
        <f t="shared" si="2"/>
        <v>1150</v>
      </c>
      <c r="M51" s="58">
        <f t="shared" si="3"/>
        <v>862.5</v>
      </c>
      <c r="N51" s="58">
        <f t="shared" si="4"/>
        <v>747.5</v>
      </c>
      <c r="O51" s="58">
        <f t="shared" si="5"/>
        <v>600</v>
      </c>
      <c r="P51" s="58">
        <f t="shared" si="6"/>
        <v>831.81818181818176</v>
      </c>
      <c r="Q51" s="60">
        <f t="shared" si="7"/>
        <v>2.6142857142857139</v>
      </c>
      <c r="R51" s="58">
        <f t="shared" si="8"/>
        <v>544.31818181818176</v>
      </c>
      <c r="S51" s="58">
        <f t="shared" si="9"/>
        <v>429.31818181818181</v>
      </c>
      <c r="T51" s="58">
        <f t="shared" si="10"/>
        <v>281.81818181818181</v>
      </c>
      <c r="U51" s="60">
        <f t="shared" si="11"/>
        <v>1.7107142857142854</v>
      </c>
      <c r="V51" s="60">
        <f t="shared" si="12"/>
        <v>1.3492857142857142</v>
      </c>
      <c r="W51" s="60">
        <f t="shared" si="13"/>
        <v>0.88571428571428568</v>
      </c>
      <c r="X51" s="61" t="s">
        <v>71</v>
      </c>
      <c r="Y51" s="1"/>
      <c r="Z51" s="1"/>
    </row>
    <row r="52" spans="1:26" ht="15.75" customHeight="1">
      <c r="A52" s="54"/>
      <c r="B52" s="162"/>
      <c r="C52" s="33"/>
      <c r="D52" s="55" t="s">
        <v>755</v>
      </c>
      <c r="E52" s="55" t="s">
        <v>68</v>
      </c>
      <c r="F52" s="56" t="s">
        <v>1014</v>
      </c>
      <c r="G52" s="57" t="s">
        <v>1089</v>
      </c>
      <c r="H52" s="58">
        <v>20000</v>
      </c>
      <c r="I52" s="58">
        <f t="shared" si="0"/>
        <v>14000</v>
      </c>
      <c r="J52" s="58">
        <f t="shared" si="1"/>
        <v>424.24242424242425</v>
      </c>
      <c r="K52" s="58">
        <v>1500</v>
      </c>
      <c r="L52" s="59">
        <f t="shared" si="2"/>
        <v>1450</v>
      </c>
      <c r="M52" s="58">
        <f t="shared" si="3"/>
        <v>1087.5</v>
      </c>
      <c r="N52" s="58">
        <f t="shared" si="4"/>
        <v>942.5</v>
      </c>
      <c r="O52" s="58">
        <f t="shared" si="5"/>
        <v>750</v>
      </c>
      <c r="P52" s="58">
        <f t="shared" si="6"/>
        <v>1025.7575757575758</v>
      </c>
      <c r="Q52" s="60">
        <f t="shared" si="7"/>
        <v>2.4178571428571427</v>
      </c>
      <c r="R52" s="58">
        <f t="shared" si="8"/>
        <v>663.25757575757575</v>
      </c>
      <c r="S52" s="58">
        <f t="shared" si="9"/>
        <v>518.25757575757575</v>
      </c>
      <c r="T52" s="58">
        <f t="shared" si="10"/>
        <v>325.75757575757575</v>
      </c>
      <c r="U52" s="60">
        <f t="shared" si="11"/>
        <v>1.563392857142857</v>
      </c>
      <c r="V52" s="60">
        <f t="shared" si="12"/>
        <v>1.2216071428571429</v>
      </c>
      <c r="W52" s="60">
        <f t="shared" si="13"/>
        <v>0.76785714285714279</v>
      </c>
      <c r="X52" s="61" t="s">
        <v>71</v>
      </c>
      <c r="Y52" s="1"/>
      <c r="Z52" s="1"/>
    </row>
    <row r="53" spans="1:26" ht="15.75" customHeight="1">
      <c r="A53" s="54"/>
      <c r="B53" s="162"/>
      <c r="C53" s="33"/>
      <c r="D53" s="55" t="s">
        <v>765</v>
      </c>
      <c r="E53" s="55" t="s">
        <v>607</v>
      </c>
      <c r="F53" s="56" t="s">
        <v>1007</v>
      </c>
      <c r="G53" s="57" t="s">
        <v>1090</v>
      </c>
      <c r="H53" s="58">
        <v>12000</v>
      </c>
      <c r="I53" s="58">
        <f t="shared" si="0"/>
        <v>8400</v>
      </c>
      <c r="J53" s="58">
        <f t="shared" si="1"/>
        <v>254.54545454545453</v>
      </c>
      <c r="K53" s="58">
        <v>1000</v>
      </c>
      <c r="L53" s="59">
        <f t="shared" si="2"/>
        <v>950</v>
      </c>
      <c r="M53" s="58">
        <f t="shared" si="3"/>
        <v>712.5</v>
      </c>
      <c r="N53" s="58">
        <f t="shared" si="4"/>
        <v>617.5</v>
      </c>
      <c r="O53" s="58">
        <f t="shared" si="5"/>
        <v>500</v>
      </c>
      <c r="P53" s="58">
        <f t="shared" si="6"/>
        <v>695.4545454545455</v>
      </c>
      <c r="Q53" s="60">
        <f t="shared" si="7"/>
        <v>2.7321428571428577</v>
      </c>
      <c r="R53" s="58">
        <f t="shared" si="8"/>
        <v>457.9545454545455</v>
      </c>
      <c r="S53" s="58">
        <f t="shared" si="9"/>
        <v>362.9545454545455</v>
      </c>
      <c r="T53" s="58">
        <f t="shared" si="10"/>
        <v>245.45454545454547</v>
      </c>
      <c r="U53" s="60">
        <f t="shared" si="11"/>
        <v>1.799107142857143</v>
      </c>
      <c r="V53" s="60">
        <f t="shared" si="12"/>
        <v>1.4258928571428573</v>
      </c>
      <c r="W53" s="60">
        <f t="shared" si="13"/>
        <v>0.96428571428571441</v>
      </c>
      <c r="X53" s="61" t="s">
        <v>73</v>
      </c>
      <c r="Y53" s="1"/>
      <c r="Z53" s="1"/>
    </row>
    <row r="54" spans="1:26" ht="15.75" customHeight="1">
      <c r="A54" s="54"/>
      <c r="B54" s="162"/>
      <c r="C54" s="33"/>
      <c r="D54" s="55" t="s">
        <v>765</v>
      </c>
      <c r="E54" s="55" t="s">
        <v>1091</v>
      </c>
      <c r="F54" s="56" t="s">
        <v>1007</v>
      </c>
      <c r="G54" s="57" t="s">
        <v>1092</v>
      </c>
      <c r="H54" s="58">
        <v>14500</v>
      </c>
      <c r="I54" s="58">
        <f t="shared" si="0"/>
        <v>10150</v>
      </c>
      <c r="J54" s="58">
        <f t="shared" si="1"/>
        <v>307.57575757575756</v>
      </c>
      <c r="K54" s="58">
        <v>1300</v>
      </c>
      <c r="L54" s="59">
        <f t="shared" si="2"/>
        <v>1250</v>
      </c>
      <c r="M54" s="58">
        <f t="shared" si="3"/>
        <v>937.5</v>
      </c>
      <c r="N54" s="58">
        <f t="shared" si="4"/>
        <v>812.5</v>
      </c>
      <c r="O54" s="58">
        <f t="shared" si="5"/>
        <v>650</v>
      </c>
      <c r="P54" s="58">
        <f t="shared" si="6"/>
        <v>942.42424242424249</v>
      </c>
      <c r="Q54" s="60">
        <f t="shared" si="7"/>
        <v>3.0640394088669956</v>
      </c>
      <c r="R54" s="58">
        <f t="shared" si="8"/>
        <v>629.92424242424249</v>
      </c>
      <c r="S54" s="58">
        <f t="shared" si="9"/>
        <v>504.92424242424244</v>
      </c>
      <c r="T54" s="58">
        <f t="shared" si="10"/>
        <v>342.42424242424244</v>
      </c>
      <c r="U54" s="60">
        <f t="shared" si="11"/>
        <v>2.0480295566502464</v>
      </c>
      <c r="V54" s="60">
        <f t="shared" si="12"/>
        <v>1.6416256157635469</v>
      </c>
      <c r="W54" s="60">
        <f t="shared" si="13"/>
        <v>1.1133004926108374</v>
      </c>
      <c r="X54" s="61" t="s">
        <v>73</v>
      </c>
      <c r="Y54" s="1"/>
      <c r="Z54" s="1"/>
    </row>
    <row r="55" spans="1:26" ht="15.75" customHeight="1">
      <c r="A55" s="54"/>
      <c r="B55" s="162"/>
      <c r="C55" s="33"/>
      <c r="D55" s="55" t="s">
        <v>1093</v>
      </c>
      <c r="E55" s="55" t="s">
        <v>607</v>
      </c>
      <c r="F55" s="56" t="s">
        <v>1055</v>
      </c>
      <c r="G55" s="57" t="s">
        <v>1094</v>
      </c>
      <c r="H55" s="58">
        <v>18000</v>
      </c>
      <c r="I55" s="58">
        <f t="shared" si="0"/>
        <v>12600</v>
      </c>
      <c r="J55" s="58">
        <f t="shared" si="1"/>
        <v>381.81818181818181</v>
      </c>
      <c r="K55" s="58">
        <v>1300</v>
      </c>
      <c r="L55" s="59">
        <f t="shared" si="2"/>
        <v>1250</v>
      </c>
      <c r="M55" s="58">
        <f t="shared" si="3"/>
        <v>937.5</v>
      </c>
      <c r="N55" s="58">
        <f t="shared" si="4"/>
        <v>812.5</v>
      </c>
      <c r="O55" s="58">
        <f t="shared" si="5"/>
        <v>650</v>
      </c>
      <c r="P55" s="58">
        <f t="shared" si="6"/>
        <v>868.18181818181824</v>
      </c>
      <c r="Q55" s="60">
        <f t="shared" si="7"/>
        <v>2.2738095238095242</v>
      </c>
      <c r="R55" s="58">
        <f t="shared" si="8"/>
        <v>555.68181818181824</v>
      </c>
      <c r="S55" s="58">
        <f t="shared" si="9"/>
        <v>430.68181818181819</v>
      </c>
      <c r="T55" s="58">
        <f t="shared" si="10"/>
        <v>268.18181818181819</v>
      </c>
      <c r="U55" s="60">
        <f t="shared" si="11"/>
        <v>1.455357142857143</v>
      </c>
      <c r="V55" s="60">
        <f t="shared" si="12"/>
        <v>1.1279761904761905</v>
      </c>
      <c r="W55" s="60">
        <f t="shared" si="13"/>
        <v>0.70238095238095244</v>
      </c>
      <c r="X55" s="61" t="s">
        <v>75</v>
      </c>
      <c r="Y55" s="1"/>
      <c r="Z55" s="1"/>
    </row>
    <row r="56" spans="1:26" ht="15.75" customHeight="1">
      <c r="A56" s="54"/>
      <c r="B56" s="162"/>
      <c r="C56" s="33"/>
      <c r="D56" s="55" t="s">
        <v>1093</v>
      </c>
      <c r="E56" s="55" t="s">
        <v>68</v>
      </c>
      <c r="F56" s="56" t="s">
        <v>1055</v>
      </c>
      <c r="G56" s="57" t="s">
        <v>1095</v>
      </c>
      <c r="H56" s="58">
        <v>22000</v>
      </c>
      <c r="I56" s="58">
        <f t="shared" si="0"/>
        <v>15399.999999999998</v>
      </c>
      <c r="J56" s="58">
        <f t="shared" si="1"/>
        <v>466.66666666666663</v>
      </c>
      <c r="K56" s="58">
        <v>1600</v>
      </c>
      <c r="L56" s="59">
        <f t="shared" si="2"/>
        <v>1550</v>
      </c>
      <c r="M56" s="58">
        <f t="shared" si="3"/>
        <v>1162.5</v>
      </c>
      <c r="N56" s="58">
        <f t="shared" si="4"/>
        <v>1007.5</v>
      </c>
      <c r="O56" s="58">
        <f t="shared" si="5"/>
        <v>800</v>
      </c>
      <c r="P56" s="58">
        <f t="shared" si="6"/>
        <v>1083.3333333333335</v>
      </c>
      <c r="Q56" s="60">
        <f t="shared" si="7"/>
        <v>2.3214285714285721</v>
      </c>
      <c r="R56" s="58">
        <f t="shared" si="8"/>
        <v>695.83333333333337</v>
      </c>
      <c r="S56" s="58">
        <f t="shared" si="9"/>
        <v>540.83333333333337</v>
      </c>
      <c r="T56" s="58">
        <f t="shared" si="10"/>
        <v>333.33333333333337</v>
      </c>
      <c r="U56" s="60">
        <f t="shared" si="11"/>
        <v>1.4910714285714288</v>
      </c>
      <c r="V56" s="60">
        <f t="shared" si="12"/>
        <v>1.1589285714285715</v>
      </c>
      <c r="W56" s="60">
        <f t="shared" si="13"/>
        <v>0.71428571428571441</v>
      </c>
      <c r="X56" s="61" t="s">
        <v>77</v>
      </c>
      <c r="Y56" s="1"/>
      <c r="Z56" s="1"/>
    </row>
    <row r="57" spans="1:26" ht="15.75" customHeight="1">
      <c r="A57" s="54"/>
      <c r="B57" s="162"/>
      <c r="C57" s="33"/>
      <c r="D57" s="55" t="s">
        <v>1096</v>
      </c>
      <c r="E57" s="55" t="s">
        <v>607</v>
      </c>
      <c r="F57" s="56" t="s">
        <v>1055</v>
      </c>
      <c r="G57" s="57" t="s">
        <v>1097</v>
      </c>
      <c r="H57" s="58">
        <v>18000</v>
      </c>
      <c r="I57" s="58">
        <f t="shared" si="0"/>
        <v>12600</v>
      </c>
      <c r="J57" s="58">
        <f t="shared" si="1"/>
        <v>381.81818181818181</v>
      </c>
      <c r="K57" s="58">
        <v>1300</v>
      </c>
      <c r="L57" s="59">
        <f t="shared" si="2"/>
        <v>1250</v>
      </c>
      <c r="M57" s="58">
        <f t="shared" si="3"/>
        <v>937.5</v>
      </c>
      <c r="N57" s="58">
        <f t="shared" si="4"/>
        <v>812.5</v>
      </c>
      <c r="O57" s="58">
        <f t="shared" si="5"/>
        <v>650</v>
      </c>
      <c r="P57" s="58">
        <f t="shared" si="6"/>
        <v>868.18181818181824</v>
      </c>
      <c r="Q57" s="60">
        <f t="shared" si="7"/>
        <v>2.2738095238095242</v>
      </c>
      <c r="R57" s="58">
        <f t="shared" si="8"/>
        <v>555.68181818181824</v>
      </c>
      <c r="S57" s="58">
        <f t="shared" si="9"/>
        <v>430.68181818181819</v>
      </c>
      <c r="T57" s="58">
        <f t="shared" si="10"/>
        <v>268.18181818181819</v>
      </c>
      <c r="U57" s="60">
        <f t="shared" si="11"/>
        <v>1.455357142857143</v>
      </c>
      <c r="V57" s="60">
        <f t="shared" si="12"/>
        <v>1.1279761904761905</v>
      </c>
      <c r="W57" s="60">
        <f t="shared" si="13"/>
        <v>0.70238095238095244</v>
      </c>
      <c r="X57" s="61" t="s">
        <v>75</v>
      </c>
      <c r="Y57" s="1"/>
      <c r="Z57" s="1"/>
    </row>
    <row r="58" spans="1:26" ht="15.75" customHeight="1">
      <c r="A58" s="54"/>
      <c r="B58" s="162"/>
      <c r="C58" s="33"/>
      <c r="D58" s="55" t="s">
        <v>656</v>
      </c>
      <c r="E58" s="26"/>
      <c r="F58" s="56" t="s">
        <v>1014</v>
      </c>
      <c r="G58" s="57" t="s">
        <v>1098</v>
      </c>
      <c r="H58" s="58">
        <v>15000</v>
      </c>
      <c r="I58" s="58">
        <f t="shared" si="0"/>
        <v>10500</v>
      </c>
      <c r="J58" s="58">
        <f t="shared" si="1"/>
        <v>318.18181818181819</v>
      </c>
      <c r="K58" s="58">
        <v>1200</v>
      </c>
      <c r="L58" s="59">
        <f t="shared" si="2"/>
        <v>1150</v>
      </c>
      <c r="M58" s="58">
        <f t="shared" si="3"/>
        <v>862.5</v>
      </c>
      <c r="N58" s="58">
        <f t="shared" si="4"/>
        <v>747.5</v>
      </c>
      <c r="O58" s="58">
        <f t="shared" si="5"/>
        <v>600</v>
      </c>
      <c r="P58" s="58">
        <f t="shared" si="6"/>
        <v>831.81818181818176</v>
      </c>
      <c r="Q58" s="60">
        <f t="shared" si="7"/>
        <v>2.6142857142857139</v>
      </c>
      <c r="R58" s="58">
        <f t="shared" si="8"/>
        <v>544.31818181818176</v>
      </c>
      <c r="S58" s="58">
        <f t="shared" si="9"/>
        <v>429.31818181818181</v>
      </c>
      <c r="T58" s="58">
        <f t="shared" si="10"/>
        <v>281.81818181818181</v>
      </c>
      <c r="U58" s="60">
        <f t="shared" si="11"/>
        <v>1.7107142857142854</v>
      </c>
      <c r="V58" s="60">
        <f t="shared" si="12"/>
        <v>1.3492857142857142</v>
      </c>
      <c r="W58" s="60">
        <f t="shared" si="13"/>
        <v>0.88571428571428568</v>
      </c>
      <c r="X58" s="61" t="s">
        <v>47</v>
      </c>
      <c r="Y58" s="1"/>
      <c r="Z58" s="1"/>
    </row>
    <row r="59" spans="1:26" ht="15.75" customHeight="1">
      <c r="A59" s="54"/>
      <c r="B59" s="162"/>
      <c r="C59" s="33"/>
      <c r="D59" s="55" t="s">
        <v>656</v>
      </c>
      <c r="E59" s="55" t="s">
        <v>68</v>
      </c>
      <c r="F59" s="56" t="s">
        <v>1014</v>
      </c>
      <c r="G59" s="57" t="s">
        <v>1099</v>
      </c>
      <c r="H59" s="58">
        <v>18000</v>
      </c>
      <c r="I59" s="58">
        <f t="shared" si="0"/>
        <v>12600</v>
      </c>
      <c r="J59" s="58">
        <f t="shared" si="1"/>
        <v>381.81818181818181</v>
      </c>
      <c r="K59" s="58">
        <v>1500</v>
      </c>
      <c r="L59" s="59">
        <f t="shared" si="2"/>
        <v>1450</v>
      </c>
      <c r="M59" s="58">
        <f t="shared" si="3"/>
        <v>1087.5</v>
      </c>
      <c r="N59" s="58">
        <f t="shared" si="4"/>
        <v>942.5</v>
      </c>
      <c r="O59" s="58">
        <f t="shared" si="5"/>
        <v>750</v>
      </c>
      <c r="P59" s="58">
        <f t="shared" si="6"/>
        <v>1068.1818181818182</v>
      </c>
      <c r="Q59" s="60">
        <f t="shared" si="7"/>
        <v>2.7976190476190479</v>
      </c>
      <c r="R59" s="58">
        <f t="shared" si="8"/>
        <v>705.68181818181824</v>
      </c>
      <c r="S59" s="58">
        <f t="shared" si="9"/>
        <v>560.68181818181824</v>
      </c>
      <c r="T59" s="58">
        <f t="shared" si="10"/>
        <v>368.18181818181819</v>
      </c>
      <c r="U59" s="60">
        <f t="shared" si="11"/>
        <v>1.8482142857142858</v>
      </c>
      <c r="V59" s="60">
        <f t="shared" si="12"/>
        <v>1.4684523809523811</v>
      </c>
      <c r="W59" s="60">
        <f t="shared" si="13"/>
        <v>0.9642857142857143</v>
      </c>
      <c r="X59" s="61" t="s">
        <v>47</v>
      </c>
      <c r="Y59" s="1"/>
      <c r="Z59" s="1"/>
    </row>
    <row r="60" spans="1:26" ht="15.75" customHeight="1">
      <c r="A60" s="54"/>
      <c r="B60" s="162"/>
      <c r="C60" s="33"/>
      <c r="D60" s="55" t="s">
        <v>661</v>
      </c>
      <c r="E60" s="55" t="s">
        <v>68</v>
      </c>
      <c r="F60" s="56" t="s">
        <v>1014</v>
      </c>
      <c r="G60" s="57" t="s">
        <v>1100</v>
      </c>
      <c r="H60" s="58">
        <v>18000</v>
      </c>
      <c r="I60" s="58">
        <f t="shared" si="0"/>
        <v>12600</v>
      </c>
      <c r="J60" s="58">
        <f t="shared" si="1"/>
        <v>381.81818181818181</v>
      </c>
      <c r="K60" s="58">
        <v>1500</v>
      </c>
      <c r="L60" s="59">
        <f t="shared" si="2"/>
        <v>1450</v>
      </c>
      <c r="M60" s="58">
        <f t="shared" si="3"/>
        <v>1087.5</v>
      </c>
      <c r="N60" s="58">
        <f t="shared" si="4"/>
        <v>942.5</v>
      </c>
      <c r="O60" s="58">
        <f t="shared" si="5"/>
        <v>750</v>
      </c>
      <c r="P60" s="58">
        <f t="shared" si="6"/>
        <v>1068.1818181818182</v>
      </c>
      <c r="Q60" s="60">
        <f t="shared" si="7"/>
        <v>2.7976190476190479</v>
      </c>
      <c r="R60" s="58">
        <f t="shared" si="8"/>
        <v>705.68181818181824</v>
      </c>
      <c r="S60" s="58">
        <f t="shared" si="9"/>
        <v>560.68181818181824</v>
      </c>
      <c r="T60" s="58">
        <f t="shared" si="10"/>
        <v>368.18181818181819</v>
      </c>
      <c r="U60" s="60">
        <f t="shared" si="11"/>
        <v>1.8482142857142858</v>
      </c>
      <c r="V60" s="60">
        <f t="shared" si="12"/>
        <v>1.4684523809523811</v>
      </c>
      <c r="W60" s="60">
        <f t="shared" si="13"/>
        <v>0.9642857142857143</v>
      </c>
      <c r="X60" s="61" t="s">
        <v>62</v>
      </c>
      <c r="Y60" s="1"/>
      <c r="Z60" s="1"/>
    </row>
    <row r="61" spans="1:26" ht="15.75" customHeight="1">
      <c r="A61" s="54"/>
      <c r="B61" s="162"/>
      <c r="C61" s="33"/>
      <c r="D61" s="55" t="s">
        <v>661</v>
      </c>
      <c r="E61" s="55" t="s">
        <v>1101</v>
      </c>
      <c r="F61" s="56" t="s">
        <v>1014</v>
      </c>
      <c r="G61" s="57" t="s">
        <v>1102</v>
      </c>
      <c r="H61" s="58">
        <v>20000</v>
      </c>
      <c r="I61" s="58">
        <f t="shared" si="0"/>
        <v>14000</v>
      </c>
      <c r="J61" s="58">
        <f t="shared" si="1"/>
        <v>424.24242424242425</v>
      </c>
      <c r="K61" s="58">
        <v>1500</v>
      </c>
      <c r="L61" s="59">
        <f t="shared" si="2"/>
        <v>1450</v>
      </c>
      <c r="M61" s="58">
        <f t="shared" si="3"/>
        <v>1087.5</v>
      </c>
      <c r="N61" s="58">
        <f t="shared" si="4"/>
        <v>942.5</v>
      </c>
      <c r="O61" s="58">
        <f t="shared" si="5"/>
        <v>750</v>
      </c>
      <c r="P61" s="58">
        <f t="shared" si="6"/>
        <v>1025.7575757575758</v>
      </c>
      <c r="Q61" s="60">
        <f t="shared" si="7"/>
        <v>2.4178571428571427</v>
      </c>
      <c r="R61" s="58">
        <f t="shared" si="8"/>
        <v>663.25757575757575</v>
      </c>
      <c r="S61" s="58">
        <f t="shared" si="9"/>
        <v>518.25757575757575</v>
      </c>
      <c r="T61" s="58">
        <f t="shared" si="10"/>
        <v>325.75757575757575</v>
      </c>
      <c r="U61" s="60">
        <f t="shared" si="11"/>
        <v>1.563392857142857</v>
      </c>
      <c r="V61" s="60">
        <f t="shared" si="12"/>
        <v>1.2216071428571429</v>
      </c>
      <c r="W61" s="60">
        <f t="shared" si="13"/>
        <v>0.76785714285714279</v>
      </c>
      <c r="X61" s="61" t="s">
        <v>84</v>
      </c>
      <c r="Y61" s="1"/>
      <c r="Z61" s="1"/>
    </row>
    <row r="62" spans="1:26" ht="15.75" customHeight="1">
      <c r="A62" s="54"/>
      <c r="B62" s="162"/>
      <c r="C62" s="33"/>
      <c r="D62" s="55" t="s">
        <v>661</v>
      </c>
      <c r="E62" s="55" t="s">
        <v>1091</v>
      </c>
      <c r="F62" s="56" t="s">
        <v>1014</v>
      </c>
      <c r="G62" s="57" t="s">
        <v>1103</v>
      </c>
      <c r="H62" s="58">
        <v>20000</v>
      </c>
      <c r="I62" s="58">
        <f t="shared" si="0"/>
        <v>14000</v>
      </c>
      <c r="J62" s="58">
        <f t="shared" si="1"/>
        <v>424.24242424242425</v>
      </c>
      <c r="K62" s="58">
        <v>1500</v>
      </c>
      <c r="L62" s="59">
        <f t="shared" si="2"/>
        <v>1450</v>
      </c>
      <c r="M62" s="58">
        <f t="shared" si="3"/>
        <v>1087.5</v>
      </c>
      <c r="N62" s="58">
        <f t="shared" si="4"/>
        <v>942.5</v>
      </c>
      <c r="O62" s="58">
        <f t="shared" si="5"/>
        <v>750</v>
      </c>
      <c r="P62" s="58">
        <f t="shared" si="6"/>
        <v>1025.7575757575758</v>
      </c>
      <c r="Q62" s="60">
        <f t="shared" si="7"/>
        <v>2.4178571428571427</v>
      </c>
      <c r="R62" s="58">
        <f t="shared" si="8"/>
        <v>663.25757575757575</v>
      </c>
      <c r="S62" s="58">
        <f t="shared" si="9"/>
        <v>518.25757575757575</v>
      </c>
      <c r="T62" s="58">
        <f t="shared" si="10"/>
        <v>325.75757575757575</v>
      </c>
      <c r="U62" s="60">
        <f t="shared" si="11"/>
        <v>1.563392857142857</v>
      </c>
      <c r="V62" s="60">
        <f t="shared" si="12"/>
        <v>1.2216071428571429</v>
      </c>
      <c r="W62" s="60">
        <f t="shared" si="13"/>
        <v>0.76785714285714279</v>
      </c>
      <c r="X62" s="61"/>
      <c r="Y62" s="1"/>
      <c r="Z62" s="1"/>
    </row>
    <row r="63" spans="1:26" ht="15.75" customHeight="1">
      <c r="A63" s="54"/>
      <c r="B63" s="162"/>
      <c r="C63" s="33"/>
      <c r="D63" s="55" t="s">
        <v>1104</v>
      </c>
      <c r="E63" s="55" t="s">
        <v>607</v>
      </c>
      <c r="F63" s="56" t="s">
        <v>1014</v>
      </c>
      <c r="G63" s="57" t="s">
        <v>1105</v>
      </c>
      <c r="H63" s="58">
        <v>18000</v>
      </c>
      <c r="I63" s="58">
        <f t="shared" si="0"/>
        <v>12600</v>
      </c>
      <c r="J63" s="58">
        <f t="shared" si="1"/>
        <v>381.81818181818181</v>
      </c>
      <c r="K63" s="58">
        <v>1200</v>
      </c>
      <c r="L63" s="59">
        <f t="shared" si="2"/>
        <v>1150</v>
      </c>
      <c r="M63" s="58">
        <f t="shared" si="3"/>
        <v>862.5</v>
      </c>
      <c r="N63" s="58">
        <f t="shared" si="4"/>
        <v>747.5</v>
      </c>
      <c r="O63" s="58">
        <f t="shared" si="5"/>
        <v>600</v>
      </c>
      <c r="P63" s="58">
        <f t="shared" si="6"/>
        <v>768.18181818181824</v>
      </c>
      <c r="Q63" s="60">
        <f t="shared" si="7"/>
        <v>2.0119047619047623</v>
      </c>
      <c r="R63" s="58">
        <f t="shared" si="8"/>
        <v>480.68181818181819</v>
      </c>
      <c r="S63" s="58">
        <f t="shared" si="9"/>
        <v>365.68181818181819</v>
      </c>
      <c r="T63" s="58">
        <f t="shared" si="10"/>
        <v>218.18181818181819</v>
      </c>
      <c r="U63" s="60">
        <f t="shared" si="11"/>
        <v>1.2589285714285714</v>
      </c>
      <c r="V63" s="60">
        <f t="shared" si="12"/>
        <v>0.95773809523809528</v>
      </c>
      <c r="W63" s="60">
        <f t="shared" si="13"/>
        <v>0.5714285714285714</v>
      </c>
      <c r="X63" s="61"/>
      <c r="Y63" s="1"/>
      <c r="Z63" s="1"/>
    </row>
    <row r="64" spans="1:26" ht="15.75" customHeight="1">
      <c r="A64" s="54"/>
      <c r="B64" s="162"/>
      <c r="C64" s="33"/>
      <c r="D64" s="55" t="s">
        <v>1106</v>
      </c>
      <c r="E64" s="55" t="s">
        <v>68</v>
      </c>
      <c r="F64" s="56" t="s">
        <v>1014</v>
      </c>
      <c r="G64" s="57" t="s">
        <v>1107</v>
      </c>
      <c r="H64" s="58">
        <v>20000</v>
      </c>
      <c r="I64" s="58">
        <f t="shared" si="0"/>
        <v>14000</v>
      </c>
      <c r="J64" s="58">
        <f t="shared" si="1"/>
        <v>424.24242424242425</v>
      </c>
      <c r="K64" s="58">
        <v>1500</v>
      </c>
      <c r="L64" s="59">
        <f t="shared" si="2"/>
        <v>1450</v>
      </c>
      <c r="M64" s="58">
        <f t="shared" si="3"/>
        <v>1087.5</v>
      </c>
      <c r="N64" s="58">
        <f t="shared" si="4"/>
        <v>942.5</v>
      </c>
      <c r="O64" s="58">
        <f t="shared" si="5"/>
        <v>750</v>
      </c>
      <c r="P64" s="58">
        <f t="shared" si="6"/>
        <v>1025.7575757575758</v>
      </c>
      <c r="Q64" s="60">
        <f t="shared" si="7"/>
        <v>2.4178571428571427</v>
      </c>
      <c r="R64" s="58">
        <f t="shared" si="8"/>
        <v>663.25757575757575</v>
      </c>
      <c r="S64" s="58">
        <f t="shared" si="9"/>
        <v>518.25757575757575</v>
      </c>
      <c r="T64" s="58">
        <f t="shared" si="10"/>
        <v>325.75757575757575</v>
      </c>
      <c r="U64" s="60">
        <f t="shared" si="11"/>
        <v>1.563392857142857</v>
      </c>
      <c r="V64" s="60">
        <f t="shared" si="12"/>
        <v>1.2216071428571429</v>
      </c>
      <c r="W64" s="60">
        <f t="shared" si="13"/>
        <v>0.76785714285714279</v>
      </c>
      <c r="X64" s="61"/>
      <c r="Y64" s="1"/>
      <c r="Z64" s="1"/>
    </row>
    <row r="65" spans="1:26" ht="15.75" customHeight="1">
      <c r="A65" s="54"/>
      <c r="B65" s="162"/>
      <c r="C65" s="33"/>
      <c r="D65" s="55" t="s">
        <v>1108</v>
      </c>
      <c r="E65" s="55" t="s">
        <v>607</v>
      </c>
      <c r="F65" s="56" t="s">
        <v>1014</v>
      </c>
      <c r="G65" s="57" t="s">
        <v>1109</v>
      </c>
      <c r="H65" s="58">
        <v>18000</v>
      </c>
      <c r="I65" s="58">
        <f t="shared" si="0"/>
        <v>12600</v>
      </c>
      <c r="J65" s="58">
        <f t="shared" si="1"/>
        <v>381.81818181818181</v>
      </c>
      <c r="K65" s="58">
        <v>1200</v>
      </c>
      <c r="L65" s="59">
        <f t="shared" si="2"/>
        <v>1150</v>
      </c>
      <c r="M65" s="58">
        <f t="shared" si="3"/>
        <v>862.5</v>
      </c>
      <c r="N65" s="58">
        <f t="shared" si="4"/>
        <v>747.5</v>
      </c>
      <c r="O65" s="58">
        <f t="shared" si="5"/>
        <v>600</v>
      </c>
      <c r="P65" s="58">
        <f t="shared" si="6"/>
        <v>768.18181818181824</v>
      </c>
      <c r="Q65" s="60">
        <f t="shared" si="7"/>
        <v>2.0119047619047623</v>
      </c>
      <c r="R65" s="58">
        <f t="shared" si="8"/>
        <v>480.68181818181819</v>
      </c>
      <c r="S65" s="58">
        <f t="shared" si="9"/>
        <v>365.68181818181819</v>
      </c>
      <c r="T65" s="58">
        <f t="shared" si="10"/>
        <v>218.18181818181819</v>
      </c>
      <c r="U65" s="60">
        <f t="shared" si="11"/>
        <v>1.2589285714285714</v>
      </c>
      <c r="V65" s="60">
        <f t="shared" si="12"/>
        <v>0.95773809523809528</v>
      </c>
      <c r="W65" s="60">
        <f t="shared" si="13"/>
        <v>0.5714285714285714</v>
      </c>
      <c r="X65" s="61" t="s">
        <v>47</v>
      </c>
      <c r="Y65" s="1"/>
      <c r="Z65" s="1"/>
    </row>
    <row r="66" spans="1:26" ht="15.75" customHeight="1">
      <c r="A66" s="54"/>
      <c r="B66" s="162"/>
      <c r="C66" s="33"/>
      <c r="D66" s="55" t="s">
        <v>1108</v>
      </c>
      <c r="E66" s="55" t="s">
        <v>68</v>
      </c>
      <c r="F66" s="56" t="s">
        <v>1014</v>
      </c>
      <c r="G66" s="57" t="s">
        <v>1110</v>
      </c>
      <c r="H66" s="58">
        <v>20000</v>
      </c>
      <c r="I66" s="58">
        <f t="shared" si="0"/>
        <v>14000</v>
      </c>
      <c r="J66" s="58">
        <f t="shared" si="1"/>
        <v>424.24242424242425</v>
      </c>
      <c r="K66" s="58">
        <v>1500</v>
      </c>
      <c r="L66" s="59">
        <f t="shared" si="2"/>
        <v>1450</v>
      </c>
      <c r="M66" s="58">
        <f t="shared" si="3"/>
        <v>1087.5</v>
      </c>
      <c r="N66" s="58">
        <f t="shared" si="4"/>
        <v>942.5</v>
      </c>
      <c r="O66" s="58">
        <f t="shared" si="5"/>
        <v>750</v>
      </c>
      <c r="P66" s="58">
        <f t="shared" si="6"/>
        <v>1025.7575757575758</v>
      </c>
      <c r="Q66" s="60">
        <f t="shared" si="7"/>
        <v>2.4178571428571427</v>
      </c>
      <c r="R66" s="58">
        <f t="shared" si="8"/>
        <v>663.25757575757575</v>
      </c>
      <c r="S66" s="58">
        <f t="shared" si="9"/>
        <v>518.25757575757575</v>
      </c>
      <c r="T66" s="58">
        <f t="shared" si="10"/>
        <v>325.75757575757575</v>
      </c>
      <c r="U66" s="60">
        <f t="shared" si="11"/>
        <v>1.563392857142857</v>
      </c>
      <c r="V66" s="60">
        <f t="shared" si="12"/>
        <v>1.2216071428571429</v>
      </c>
      <c r="W66" s="60">
        <f t="shared" si="13"/>
        <v>0.76785714285714279</v>
      </c>
      <c r="X66" s="61" t="s">
        <v>47</v>
      </c>
      <c r="Y66" s="1"/>
      <c r="Z66" s="1"/>
    </row>
    <row r="67" spans="1:26" ht="15.75" customHeight="1">
      <c r="A67" s="54"/>
      <c r="B67" s="162"/>
      <c r="C67" s="33"/>
      <c r="D67" s="55" t="s">
        <v>1108</v>
      </c>
      <c r="E67" s="55" t="s">
        <v>1101</v>
      </c>
      <c r="F67" s="56" t="s">
        <v>1014</v>
      </c>
      <c r="G67" s="57" t="s">
        <v>1111</v>
      </c>
      <c r="H67" s="58">
        <v>20000</v>
      </c>
      <c r="I67" s="58">
        <f t="shared" si="0"/>
        <v>14000</v>
      </c>
      <c r="J67" s="58">
        <f t="shared" si="1"/>
        <v>424.24242424242425</v>
      </c>
      <c r="K67" s="58">
        <v>1500</v>
      </c>
      <c r="L67" s="59">
        <f t="shared" si="2"/>
        <v>1450</v>
      </c>
      <c r="M67" s="58">
        <f t="shared" si="3"/>
        <v>1087.5</v>
      </c>
      <c r="N67" s="58">
        <f t="shared" si="4"/>
        <v>942.5</v>
      </c>
      <c r="O67" s="58">
        <f t="shared" si="5"/>
        <v>750</v>
      </c>
      <c r="P67" s="58">
        <f t="shared" si="6"/>
        <v>1025.7575757575758</v>
      </c>
      <c r="Q67" s="60">
        <f t="shared" si="7"/>
        <v>2.4178571428571427</v>
      </c>
      <c r="R67" s="58">
        <f t="shared" si="8"/>
        <v>663.25757575757575</v>
      </c>
      <c r="S67" s="58">
        <f t="shared" si="9"/>
        <v>518.25757575757575</v>
      </c>
      <c r="T67" s="58">
        <f t="shared" si="10"/>
        <v>325.75757575757575</v>
      </c>
      <c r="U67" s="60">
        <f t="shared" si="11"/>
        <v>1.563392857142857</v>
      </c>
      <c r="V67" s="60">
        <f t="shared" si="12"/>
        <v>1.2216071428571429</v>
      </c>
      <c r="W67" s="60">
        <f t="shared" si="13"/>
        <v>0.76785714285714279</v>
      </c>
      <c r="X67" s="61" t="s">
        <v>88</v>
      </c>
      <c r="Y67" s="1"/>
      <c r="Z67" s="1"/>
    </row>
    <row r="68" spans="1:26" ht="15.75" customHeight="1">
      <c r="A68" s="54"/>
      <c r="B68" s="162"/>
      <c r="C68" s="33"/>
      <c r="D68" s="55" t="s">
        <v>684</v>
      </c>
      <c r="E68" s="55" t="s">
        <v>358</v>
      </c>
      <c r="F68" s="56" t="s">
        <v>1055</v>
      </c>
      <c r="G68" s="57" t="s">
        <v>1112</v>
      </c>
      <c r="H68" s="58">
        <v>22000</v>
      </c>
      <c r="I68" s="58">
        <f t="shared" ref="I68:I131" si="14">H68*0.7</f>
        <v>15399.999999999998</v>
      </c>
      <c r="J68" s="58">
        <f t="shared" ref="J68:J131" si="15">I68/33</f>
        <v>466.66666666666663</v>
      </c>
      <c r="K68" s="58">
        <v>1600</v>
      </c>
      <c r="L68" s="59">
        <f t="shared" ref="L68:L131" si="16">K68-50</f>
        <v>1550</v>
      </c>
      <c r="M68" s="58">
        <f t="shared" ref="M68:M131" si="17">L68*0.75</f>
        <v>1162.5</v>
      </c>
      <c r="N68" s="58">
        <f t="shared" ref="N68:N131" si="18">L68*0.65</f>
        <v>1007.5</v>
      </c>
      <c r="O68" s="58">
        <f t="shared" ref="O68:O131" si="19">K68*0.5</f>
        <v>800</v>
      </c>
      <c r="P68" s="58">
        <f t="shared" ref="P68:P131" si="20">L68-J68</f>
        <v>1083.3333333333335</v>
      </c>
      <c r="Q68" s="60">
        <f t="shared" ref="Q68:Q131" si="21">((L68-J68)/J68)</f>
        <v>2.3214285714285721</v>
      </c>
      <c r="R68" s="58">
        <f t="shared" ref="R68:R131" si="22">M68-J68</f>
        <v>695.83333333333337</v>
      </c>
      <c r="S68" s="58">
        <f t="shared" ref="S68:S131" si="23">N68-J68</f>
        <v>540.83333333333337</v>
      </c>
      <c r="T68" s="58">
        <f t="shared" ref="T68:T131" si="24">O68-J68</f>
        <v>333.33333333333337</v>
      </c>
      <c r="U68" s="60">
        <f t="shared" ref="U68:U131" si="25">(M68-J68)/J68</f>
        <v>1.4910714285714288</v>
      </c>
      <c r="V68" s="60">
        <f t="shared" ref="V68:V131" si="26">(N68-J68)/J68</f>
        <v>1.1589285714285715</v>
      </c>
      <c r="W68" s="60">
        <f t="shared" ref="W68:W131" si="27">(O68-J68)/J68</f>
        <v>0.71428571428571441</v>
      </c>
      <c r="X68" s="61" t="s">
        <v>90</v>
      </c>
      <c r="Y68" s="1"/>
      <c r="Z68" s="1"/>
    </row>
    <row r="69" spans="1:26" ht="15.75" customHeight="1">
      <c r="A69" s="54"/>
      <c r="B69" s="162"/>
      <c r="C69" s="33"/>
      <c r="D69" s="55" t="s">
        <v>684</v>
      </c>
      <c r="E69" s="55" t="s">
        <v>756</v>
      </c>
      <c r="F69" s="56" t="s">
        <v>1055</v>
      </c>
      <c r="G69" s="57" t="s">
        <v>1113</v>
      </c>
      <c r="H69" s="58">
        <v>20000</v>
      </c>
      <c r="I69" s="58">
        <f t="shared" si="14"/>
        <v>14000</v>
      </c>
      <c r="J69" s="58">
        <f t="shared" si="15"/>
        <v>424.24242424242425</v>
      </c>
      <c r="K69" s="58">
        <v>1600</v>
      </c>
      <c r="L69" s="59">
        <f t="shared" si="16"/>
        <v>1550</v>
      </c>
      <c r="M69" s="58">
        <f t="shared" si="17"/>
        <v>1162.5</v>
      </c>
      <c r="N69" s="58">
        <f t="shared" si="18"/>
        <v>1007.5</v>
      </c>
      <c r="O69" s="58">
        <f t="shared" si="19"/>
        <v>800</v>
      </c>
      <c r="P69" s="58">
        <f t="shared" si="20"/>
        <v>1125.7575757575758</v>
      </c>
      <c r="Q69" s="60">
        <f t="shared" si="21"/>
        <v>2.6535714285714285</v>
      </c>
      <c r="R69" s="58">
        <f t="shared" si="22"/>
        <v>738.25757575757575</v>
      </c>
      <c r="S69" s="58">
        <f t="shared" si="23"/>
        <v>583.25757575757575</v>
      </c>
      <c r="T69" s="58">
        <f t="shared" si="24"/>
        <v>375.75757575757575</v>
      </c>
      <c r="U69" s="60">
        <f t="shared" si="25"/>
        <v>1.7401785714285714</v>
      </c>
      <c r="V69" s="60">
        <f t="shared" si="26"/>
        <v>1.3748214285714286</v>
      </c>
      <c r="W69" s="60">
        <f t="shared" si="27"/>
        <v>0.88571428571428568</v>
      </c>
      <c r="X69" s="61" t="s">
        <v>91</v>
      </c>
      <c r="Y69" s="1"/>
      <c r="Z69" s="1"/>
    </row>
    <row r="70" spans="1:26" ht="15.75" customHeight="1">
      <c r="A70" s="54"/>
      <c r="B70" s="162"/>
      <c r="C70" s="33"/>
      <c r="D70" s="55" t="s">
        <v>684</v>
      </c>
      <c r="E70" s="55" t="s">
        <v>1114</v>
      </c>
      <c r="F70" s="56" t="s">
        <v>1055</v>
      </c>
      <c r="G70" s="57" t="s">
        <v>1115</v>
      </c>
      <c r="H70" s="58">
        <v>22000</v>
      </c>
      <c r="I70" s="58">
        <f t="shared" si="14"/>
        <v>15399.999999999998</v>
      </c>
      <c r="J70" s="58">
        <f t="shared" si="15"/>
        <v>466.66666666666663</v>
      </c>
      <c r="K70" s="58">
        <v>1600</v>
      </c>
      <c r="L70" s="59">
        <f t="shared" si="16"/>
        <v>1550</v>
      </c>
      <c r="M70" s="58">
        <f t="shared" si="17"/>
        <v>1162.5</v>
      </c>
      <c r="N70" s="58">
        <f t="shared" si="18"/>
        <v>1007.5</v>
      </c>
      <c r="O70" s="58">
        <f t="shared" si="19"/>
        <v>800</v>
      </c>
      <c r="P70" s="58">
        <f t="shared" si="20"/>
        <v>1083.3333333333335</v>
      </c>
      <c r="Q70" s="60">
        <f t="shared" si="21"/>
        <v>2.3214285714285721</v>
      </c>
      <c r="R70" s="58">
        <f t="shared" si="22"/>
        <v>695.83333333333337</v>
      </c>
      <c r="S70" s="58">
        <f t="shared" si="23"/>
        <v>540.83333333333337</v>
      </c>
      <c r="T70" s="58">
        <f t="shared" si="24"/>
        <v>333.33333333333337</v>
      </c>
      <c r="U70" s="60">
        <f t="shared" si="25"/>
        <v>1.4910714285714288</v>
      </c>
      <c r="V70" s="60">
        <f t="shared" si="26"/>
        <v>1.1589285714285715</v>
      </c>
      <c r="W70" s="60">
        <f t="shared" si="27"/>
        <v>0.71428571428571441</v>
      </c>
      <c r="X70" s="61" t="s">
        <v>90</v>
      </c>
      <c r="Y70" s="1"/>
      <c r="Z70" s="1"/>
    </row>
    <row r="71" spans="1:26" ht="15.75" customHeight="1">
      <c r="A71" s="54"/>
      <c r="B71" s="162"/>
      <c r="C71" s="33"/>
      <c r="D71" s="55" t="s">
        <v>684</v>
      </c>
      <c r="E71" s="55" t="s">
        <v>1116</v>
      </c>
      <c r="F71" s="56" t="s">
        <v>1055</v>
      </c>
      <c r="G71" s="57" t="s">
        <v>1117</v>
      </c>
      <c r="H71" s="58">
        <v>25000</v>
      </c>
      <c r="I71" s="58">
        <f t="shared" si="14"/>
        <v>17500</v>
      </c>
      <c r="J71" s="58">
        <f t="shared" si="15"/>
        <v>530.30303030303025</v>
      </c>
      <c r="K71" s="58">
        <v>1600</v>
      </c>
      <c r="L71" s="59">
        <f t="shared" si="16"/>
        <v>1550</v>
      </c>
      <c r="M71" s="58">
        <f t="shared" si="17"/>
        <v>1162.5</v>
      </c>
      <c r="N71" s="58">
        <f t="shared" si="18"/>
        <v>1007.5</v>
      </c>
      <c r="O71" s="58">
        <f t="shared" si="19"/>
        <v>800</v>
      </c>
      <c r="P71" s="58">
        <f t="shared" si="20"/>
        <v>1019.6969696969697</v>
      </c>
      <c r="Q71" s="60">
        <f t="shared" si="21"/>
        <v>1.922857142857143</v>
      </c>
      <c r="R71" s="58">
        <f t="shared" si="22"/>
        <v>632.19696969696975</v>
      </c>
      <c r="S71" s="58">
        <f t="shared" si="23"/>
        <v>477.19696969696975</v>
      </c>
      <c r="T71" s="58">
        <f t="shared" si="24"/>
        <v>269.69696969696975</v>
      </c>
      <c r="U71" s="60">
        <f t="shared" si="25"/>
        <v>1.1921428571428574</v>
      </c>
      <c r="V71" s="60">
        <f t="shared" si="26"/>
        <v>0.89985714285714302</v>
      </c>
      <c r="W71" s="60">
        <f t="shared" si="27"/>
        <v>0.50857142857142867</v>
      </c>
      <c r="X71" s="61" t="s">
        <v>93</v>
      </c>
      <c r="Y71" s="1"/>
      <c r="Z71" s="1"/>
    </row>
    <row r="72" spans="1:26" ht="15.75" customHeight="1">
      <c r="A72" s="54"/>
      <c r="B72" s="162"/>
      <c r="C72" s="33"/>
      <c r="D72" s="55" t="s">
        <v>684</v>
      </c>
      <c r="E72" s="55" t="s">
        <v>577</v>
      </c>
      <c r="F72" s="56" t="s">
        <v>1055</v>
      </c>
      <c r="G72" s="57" t="s">
        <v>1118</v>
      </c>
      <c r="H72" s="58">
        <v>25000</v>
      </c>
      <c r="I72" s="58">
        <f t="shared" si="14"/>
        <v>17500</v>
      </c>
      <c r="J72" s="58">
        <f t="shared" si="15"/>
        <v>530.30303030303025</v>
      </c>
      <c r="K72" s="58">
        <v>1600</v>
      </c>
      <c r="L72" s="59">
        <f t="shared" si="16"/>
        <v>1550</v>
      </c>
      <c r="M72" s="58">
        <f t="shared" si="17"/>
        <v>1162.5</v>
      </c>
      <c r="N72" s="58">
        <f t="shared" si="18"/>
        <v>1007.5</v>
      </c>
      <c r="O72" s="58">
        <f t="shared" si="19"/>
        <v>800</v>
      </c>
      <c r="P72" s="58">
        <f t="shared" si="20"/>
        <v>1019.6969696969697</v>
      </c>
      <c r="Q72" s="60">
        <f t="shared" si="21"/>
        <v>1.922857142857143</v>
      </c>
      <c r="R72" s="58">
        <f t="shared" si="22"/>
        <v>632.19696969696975</v>
      </c>
      <c r="S72" s="58">
        <f t="shared" si="23"/>
        <v>477.19696969696975</v>
      </c>
      <c r="T72" s="58">
        <f t="shared" si="24"/>
        <v>269.69696969696975</v>
      </c>
      <c r="U72" s="60">
        <f t="shared" si="25"/>
        <v>1.1921428571428574</v>
      </c>
      <c r="V72" s="60">
        <f t="shared" si="26"/>
        <v>0.89985714285714302</v>
      </c>
      <c r="W72" s="60">
        <f t="shared" si="27"/>
        <v>0.50857142857142867</v>
      </c>
      <c r="X72" s="61"/>
      <c r="Y72" s="1"/>
      <c r="Z72" s="1"/>
    </row>
    <row r="73" spans="1:26" ht="15.75" customHeight="1">
      <c r="A73" s="54"/>
      <c r="B73" s="162"/>
      <c r="C73" s="34" t="s">
        <v>1119</v>
      </c>
      <c r="D73" s="55" t="s">
        <v>1120</v>
      </c>
      <c r="E73" s="55" t="s">
        <v>68</v>
      </c>
      <c r="F73" s="56" t="s">
        <v>1121</v>
      </c>
      <c r="G73" s="57" t="s">
        <v>1122</v>
      </c>
      <c r="H73" s="58">
        <v>25000</v>
      </c>
      <c r="I73" s="58">
        <f t="shared" si="14"/>
        <v>17500</v>
      </c>
      <c r="J73" s="58">
        <f t="shared" si="15"/>
        <v>530.30303030303025</v>
      </c>
      <c r="K73" s="58">
        <v>1500</v>
      </c>
      <c r="L73" s="59">
        <f t="shared" si="16"/>
        <v>1450</v>
      </c>
      <c r="M73" s="58">
        <f t="shared" si="17"/>
        <v>1087.5</v>
      </c>
      <c r="N73" s="58">
        <f t="shared" si="18"/>
        <v>942.5</v>
      </c>
      <c r="O73" s="58">
        <f t="shared" si="19"/>
        <v>750</v>
      </c>
      <c r="P73" s="58">
        <f t="shared" si="20"/>
        <v>919.69696969696975</v>
      </c>
      <c r="Q73" s="60">
        <f t="shared" si="21"/>
        <v>1.7342857142857144</v>
      </c>
      <c r="R73" s="58">
        <f t="shared" si="22"/>
        <v>557.19696969696975</v>
      </c>
      <c r="S73" s="58">
        <f t="shared" si="23"/>
        <v>412.19696969696975</v>
      </c>
      <c r="T73" s="58">
        <f t="shared" si="24"/>
        <v>219.69696969696975</v>
      </c>
      <c r="U73" s="60">
        <f t="shared" si="25"/>
        <v>1.0507142857142859</v>
      </c>
      <c r="V73" s="60">
        <f t="shared" si="26"/>
        <v>0.77728571428571447</v>
      </c>
      <c r="W73" s="60">
        <f t="shared" si="27"/>
        <v>0.41428571428571442</v>
      </c>
      <c r="X73" s="61" t="s">
        <v>95</v>
      </c>
      <c r="Y73" s="1"/>
      <c r="Z73" s="1"/>
    </row>
    <row r="74" spans="1:26" ht="15.75" customHeight="1">
      <c r="A74" s="54"/>
      <c r="B74" s="162"/>
      <c r="C74" s="34" t="s">
        <v>1119</v>
      </c>
      <c r="D74" s="55" t="s">
        <v>1123</v>
      </c>
      <c r="E74" s="55" t="s">
        <v>68</v>
      </c>
      <c r="F74" s="56" t="s">
        <v>1121</v>
      </c>
      <c r="G74" s="57" t="s">
        <v>1124</v>
      </c>
      <c r="H74" s="58">
        <v>25000</v>
      </c>
      <c r="I74" s="58">
        <f t="shared" si="14"/>
        <v>17500</v>
      </c>
      <c r="J74" s="58">
        <f t="shared" si="15"/>
        <v>530.30303030303025</v>
      </c>
      <c r="K74" s="58">
        <v>1500</v>
      </c>
      <c r="L74" s="59">
        <f t="shared" si="16"/>
        <v>1450</v>
      </c>
      <c r="M74" s="58">
        <f t="shared" si="17"/>
        <v>1087.5</v>
      </c>
      <c r="N74" s="58">
        <f t="shared" si="18"/>
        <v>942.5</v>
      </c>
      <c r="O74" s="58">
        <f t="shared" si="19"/>
        <v>750</v>
      </c>
      <c r="P74" s="58">
        <f t="shared" si="20"/>
        <v>919.69696969696975</v>
      </c>
      <c r="Q74" s="60">
        <f t="shared" si="21"/>
        <v>1.7342857142857144</v>
      </c>
      <c r="R74" s="58">
        <f t="shared" si="22"/>
        <v>557.19696969696975</v>
      </c>
      <c r="S74" s="58">
        <f t="shared" si="23"/>
        <v>412.19696969696975</v>
      </c>
      <c r="T74" s="58">
        <f t="shared" si="24"/>
        <v>219.69696969696975</v>
      </c>
      <c r="U74" s="60">
        <f t="shared" si="25"/>
        <v>1.0507142857142859</v>
      </c>
      <c r="V74" s="60">
        <f t="shared" si="26"/>
        <v>0.77728571428571447</v>
      </c>
      <c r="W74" s="60">
        <f t="shared" si="27"/>
        <v>0.41428571428571442</v>
      </c>
      <c r="X74" s="61" t="s">
        <v>96</v>
      </c>
      <c r="Y74" s="1"/>
      <c r="Z74" s="1"/>
    </row>
    <row r="75" spans="1:26" ht="15.75" customHeight="1">
      <c r="A75" s="54"/>
      <c r="B75" s="162"/>
      <c r="C75" s="33"/>
      <c r="D75" s="55" t="s">
        <v>1125</v>
      </c>
      <c r="E75" s="55" t="s">
        <v>772</v>
      </c>
      <c r="F75" s="56" t="s">
        <v>1121</v>
      </c>
      <c r="G75" s="57" t="s">
        <v>1126</v>
      </c>
      <c r="H75" s="58">
        <v>25000</v>
      </c>
      <c r="I75" s="58">
        <f t="shared" si="14"/>
        <v>17500</v>
      </c>
      <c r="J75" s="58">
        <f t="shared" si="15"/>
        <v>530.30303030303025</v>
      </c>
      <c r="K75" s="58">
        <v>1500</v>
      </c>
      <c r="L75" s="59">
        <f t="shared" si="16"/>
        <v>1450</v>
      </c>
      <c r="M75" s="58">
        <f t="shared" si="17"/>
        <v>1087.5</v>
      </c>
      <c r="N75" s="58">
        <f t="shared" si="18"/>
        <v>942.5</v>
      </c>
      <c r="O75" s="58">
        <f t="shared" si="19"/>
        <v>750</v>
      </c>
      <c r="P75" s="58">
        <f t="shared" si="20"/>
        <v>919.69696969696975</v>
      </c>
      <c r="Q75" s="60">
        <f t="shared" si="21"/>
        <v>1.7342857142857144</v>
      </c>
      <c r="R75" s="58">
        <f t="shared" si="22"/>
        <v>557.19696969696975</v>
      </c>
      <c r="S75" s="58">
        <f t="shared" si="23"/>
        <v>412.19696969696975</v>
      </c>
      <c r="T75" s="58">
        <f t="shared" si="24"/>
        <v>219.69696969696975</v>
      </c>
      <c r="U75" s="60">
        <f t="shared" si="25"/>
        <v>1.0507142857142859</v>
      </c>
      <c r="V75" s="60">
        <f t="shared" si="26"/>
        <v>0.77728571428571447</v>
      </c>
      <c r="W75" s="60">
        <f t="shared" si="27"/>
        <v>0.41428571428571442</v>
      </c>
      <c r="X75" s="61"/>
      <c r="Y75" s="1"/>
      <c r="Z75" s="1"/>
    </row>
    <row r="76" spans="1:26" ht="15.75" customHeight="1">
      <c r="A76" s="54"/>
      <c r="B76" s="162"/>
      <c r="C76" s="33"/>
      <c r="D76" s="55" t="s">
        <v>1127</v>
      </c>
      <c r="E76" s="55" t="s">
        <v>607</v>
      </c>
      <c r="F76" s="56" t="s">
        <v>1014</v>
      </c>
      <c r="G76" s="57" t="s">
        <v>1128</v>
      </c>
      <c r="H76" s="58">
        <v>18000</v>
      </c>
      <c r="I76" s="58">
        <f t="shared" si="14"/>
        <v>12600</v>
      </c>
      <c r="J76" s="58">
        <f t="shared" si="15"/>
        <v>381.81818181818181</v>
      </c>
      <c r="K76" s="58">
        <v>1300</v>
      </c>
      <c r="L76" s="59">
        <f t="shared" si="16"/>
        <v>1250</v>
      </c>
      <c r="M76" s="58">
        <f t="shared" si="17"/>
        <v>937.5</v>
      </c>
      <c r="N76" s="58">
        <f t="shared" si="18"/>
        <v>812.5</v>
      </c>
      <c r="O76" s="58">
        <f t="shared" si="19"/>
        <v>650</v>
      </c>
      <c r="P76" s="58">
        <f t="shared" si="20"/>
        <v>868.18181818181824</v>
      </c>
      <c r="Q76" s="60">
        <f t="shared" si="21"/>
        <v>2.2738095238095242</v>
      </c>
      <c r="R76" s="58">
        <f t="shared" si="22"/>
        <v>555.68181818181824</v>
      </c>
      <c r="S76" s="58">
        <f t="shared" si="23"/>
        <v>430.68181818181819</v>
      </c>
      <c r="T76" s="58">
        <f t="shared" si="24"/>
        <v>268.18181818181819</v>
      </c>
      <c r="U76" s="60">
        <f t="shared" si="25"/>
        <v>1.455357142857143</v>
      </c>
      <c r="V76" s="60">
        <f t="shared" si="26"/>
        <v>1.1279761904761905</v>
      </c>
      <c r="W76" s="60">
        <f t="shared" si="27"/>
        <v>0.70238095238095244</v>
      </c>
      <c r="X76" s="61" t="s">
        <v>1129</v>
      </c>
      <c r="Y76" s="1"/>
      <c r="Z76" s="1"/>
    </row>
    <row r="77" spans="1:26" ht="15.75" customHeight="1">
      <c r="A77" s="54"/>
      <c r="B77" s="162"/>
      <c r="C77" s="33"/>
      <c r="D77" s="55" t="s">
        <v>723</v>
      </c>
      <c r="E77" s="55" t="s">
        <v>607</v>
      </c>
      <c r="F77" s="56" t="s">
        <v>1014</v>
      </c>
      <c r="G77" s="57" t="s">
        <v>1130</v>
      </c>
      <c r="H77" s="58">
        <v>18000</v>
      </c>
      <c r="I77" s="58">
        <f t="shared" si="14"/>
        <v>12600</v>
      </c>
      <c r="J77" s="58">
        <f t="shared" si="15"/>
        <v>381.81818181818181</v>
      </c>
      <c r="K77" s="58">
        <v>1300</v>
      </c>
      <c r="L77" s="59">
        <f t="shared" si="16"/>
        <v>1250</v>
      </c>
      <c r="M77" s="58">
        <f t="shared" si="17"/>
        <v>937.5</v>
      </c>
      <c r="N77" s="58">
        <f t="shared" si="18"/>
        <v>812.5</v>
      </c>
      <c r="O77" s="58">
        <f t="shared" si="19"/>
        <v>650</v>
      </c>
      <c r="P77" s="58">
        <f t="shared" si="20"/>
        <v>868.18181818181824</v>
      </c>
      <c r="Q77" s="60">
        <f t="shared" si="21"/>
        <v>2.2738095238095242</v>
      </c>
      <c r="R77" s="58">
        <f t="shared" si="22"/>
        <v>555.68181818181824</v>
      </c>
      <c r="S77" s="58">
        <f t="shared" si="23"/>
        <v>430.68181818181819</v>
      </c>
      <c r="T77" s="58">
        <f t="shared" si="24"/>
        <v>268.18181818181819</v>
      </c>
      <c r="U77" s="60">
        <f t="shared" si="25"/>
        <v>1.455357142857143</v>
      </c>
      <c r="V77" s="60">
        <f t="shared" si="26"/>
        <v>1.1279761904761905</v>
      </c>
      <c r="W77" s="60">
        <f t="shared" si="27"/>
        <v>0.70238095238095244</v>
      </c>
      <c r="X77" s="61"/>
      <c r="Y77" s="1"/>
      <c r="Z77" s="1"/>
    </row>
    <row r="78" spans="1:26" ht="15.75" customHeight="1">
      <c r="A78" s="54"/>
      <c r="B78" s="162"/>
      <c r="C78" s="33"/>
      <c r="D78" s="55" t="s">
        <v>723</v>
      </c>
      <c r="E78" s="55" t="s">
        <v>465</v>
      </c>
      <c r="F78" s="56" t="s">
        <v>1014</v>
      </c>
      <c r="G78" s="57" t="s">
        <v>1131</v>
      </c>
      <c r="H78" s="58">
        <v>25000</v>
      </c>
      <c r="I78" s="58">
        <f t="shared" si="14"/>
        <v>17500</v>
      </c>
      <c r="J78" s="58">
        <f t="shared" si="15"/>
        <v>530.30303030303025</v>
      </c>
      <c r="K78" s="58">
        <v>1500</v>
      </c>
      <c r="L78" s="59">
        <f t="shared" si="16"/>
        <v>1450</v>
      </c>
      <c r="M78" s="58">
        <f t="shared" si="17"/>
        <v>1087.5</v>
      </c>
      <c r="N78" s="58">
        <f t="shared" si="18"/>
        <v>942.5</v>
      </c>
      <c r="O78" s="58">
        <f t="shared" si="19"/>
        <v>750</v>
      </c>
      <c r="P78" s="58">
        <f t="shared" si="20"/>
        <v>919.69696969696975</v>
      </c>
      <c r="Q78" s="60">
        <f t="shared" si="21"/>
        <v>1.7342857142857144</v>
      </c>
      <c r="R78" s="58">
        <f t="shared" si="22"/>
        <v>557.19696969696975</v>
      </c>
      <c r="S78" s="58">
        <f t="shared" si="23"/>
        <v>412.19696969696975</v>
      </c>
      <c r="T78" s="58">
        <f t="shared" si="24"/>
        <v>219.69696969696975</v>
      </c>
      <c r="U78" s="60">
        <f t="shared" si="25"/>
        <v>1.0507142857142859</v>
      </c>
      <c r="V78" s="60">
        <f t="shared" si="26"/>
        <v>0.77728571428571447</v>
      </c>
      <c r="W78" s="60">
        <f t="shared" si="27"/>
        <v>0.41428571428571442</v>
      </c>
      <c r="X78" s="61"/>
      <c r="Y78" s="1"/>
      <c r="Z78" s="1"/>
    </row>
    <row r="79" spans="1:26" ht="15.75" customHeight="1">
      <c r="A79" s="54"/>
      <c r="B79" s="162"/>
      <c r="C79" s="33"/>
      <c r="D79" s="55" t="s">
        <v>723</v>
      </c>
      <c r="E79" s="55" t="s">
        <v>577</v>
      </c>
      <c r="F79" s="56" t="s">
        <v>1014</v>
      </c>
      <c r="G79" s="57" t="s">
        <v>1132</v>
      </c>
      <c r="H79" s="58">
        <v>28000</v>
      </c>
      <c r="I79" s="58">
        <f t="shared" si="14"/>
        <v>19600</v>
      </c>
      <c r="J79" s="58">
        <f t="shared" si="15"/>
        <v>593.93939393939399</v>
      </c>
      <c r="K79" s="58">
        <v>1500</v>
      </c>
      <c r="L79" s="59">
        <f t="shared" si="16"/>
        <v>1450</v>
      </c>
      <c r="M79" s="58">
        <f t="shared" si="17"/>
        <v>1087.5</v>
      </c>
      <c r="N79" s="58">
        <f t="shared" si="18"/>
        <v>942.5</v>
      </c>
      <c r="O79" s="58">
        <f t="shared" si="19"/>
        <v>750</v>
      </c>
      <c r="P79" s="58">
        <f t="shared" si="20"/>
        <v>856.06060606060601</v>
      </c>
      <c r="Q79" s="60">
        <f t="shared" si="21"/>
        <v>1.4413265306122447</v>
      </c>
      <c r="R79" s="58">
        <f t="shared" si="22"/>
        <v>493.56060606060601</v>
      </c>
      <c r="S79" s="58">
        <f t="shared" si="23"/>
        <v>348.56060606060601</v>
      </c>
      <c r="T79" s="58">
        <f t="shared" si="24"/>
        <v>156.06060606060601</v>
      </c>
      <c r="U79" s="60">
        <f t="shared" si="25"/>
        <v>0.83099489795918347</v>
      </c>
      <c r="V79" s="60">
        <f t="shared" si="26"/>
        <v>0.58686224489795902</v>
      </c>
      <c r="W79" s="60">
        <f t="shared" si="27"/>
        <v>0.2627551020408162</v>
      </c>
      <c r="X79" s="61"/>
      <c r="Y79" s="1"/>
      <c r="Z79" s="1"/>
    </row>
    <row r="80" spans="1:26" ht="15.75" customHeight="1">
      <c r="A80" s="54"/>
      <c r="B80" s="162"/>
      <c r="C80" s="35" t="s">
        <v>1133</v>
      </c>
      <c r="D80" s="55" t="s">
        <v>785</v>
      </c>
      <c r="E80" s="55" t="s">
        <v>607</v>
      </c>
      <c r="F80" s="56" t="s">
        <v>1121</v>
      </c>
      <c r="G80" s="57" t="s">
        <v>1134</v>
      </c>
      <c r="H80" s="58">
        <v>18000</v>
      </c>
      <c r="I80" s="58">
        <f t="shared" si="14"/>
        <v>12600</v>
      </c>
      <c r="J80" s="58">
        <f t="shared" si="15"/>
        <v>381.81818181818181</v>
      </c>
      <c r="K80" s="58">
        <v>1300</v>
      </c>
      <c r="L80" s="59">
        <f t="shared" si="16"/>
        <v>1250</v>
      </c>
      <c r="M80" s="58">
        <f t="shared" si="17"/>
        <v>937.5</v>
      </c>
      <c r="N80" s="58">
        <f t="shared" si="18"/>
        <v>812.5</v>
      </c>
      <c r="O80" s="58">
        <f t="shared" si="19"/>
        <v>650</v>
      </c>
      <c r="P80" s="58">
        <f t="shared" si="20"/>
        <v>868.18181818181824</v>
      </c>
      <c r="Q80" s="60">
        <f t="shared" si="21"/>
        <v>2.2738095238095242</v>
      </c>
      <c r="R80" s="58">
        <f t="shared" si="22"/>
        <v>555.68181818181824</v>
      </c>
      <c r="S80" s="58">
        <f t="shared" si="23"/>
        <v>430.68181818181819</v>
      </c>
      <c r="T80" s="58">
        <f t="shared" si="24"/>
        <v>268.18181818181819</v>
      </c>
      <c r="U80" s="60">
        <f t="shared" si="25"/>
        <v>1.455357142857143</v>
      </c>
      <c r="V80" s="60">
        <f t="shared" si="26"/>
        <v>1.1279761904761905</v>
      </c>
      <c r="W80" s="60">
        <f t="shared" si="27"/>
        <v>0.70238095238095244</v>
      </c>
      <c r="X80" s="61" t="s">
        <v>100</v>
      </c>
      <c r="Y80" s="1"/>
      <c r="Z80" s="1"/>
    </row>
    <row r="81" spans="1:26" ht="15.75" customHeight="1">
      <c r="A81" s="54"/>
      <c r="B81" s="162"/>
      <c r="C81" s="33"/>
      <c r="D81" s="55" t="s">
        <v>785</v>
      </c>
      <c r="E81" s="55" t="s">
        <v>68</v>
      </c>
      <c r="F81" s="56" t="s">
        <v>1121</v>
      </c>
      <c r="G81" s="57" t="s">
        <v>1135</v>
      </c>
      <c r="H81" s="58">
        <v>22000</v>
      </c>
      <c r="I81" s="58">
        <f t="shared" si="14"/>
        <v>15399.999999999998</v>
      </c>
      <c r="J81" s="58">
        <f t="shared" si="15"/>
        <v>466.66666666666663</v>
      </c>
      <c r="K81" s="58">
        <v>1600</v>
      </c>
      <c r="L81" s="59">
        <f t="shared" si="16"/>
        <v>1550</v>
      </c>
      <c r="M81" s="58">
        <f t="shared" si="17"/>
        <v>1162.5</v>
      </c>
      <c r="N81" s="58">
        <f t="shared" si="18"/>
        <v>1007.5</v>
      </c>
      <c r="O81" s="58">
        <f t="shared" si="19"/>
        <v>800</v>
      </c>
      <c r="P81" s="58">
        <f t="shared" si="20"/>
        <v>1083.3333333333335</v>
      </c>
      <c r="Q81" s="60">
        <f t="shared" si="21"/>
        <v>2.3214285714285721</v>
      </c>
      <c r="R81" s="58">
        <f t="shared" si="22"/>
        <v>695.83333333333337</v>
      </c>
      <c r="S81" s="58">
        <f t="shared" si="23"/>
        <v>540.83333333333337</v>
      </c>
      <c r="T81" s="58">
        <f t="shared" si="24"/>
        <v>333.33333333333337</v>
      </c>
      <c r="U81" s="60">
        <f t="shared" si="25"/>
        <v>1.4910714285714288</v>
      </c>
      <c r="V81" s="60">
        <f t="shared" si="26"/>
        <v>1.1589285714285715</v>
      </c>
      <c r="W81" s="60">
        <f t="shared" si="27"/>
        <v>0.71428571428571441</v>
      </c>
      <c r="X81" s="61"/>
      <c r="Y81" s="1"/>
      <c r="Z81" s="1"/>
    </row>
    <row r="82" spans="1:26" ht="15.75" customHeight="1">
      <c r="A82" s="54"/>
      <c r="B82" s="162"/>
      <c r="C82" s="35" t="s">
        <v>1133</v>
      </c>
      <c r="D82" s="55" t="s">
        <v>1136</v>
      </c>
      <c r="E82" s="55" t="s">
        <v>607</v>
      </c>
      <c r="F82" s="56" t="s">
        <v>1121</v>
      </c>
      <c r="G82" s="57" t="s">
        <v>1137</v>
      </c>
      <c r="H82" s="58">
        <v>20000</v>
      </c>
      <c r="I82" s="58">
        <f t="shared" si="14"/>
        <v>14000</v>
      </c>
      <c r="J82" s="58">
        <f t="shared" si="15"/>
        <v>424.24242424242425</v>
      </c>
      <c r="K82" s="58">
        <v>1300</v>
      </c>
      <c r="L82" s="59">
        <f t="shared" si="16"/>
        <v>1250</v>
      </c>
      <c r="M82" s="58">
        <f t="shared" si="17"/>
        <v>937.5</v>
      </c>
      <c r="N82" s="58">
        <f t="shared" si="18"/>
        <v>812.5</v>
      </c>
      <c r="O82" s="58">
        <f t="shared" si="19"/>
        <v>650</v>
      </c>
      <c r="P82" s="58">
        <f t="shared" si="20"/>
        <v>825.75757575757575</v>
      </c>
      <c r="Q82" s="60">
        <f t="shared" si="21"/>
        <v>1.9464285714285714</v>
      </c>
      <c r="R82" s="58">
        <f t="shared" si="22"/>
        <v>513.25757575757575</v>
      </c>
      <c r="S82" s="58">
        <f t="shared" si="23"/>
        <v>388.25757575757575</v>
      </c>
      <c r="T82" s="58">
        <f t="shared" si="24"/>
        <v>225.75757575757575</v>
      </c>
      <c r="U82" s="60">
        <f t="shared" si="25"/>
        <v>1.2098214285714286</v>
      </c>
      <c r="V82" s="60">
        <f t="shared" si="26"/>
        <v>0.9151785714285714</v>
      </c>
      <c r="W82" s="60">
        <f t="shared" si="27"/>
        <v>0.53214285714285714</v>
      </c>
      <c r="X82" s="61"/>
      <c r="Y82" s="1"/>
      <c r="Z82" s="1"/>
    </row>
    <row r="83" spans="1:26" ht="15.75" customHeight="1">
      <c r="A83" s="54"/>
      <c r="B83" s="162"/>
      <c r="C83" s="33"/>
      <c r="D83" s="55" t="s">
        <v>1136</v>
      </c>
      <c r="E83" s="55" t="s">
        <v>68</v>
      </c>
      <c r="F83" s="56" t="s">
        <v>1121</v>
      </c>
      <c r="G83" s="57" t="s">
        <v>1138</v>
      </c>
      <c r="H83" s="58">
        <v>25000</v>
      </c>
      <c r="I83" s="58">
        <f t="shared" si="14"/>
        <v>17500</v>
      </c>
      <c r="J83" s="58">
        <f t="shared" si="15"/>
        <v>530.30303030303025</v>
      </c>
      <c r="K83" s="58">
        <v>1600</v>
      </c>
      <c r="L83" s="59">
        <f t="shared" si="16"/>
        <v>1550</v>
      </c>
      <c r="M83" s="58">
        <f t="shared" si="17"/>
        <v>1162.5</v>
      </c>
      <c r="N83" s="58">
        <f t="shared" si="18"/>
        <v>1007.5</v>
      </c>
      <c r="O83" s="58">
        <f t="shared" si="19"/>
        <v>800</v>
      </c>
      <c r="P83" s="58">
        <f t="shared" si="20"/>
        <v>1019.6969696969697</v>
      </c>
      <c r="Q83" s="60">
        <f t="shared" si="21"/>
        <v>1.922857142857143</v>
      </c>
      <c r="R83" s="58">
        <f t="shared" si="22"/>
        <v>632.19696969696975</v>
      </c>
      <c r="S83" s="58">
        <f t="shared" si="23"/>
        <v>477.19696969696975</v>
      </c>
      <c r="T83" s="58">
        <f t="shared" si="24"/>
        <v>269.69696969696975</v>
      </c>
      <c r="U83" s="60">
        <f t="shared" si="25"/>
        <v>1.1921428571428574</v>
      </c>
      <c r="V83" s="60">
        <f t="shared" si="26"/>
        <v>0.89985714285714302</v>
      </c>
      <c r="W83" s="60">
        <f t="shared" si="27"/>
        <v>0.50857142857142867</v>
      </c>
      <c r="X83" s="61"/>
      <c r="Y83" s="1"/>
      <c r="Z83" s="1"/>
    </row>
    <row r="84" spans="1:26" ht="15.75" customHeight="1">
      <c r="A84" s="54"/>
      <c r="B84" s="162"/>
      <c r="C84" s="33"/>
      <c r="D84" s="55" t="s">
        <v>1139</v>
      </c>
      <c r="E84" s="55" t="s">
        <v>1140</v>
      </c>
      <c r="F84" s="56" t="s">
        <v>1121</v>
      </c>
      <c r="G84" s="57" t="s">
        <v>1141</v>
      </c>
      <c r="H84" s="58">
        <v>22000</v>
      </c>
      <c r="I84" s="58">
        <f t="shared" si="14"/>
        <v>15399.999999999998</v>
      </c>
      <c r="J84" s="58">
        <f t="shared" si="15"/>
        <v>466.66666666666663</v>
      </c>
      <c r="K84" s="58">
        <v>1600</v>
      </c>
      <c r="L84" s="59">
        <f t="shared" si="16"/>
        <v>1550</v>
      </c>
      <c r="M84" s="58">
        <f t="shared" si="17"/>
        <v>1162.5</v>
      </c>
      <c r="N84" s="58">
        <f t="shared" si="18"/>
        <v>1007.5</v>
      </c>
      <c r="O84" s="58">
        <f t="shared" si="19"/>
        <v>800</v>
      </c>
      <c r="P84" s="58">
        <f t="shared" si="20"/>
        <v>1083.3333333333335</v>
      </c>
      <c r="Q84" s="60">
        <f t="shared" si="21"/>
        <v>2.3214285714285721</v>
      </c>
      <c r="R84" s="58">
        <f t="shared" si="22"/>
        <v>695.83333333333337</v>
      </c>
      <c r="S84" s="58">
        <f t="shared" si="23"/>
        <v>540.83333333333337</v>
      </c>
      <c r="T84" s="58">
        <f t="shared" si="24"/>
        <v>333.33333333333337</v>
      </c>
      <c r="U84" s="60">
        <f t="shared" si="25"/>
        <v>1.4910714285714288</v>
      </c>
      <c r="V84" s="60">
        <f t="shared" si="26"/>
        <v>1.1589285714285715</v>
      </c>
      <c r="W84" s="60">
        <f t="shared" si="27"/>
        <v>0.71428571428571441</v>
      </c>
      <c r="X84" s="61" t="s">
        <v>62</v>
      </c>
      <c r="Y84" s="1"/>
      <c r="Z84" s="1"/>
    </row>
    <row r="85" spans="1:26" ht="15.75" customHeight="1">
      <c r="A85" s="54"/>
      <c r="B85" s="162"/>
      <c r="C85" s="33"/>
      <c r="D85" s="65" t="s">
        <v>1139</v>
      </c>
      <c r="E85" s="65" t="s">
        <v>68</v>
      </c>
      <c r="F85" s="66" t="s">
        <v>1121</v>
      </c>
      <c r="G85" s="67" t="s">
        <v>1142</v>
      </c>
      <c r="H85" s="68">
        <v>23000</v>
      </c>
      <c r="I85" s="58">
        <f t="shared" si="14"/>
        <v>16099.999999999998</v>
      </c>
      <c r="J85" s="58">
        <f t="shared" si="15"/>
        <v>487.87878787878782</v>
      </c>
      <c r="K85" s="58">
        <v>1600</v>
      </c>
      <c r="L85" s="59">
        <f t="shared" si="16"/>
        <v>1550</v>
      </c>
      <c r="M85" s="58">
        <f t="shared" si="17"/>
        <v>1162.5</v>
      </c>
      <c r="N85" s="58">
        <f t="shared" si="18"/>
        <v>1007.5</v>
      </c>
      <c r="O85" s="58">
        <f t="shared" si="19"/>
        <v>800</v>
      </c>
      <c r="P85" s="58">
        <f t="shared" si="20"/>
        <v>1062.1212121212122</v>
      </c>
      <c r="Q85" s="60">
        <f t="shared" si="21"/>
        <v>2.1770186335403734</v>
      </c>
      <c r="R85" s="58">
        <f t="shared" si="22"/>
        <v>674.62121212121224</v>
      </c>
      <c r="S85" s="58">
        <f t="shared" si="23"/>
        <v>519.62121212121224</v>
      </c>
      <c r="T85" s="58">
        <f t="shared" si="24"/>
        <v>312.12121212121218</v>
      </c>
      <c r="U85" s="60">
        <f t="shared" si="25"/>
        <v>1.3827639751552798</v>
      </c>
      <c r="V85" s="60">
        <f t="shared" si="26"/>
        <v>1.0650621118012427</v>
      </c>
      <c r="W85" s="60">
        <f t="shared" si="27"/>
        <v>0.63975155279503126</v>
      </c>
      <c r="X85" s="61"/>
      <c r="Y85" s="1"/>
      <c r="Z85" s="1"/>
    </row>
    <row r="86" spans="1:26" ht="15.75" customHeight="1">
      <c r="A86" s="54"/>
      <c r="B86" s="162"/>
      <c r="C86" s="33"/>
      <c r="D86" s="55" t="s">
        <v>1143</v>
      </c>
      <c r="E86" s="55" t="s">
        <v>68</v>
      </c>
      <c r="F86" s="56" t="s">
        <v>1121</v>
      </c>
      <c r="G86" s="57" t="s">
        <v>1144</v>
      </c>
      <c r="H86" s="58">
        <v>25000</v>
      </c>
      <c r="I86" s="58">
        <f t="shared" si="14"/>
        <v>17500</v>
      </c>
      <c r="J86" s="58">
        <f t="shared" si="15"/>
        <v>530.30303030303025</v>
      </c>
      <c r="K86" s="58">
        <v>1600</v>
      </c>
      <c r="L86" s="59">
        <f t="shared" si="16"/>
        <v>1550</v>
      </c>
      <c r="M86" s="58">
        <f t="shared" si="17"/>
        <v>1162.5</v>
      </c>
      <c r="N86" s="58">
        <f t="shared" si="18"/>
        <v>1007.5</v>
      </c>
      <c r="O86" s="58">
        <f t="shared" si="19"/>
        <v>800</v>
      </c>
      <c r="P86" s="58">
        <f t="shared" si="20"/>
        <v>1019.6969696969697</v>
      </c>
      <c r="Q86" s="60">
        <f t="shared" si="21"/>
        <v>1.922857142857143</v>
      </c>
      <c r="R86" s="58">
        <f t="shared" si="22"/>
        <v>632.19696969696975</v>
      </c>
      <c r="S86" s="58">
        <f t="shared" si="23"/>
        <v>477.19696969696975</v>
      </c>
      <c r="T86" s="58">
        <f t="shared" si="24"/>
        <v>269.69696969696975</v>
      </c>
      <c r="U86" s="60">
        <f t="shared" si="25"/>
        <v>1.1921428571428574</v>
      </c>
      <c r="V86" s="60">
        <f t="shared" si="26"/>
        <v>0.89985714285714302</v>
      </c>
      <c r="W86" s="60">
        <f t="shared" si="27"/>
        <v>0.50857142857142867</v>
      </c>
      <c r="X86" s="61"/>
      <c r="Y86" s="1"/>
      <c r="Z86" s="1"/>
    </row>
    <row r="87" spans="1:26" ht="15.75" customHeight="1">
      <c r="A87" s="54"/>
      <c r="B87" s="162"/>
      <c r="C87" s="33"/>
      <c r="D87" s="55" t="s">
        <v>1145</v>
      </c>
      <c r="E87" s="55" t="s">
        <v>607</v>
      </c>
      <c r="F87" s="56" t="s">
        <v>1121</v>
      </c>
      <c r="G87" s="57" t="s">
        <v>1137</v>
      </c>
      <c r="H87" s="58">
        <v>15000</v>
      </c>
      <c r="I87" s="58">
        <f t="shared" si="14"/>
        <v>10500</v>
      </c>
      <c r="J87" s="58">
        <f t="shared" si="15"/>
        <v>318.18181818181819</v>
      </c>
      <c r="K87" s="58">
        <v>1300</v>
      </c>
      <c r="L87" s="59">
        <f t="shared" si="16"/>
        <v>1250</v>
      </c>
      <c r="M87" s="58">
        <f t="shared" si="17"/>
        <v>937.5</v>
      </c>
      <c r="N87" s="58">
        <f t="shared" si="18"/>
        <v>812.5</v>
      </c>
      <c r="O87" s="58">
        <f t="shared" si="19"/>
        <v>650</v>
      </c>
      <c r="P87" s="58">
        <f t="shared" si="20"/>
        <v>931.81818181818176</v>
      </c>
      <c r="Q87" s="60">
        <f t="shared" si="21"/>
        <v>2.9285714285714284</v>
      </c>
      <c r="R87" s="58">
        <f t="shared" si="22"/>
        <v>619.31818181818176</v>
      </c>
      <c r="S87" s="58">
        <f t="shared" si="23"/>
        <v>494.31818181818181</v>
      </c>
      <c r="T87" s="58">
        <f t="shared" si="24"/>
        <v>331.81818181818181</v>
      </c>
      <c r="U87" s="60">
        <f t="shared" si="25"/>
        <v>1.9464285714285712</v>
      </c>
      <c r="V87" s="60">
        <f t="shared" si="26"/>
        <v>1.5535714285714286</v>
      </c>
      <c r="W87" s="60">
        <f t="shared" si="27"/>
        <v>1.0428571428571429</v>
      </c>
      <c r="X87" s="61"/>
      <c r="Y87" s="1"/>
      <c r="Z87" s="1"/>
    </row>
    <row r="88" spans="1:26" ht="15.75" customHeight="1">
      <c r="A88" s="54"/>
      <c r="B88" s="162"/>
      <c r="C88" s="33"/>
      <c r="D88" s="55" t="s">
        <v>1145</v>
      </c>
      <c r="E88" s="55" t="s">
        <v>68</v>
      </c>
      <c r="F88" s="56" t="s">
        <v>1121</v>
      </c>
      <c r="G88" s="57" t="s">
        <v>1138</v>
      </c>
      <c r="H88" s="58">
        <v>18000</v>
      </c>
      <c r="I88" s="58">
        <f t="shared" si="14"/>
        <v>12600</v>
      </c>
      <c r="J88" s="58">
        <f t="shared" si="15"/>
        <v>381.81818181818181</v>
      </c>
      <c r="K88" s="58">
        <v>1600</v>
      </c>
      <c r="L88" s="59">
        <f t="shared" si="16"/>
        <v>1550</v>
      </c>
      <c r="M88" s="58">
        <f t="shared" si="17"/>
        <v>1162.5</v>
      </c>
      <c r="N88" s="58">
        <f t="shared" si="18"/>
        <v>1007.5</v>
      </c>
      <c r="O88" s="58">
        <f t="shared" si="19"/>
        <v>800</v>
      </c>
      <c r="P88" s="58">
        <f t="shared" si="20"/>
        <v>1168.1818181818182</v>
      </c>
      <c r="Q88" s="60">
        <f t="shared" si="21"/>
        <v>3.0595238095238098</v>
      </c>
      <c r="R88" s="58">
        <f t="shared" si="22"/>
        <v>780.68181818181824</v>
      </c>
      <c r="S88" s="58">
        <f t="shared" si="23"/>
        <v>625.68181818181824</v>
      </c>
      <c r="T88" s="58">
        <f t="shared" si="24"/>
        <v>418.18181818181819</v>
      </c>
      <c r="U88" s="60">
        <f t="shared" si="25"/>
        <v>2.0446428571428572</v>
      </c>
      <c r="V88" s="60">
        <f t="shared" si="26"/>
        <v>1.6386904761904764</v>
      </c>
      <c r="W88" s="60">
        <f t="shared" si="27"/>
        <v>1.0952380952380953</v>
      </c>
      <c r="X88" s="61"/>
      <c r="Y88" s="1"/>
      <c r="Z88" s="1"/>
    </row>
    <row r="89" spans="1:26" ht="15.75" customHeight="1">
      <c r="A89" s="54"/>
      <c r="B89" s="162"/>
      <c r="C89" s="33"/>
      <c r="D89" s="55" t="s">
        <v>1145</v>
      </c>
      <c r="E89" s="55" t="s">
        <v>1026</v>
      </c>
      <c r="F89" s="56" t="s">
        <v>1121</v>
      </c>
      <c r="G89" s="57" t="s">
        <v>1146</v>
      </c>
      <c r="H89" s="58">
        <v>23000</v>
      </c>
      <c r="I89" s="58">
        <f t="shared" si="14"/>
        <v>16099.999999999998</v>
      </c>
      <c r="J89" s="58">
        <f t="shared" si="15"/>
        <v>487.87878787878782</v>
      </c>
      <c r="K89" s="58">
        <v>1600</v>
      </c>
      <c r="L89" s="59">
        <f t="shared" si="16"/>
        <v>1550</v>
      </c>
      <c r="M89" s="58">
        <f t="shared" si="17"/>
        <v>1162.5</v>
      </c>
      <c r="N89" s="58">
        <f t="shared" si="18"/>
        <v>1007.5</v>
      </c>
      <c r="O89" s="58">
        <f t="shared" si="19"/>
        <v>800</v>
      </c>
      <c r="P89" s="58">
        <f t="shared" si="20"/>
        <v>1062.1212121212122</v>
      </c>
      <c r="Q89" s="60">
        <f t="shared" si="21"/>
        <v>2.1770186335403734</v>
      </c>
      <c r="R89" s="58">
        <f t="shared" si="22"/>
        <v>674.62121212121224</v>
      </c>
      <c r="S89" s="58">
        <f t="shared" si="23"/>
        <v>519.62121212121224</v>
      </c>
      <c r="T89" s="58">
        <f t="shared" si="24"/>
        <v>312.12121212121218</v>
      </c>
      <c r="U89" s="60">
        <f t="shared" si="25"/>
        <v>1.3827639751552798</v>
      </c>
      <c r="V89" s="60">
        <f t="shared" si="26"/>
        <v>1.0650621118012427</v>
      </c>
      <c r="W89" s="60">
        <f t="shared" si="27"/>
        <v>0.63975155279503126</v>
      </c>
      <c r="X89" s="61"/>
      <c r="Y89" s="1"/>
      <c r="Z89" s="1"/>
    </row>
    <row r="90" spans="1:26" ht="15.75" customHeight="1">
      <c r="A90" s="54"/>
      <c r="B90" s="162"/>
      <c r="C90" s="33"/>
      <c r="D90" s="55" t="s">
        <v>1147</v>
      </c>
      <c r="E90" s="55" t="s">
        <v>607</v>
      </c>
      <c r="F90" s="56" t="s">
        <v>1121</v>
      </c>
      <c r="G90" s="57" t="s">
        <v>1148</v>
      </c>
      <c r="H90" s="58">
        <v>16000</v>
      </c>
      <c r="I90" s="58">
        <f t="shared" si="14"/>
        <v>11200</v>
      </c>
      <c r="J90" s="58">
        <f t="shared" si="15"/>
        <v>339.39393939393938</v>
      </c>
      <c r="K90" s="58">
        <v>1300</v>
      </c>
      <c r="L90" s="59">
        <f t="shared" si="16"/>
        <v>1250</v>
      </c>
      <c r="M90" s="58">
        <f t="shared" si="17"/>
        <v>937.5</v>
      </c>
      <c r="N90" s="58">
        <f t="shared" si="18"/>
        <v>812.5</v>
      </c>
      <c r="O90" s="58">
        <f t="shared" si="19"/>
        <v>650</v>
      </c>
      <c r="P90" s="58">
        <f t="shared" si="20"/>
        <v>910.60606060606062</v>
      </c>
      <c r="Q90" s="60">
        <f t="shared" si="21"/>
        <v>2.6830357142857144</v>
      </c>
      <c r="R90" s="58">
        <f t="shared" si="22"/>
        <v>598.10606060606062</v>
      </c>
      <c r="S90" s="58">
        <f t="shared" si="23"/>
        <v>473.10606060606062</v>
      </c>
      <c r="T90" s="58">
        <f t="shared" si="24"/>
        <v>310.60606060606062</v>
      </c>
      <c r="U90" s="60">
        <f t="shared" si="25"/>
        <v>1.7622767857142858</v>
      </c>
      <c r="V90" s="60">
        <f t="shared" si="26"/>
        <v>1.3939732142857144</v>
      </c>
      <c r="W90" s="60">
        <f t="shared" si="27"/>
        <v>0.91517857142857151</v>
      </c>
      <c r="X90" s="61"/>
      <c r="Y90" s="1"/>
      <c r="Z90" s="1"/>
    </row>
    <row r="91" spans="1:26" ht="15.75" customHeight="1">
      <c r="A91" s="54"/>
      <c r="B91" s="162"/>
      <c r="C91" s="33"/>
      <c r="D91" s="55" t="s">
        <v>1147</v>
      </c>
      <c r="E91" s="55" t="s">
        <v>68</v>
      </c>
      <c r="F91" s="56" t="s">
        <v>1121</v>
      </c>
      <c r="G91" s="57" t="s">
        <v>1149</v>
      </c>
      <c r="H91" s="58">
        <v>23000</v>
      </c>
      <c r="I91" s="58">
        <f t="shared" si="14"/>
        <v>16099.999999999998</v>
      </c>
      <c r="J91" s="58">
        <f t="shared" si="15"/>
        <v>487.87878787878782</v>
      </c>
      <c r="K91" s="58">
        <v>1600</v>
      </c>
      <c r="L91" s="59">
        <f t="shared" si="16"/>
        <v>1550</v>
      </c>
      <c r="M91" s="58">
        <f t="shared" si="17"/>
        <v>1162.5</v>
      </c>
      <c r="N91" s="58">
        <f t="shared" si="18"/>
        <v>1007.5</v>
      </c>
      <c r="O91" s="58">
        <f t="shared" si="19"/>
        <v>800</v>
      </c>
      <c r="P91" s="58">
        <f t="shared" si="20"/>
        <v>1062.1212121212122</v>
      </c>
      <c r="Q91" s="60">
        <f t="shared" si="21"/>
        <v>2.1770186335403734</v>
      </c>
      <c r="R91" s="58">
        <f t="shared" si="22"/>
        <v>674.62121212121224</v>
      </c>
      <c r="S91" s="58">
        <f t="shared" si="23"/>
        <v>519.62121212121224</v>
      </c>
      <c r="T91" s="58">
        <f t="shared" si="24"/>
        <v>312.12121212121218</v>
      </c>
      <c r="U91" s="60">
        <f t="shared" si="25"/>
        <v>1.3827639751552798</v>
      </c>
      <c r="V91" s="60">
        <f t="shared" si="26"/>
        <v>1.0650621118012427</v>
      </c>
      <c r="W91" s="60">
        <f t="shared" si="27"/>
        <v>0.63975155279503126</v>
      </c>
      <c r="X91" s="61"/>
      <c r="Y91" s="1"/>
      <c r="Z91" s="1"/>
    </row>
    <row r="92" spans="1:26" ht="15.75" customHeight="1">
      <c r="A92" s="54"/>
      <c r="B92" s="162"/>
      <c r="C92" s="35" t="s">
        <v>788</v>
      </c>
      <c r="D92" s="55" t="s">
        <v>1150</v>
      </c>
      <c r="E92" s="55" t="s">
        <v>607</v>
      </c>
      <c r="F92" s="56" t="s">
        <v>1007</v>
      </c>
      <c r="G92" s="57" t="s">
        <v>1151</v>
      </c>
      <c r="H92" s="58">
        <v>15000</v>
      </c>
      <c r="I92" s="58">
        <f t="shared" si="14"/>
        <v>10500</v>
      </c>
      <c r="J92" s="58">
        <f t="shared" si="15"/>
        <v>318.18181818181819</v>
      </c>
      <c r="K92" s="58">
        <v>1200</v>
      </c>
      <c r="L92" s="59">
        <f t="shared" si="16"/>
        <v>1150</v>
      </c>
      <c r="M92" s="58">
        <f t="shared" si="17"/>
        <v>862.5</v>
      </c>
      <c r="N92" s="58">
        <f t="shared" si="18"/>
        <v>747.5</v>
      </c>
      <c r="O92" s="58">
        <f t="shared" si="19"/>
        <v>600</v>
      </c>
      <c r="P92" s="58">
        <f t="shared" si="20"/>
        <v>831.81818181818176</v>
      </c>
      <c r="Q92" s="60">
        <f t="shared" si="21"/>
        <v>2.6142857142857139</v>
      </c>
      <c r="R92" s="58">
        <f t="shared" si="22"/>
        <v>544.31818181818176</v>
      </c>
      <c r="S92" s="58">
        <f t="shared" si="23"/>
        <v>429.31818181818181</v>
      </c>
      <c r="T92" s="58">
        <f t="shared" si="24"/>
        <v>281.81818181818181</v>
      </c>
      <c r="U92" s="60">
        <f t="shared" si="25"/>
        <v>1.7107142857142854</v>
      </c>
      <c r="V92" s="60">
        <f t="shared" si="26"/>
        <v>1.3492857142857142</v>
      </c>
      <c r="W92" s="60">
        <f t="shared" si="27"/>
        <v>0.88571428571428568</v>
      </c>
      <c r="X92" s="61"/>
      <c r="Y92" s="1"/>
      <c r="Z92" s="1"/>
    </row>
    <row r="93" spans="1:26" ht="15.75" customHeight="1">
      <c r="A93" s="54"/>
      <c r="B93" s="162"/>
      <c r="C93" s="33"/>
      <c r="D93" s="70" t="s">
        <v>1152</v>
      </c>
      <c r="E93" s="55" t="s">
        <v>756</v>
      </c>
      <c r="F93" s="56"/>
      <c r="G93" s="57" t="s">
        <v>1153</v>
      </c>
      <c r="H93" s="58">
        <v>12000</v>
      </c>
      <c r="I93" s="58">
        <f t="shared" si="14"/>
        <v>8400</v>
      </c>
      <c r="J93" s="58">
        <f t="shared" si="15"/>
        <v>254.54545454545453</v>
      </c>
      <c r="K93" s="58">
        <v>1500</v>
      </c>
      <c r="L93" s="59">
        <f t="shared" si="16"/>
        <v>1450</v>
      </c>
      <c r="M93" s="58">
        <f t="shared" si="17"/>
        <v>1087.5</v>
      </c>
      <c r="N93" s="58">
        <f t="shared" si="18"/>
        <v>942.5</v>
      </c>
      <c r="O93" s="58">
        <f t="shared" si="19"/>
        <v>750</v>
      </c>
      <c r="P93" s="58">
        <f t="shared" si="20"/>
        <v>1195.4545454545455</v>
      </c>
      <c r="Q93" s="60">
        <f t="shared" si="21"/>
        <v>4.6964285714285721</v>
      </c>
      <c r="R93" s="58">
        <f t="shared" si="22"/>
        <v>832.9545454545455</v>
      </c>
      <c r="S93" s="58">
        <f t="shared" si="23"/>
        <v>687.9545454545455</v>
      </c>
      <c r="T93" s="58">
        <f t="shared" si="24"/>
        <v>495.4545454545455</v>
      </c>
      <c r="U93" s="60">
        <f t="shared" si="25"/>
        <v>3.2723214285714288</v>
      </c>
      <c r="V93" s="60">
        <f t="shared" si="26"/>
        <v>2.7026785714285717</v>
      </c>
      <c r="W93" s="60">
        <f t="shared" si="27"/>
        <v>1.9464285714285716</v>
      </c>
      <c r="X93" s="61"/>
      <c r="Y93" s="1"/>
      <c r="Z93" s="1"/>
    </row>
    <row r="94" spans="1:26" ht="15.75" customHeight="1">
      <c r="A94" s="54"/>
      <c r="B94" s="161"/>
      <c r="C94" s="33"/>
      <c r="D94" s="55" t="s">
        <v>1150</v>
      </c>
      <c r="E94" s="55" t="s">
        <v>1154</v>
      </c>
      <c r="F94" s="56" t="s">
        <v>1007</v>
      </c>
      <c r="G94" s="71" t="s">
        <v>1155</v>
      </c>
      <c r="H94" s="72">
        <v>18000</v>
      </c>
      <c r="I94" s="58">
        <f t="shared" si="14"/>
        <v>12600</v>
      </c>
      <c r="J94" s="58">
        <f t="shared" si="15"/>
        <v>381.81818181818181</v>
      </c>
      <c r="K94" s="58">
        <v>1500</v>
      </c>
      <c r="L94" s="59">
        <f t="shared" si="16"/>
        <v>1450</v>
      </c>
      <c r="M94" s="58">
        <f t="shared" si="17"/>
        <v>1087.5</v>
      </c>
      <c r="N94" s="58">
        <f t="shared" si="18"/>
        <v>942.5</v>
      </c>
      <c r="O94" s="58">
        <f t="shared" si="19"/>
        <v>750</v>
      </c>
      <c r="P94" s="58">
        <f t="shared" si="20"/>
        <v>1068.1818181818182</v>
      </c>
      <c r="Q94" s="60">
        <f t="shared" si="21"/>
        <v>2.7976190476190479</v>
      </c>
      <c r="R94" s="58">
        <f t="shared" si="22"/>
        <v>705.68181818181824</v>
      </c>
      <c r="S94" s="58">
        <f t="shared" si="23"/>
        <v>560.68181818181824</v>
      </c>
      <c r="T94" s="58">
        <f t="shared" si="24"/>
        <v>368.18181818181819</v>
      </c>
      <c r="U94" s="60">
        <f t="shared" si="25"/>
        <v>1.8482142857142858</v>
      </c>
      <c r="V94" s="60">
        <f t="shared" si="26"/>
        <v>1.4684523809523811</v>
      </c>
      <c r="W94" s="60">
        <f t="shared" si="27"/>
        <v>0.9642857142857143</v>
      </c>
      <c r="X94" s="73">
        <v>43893</v>
      </c>
      <c r="Y94" s="1"/>
      <c r="Z94" s="1"/>
    </row>
    <row r="95" spans="1:26" ht="15.75" customHeight="1">
      <c r="A95" s="54"/>
      <c r="B95" s="160" t="s">
        <v>446</v>
      </c>
      <c r="C95" s="43"/>
      <c r="D95" s="55" t="s">
        <v>1156</v>
      </c>
      <c r="E95" s="55" t="s">
        <v>607</v>
      </c>
      <c r="F95" s="56" t="s">
        <v>1007</v>
      </c>
      <c r="G95" s="57" t="s">
        <v>1157</v>
      </c>
      <c r="H95" s="58">
        <v>12000</v>
      </c>
      <c r="I95" s="58">
        <f t="shared" si="14"/>
        <v>8400</v>
      </c>
      <c r="J95" s="58">
        <f t="shared" si="15"/>
        <v>254.54545454545453</v>
      </c>
      <c r="K95" s="58">
        <v>1200</v>
      </c>
      <c r="L95" s="59">
        <f t="shared" si="16"/>
        <v>1150</v>
      </c>
      <c r="M95" s="58">
        <f t="shared" si="17"/>
        <v>862.5</v>
      </c>
      <c r="N95" s="58">
        <f t="shared" si="18"/>
        <v>747.5</v>
      </c>
      <c r="O95" s="58">
        <f t="shared" si="19"/>
        <v>600</v>
      </c>
      <c r="P95" s="58">
        <f t="shared" si="20"/>
        <v>895.4545454545455</v>
      </c>
      <c r="Q95" s="60">
        <f t="shared" si="21"/>
        <v>3.5178571428571432</v>
      </c>
      <c r="R95" s="58">
        <f t="shared" si="22"/>
        <v>607.9545454545455</v>
      </c>
      <c r="S95" s="58">
        <f t="shared" si="23"/>
        <v>492.9545454545455</v>
      </c>
      <c r="T95" s="58">
        <f t="shared" si="24"/>
        <v>345.4545454545455</v>
      </c>
      <c r="U95" s="60">
        <f t="shared" si="25"/>
        <v>2.3883928571428572</v>
      </c>
      <c r="V95" s="60">
        <f t="shared" si="26"/>
        <v>1.9366071428571432</v>
      </c>
      <c r="W95" s="60">
        <f t="shared" si="27"/>
        <v>1.3571428571428574</v>
      </c>
      <c r="X95" s="61"/>
      <c r="Y95" s="1"/>
      <c r="Z95" s="1"/>
    </row>
    <row r="96" spans="1:26" ht="15.75" customHeight="1">
      <c r="A96" s="54"/>
      <c r="B96" s="162"/>
      <c r="C96" s="33"/>
      <c r="D96" s="55" t="s">
        <v>1158</v>
      </c>
      <c r="E96" s="55" t="s">
        <v>607</v>
      </c>
      <c r="F96" s="56" t="s">
        <v>1014</v>
      </c>
      <c r="G96" s="57" t="s">
        <v>1159</v>
      </c>
      <c r="H96" s="58">
        <v>16000</v>
      </c>
      <c r="I96" s="58">
        <f t="shared" si="14"/>
        <v>11200</v>
      </c>
      <c r="J96" s="58">
        <f t="shared" si="15"/>
        <v>339.39393939393938</v>
      </c>
      <c r="K96" s="58">
        <v>1200</v>
      </c>
      <c r="L96" s="59">
        <f t="shared" si="16"/>
        <v>1150</v>
      </c>
      <c r="M96" s="58">
        <f t="shared" si="17"/>
        <v>862.5</v>
      </c>
      <c r="N96" s="58">
        <f t="shared" si="18"/>
        <v>747.5</v>
      </c>
      <c r="O96" s="58">
        <f t="shared" si="19"/>
        <v>600</v>
      </c>
      <c r="P96" s="58">
        <f t="shared" si="20"/>
        <v>810.60606060606062</v>
      </c>
      <c r="Q96" s="60">
        <f t="shared" si="21"/>
        <v>2.3883928571428572</v>
      </c>
      <c r="R96" s="58">
        <f t="shared" si="22"/>
        <v>523.10606060606062</v>
      </c>
      <c r="S96" s="58">
        <f t="shared" si="23"/>
        <v>408.10606060606062</v>
      </c>
      <c r="T96" s="58">
        <f t="shared" si="24"/>
        <v>260.60606060606062</v>
      </c>
      <c r="U96" s="60">
        <f t="shared" si="25"/>
        <v>1.541294642857143</v>
      </c>
      <c r="V96" s="60">
        <f t="shared" si="26"/>
        <v>1.2024553571428573</v>
      </c>
      <c r="W96" s="60">
        <f t="shared" si="27"/>
        <v>0.7678571428571429</v>
      </c>
      <c r="X96" s="61" t="s">
        <v>112</v>
      </c>
      <c r="Y96" s="1"/>
      <c r="Z96" s="1"/>
    </row>
    <row r="97" spans="1:26" ht="15.75" customHeight="1">
      <c r="A97" s="54"/>
      <c r="B97" s="162"/>
      <c r="C97" s="33"/>
      <c r="D97" s="55" t="s">
        <v>450</v>
      </c>
      <c r="E97" s="55" t="s">
        <v>607</v>
      </c>
      <c r="F97" s="56" t="s">
        <v>1014</v>
      </c>
      <c r="G97" s="57" t="s">
        <v>1160</v>
      </c>
      <c r="H97" s="58">
        <v>15000</v>
      </c>
      <c r="I97" s="58">
        <f t="shared" si="14"/>
        <v>10500</v>
      </c>
      <c r="J97" s="58">
        <f t="shared" si="15"/>
        <v>318.18181818181819</v>
      </c>
      <c r="K97" s="58">
        <v>1200</v>
      </c>
      <c r="L97" s="59">
        <f t="shared" si="16"/>
        <v>1150</v>
      </c>
      <c r="M97" s="58">
        <f t="shared" si="17"/>
        <v>862.5</v>
      </c>
      <c r="N97" s="58">
        <f t="shared" si="18"/>
        <v>747.5</v>
      </c>
      <c r="O97" s="58">
        <f t="shared" si="19"/>
        <v>600</v>
      </c>
      <c r="P97" s="58">
        <f t="shared" si="20"/>
        <v>831.81818181818176</v>
      </c>
      <c r="Q97" s="60">
        <f t="shared" si="21"/>
        <v>2.6142857142857139</v>
      </c>
      <c r="R97" s="58">
        <f t="shared" si="22"/>
        <v>544.31818181818176</v>
      </c>
      <c r="S97" s="58">
        <f t="shared" si="23"/>
        <v>429.31818181818181</v>
      </c>
      <c r="T97" s="58">
        <f t="shared" si="24"/>
        <v>281.81818181818181</v>
      </c>
      <c r="U97" s="60">
        <f t="shared" si="25"/>
        <v>1.7107142857142854</v>
      </c>
      <c r="V97" s="60">
        <f t="shared" si="26"/>
        <v>1.3492857142857142</v>
      </c>
      <c r="W97" s="60">
        <f t="shared" si="27"/>
        <v>0.88571428571428568</v>
      </c>
      <c r="X97" s="61"/>
      <c r="Y97" s="1"/>
      <c r="Z97" s="1"/>
    </row>
    <row r="98" spans="1:26" ht="15.75" customHeight="1">
      <c r="A98" s="54"/>
      <c r="B98" s="162"/>
      <c r="C98" s="33"/>
      <c r="D98" s="55" t="s">
        <v>450</v>
      </c>
      <c r="E98" s="55" t="s">
        <v>1161</v>
      </c>
      <c r="F98" s="56"/>
      <c r="G98" s="57"/>
      <c r="H98" s="58">
        <v>19000</v>
      </c>
      <c r="I98" s="58">
        <f t="shared" si="14"/>
        <v>13300</v>
      </c>
      <c r="J98" s="58">
        <f t="shared" si="15"/>
        <v>403.030303030303</v>
      </c>
      <c r="K98" s="58">
        <v>1200</v>
      </c>
      <c r="L98" s="59">
        <f t="shared" si="16"/>
        <v>1150</v>
      </c>
      <c r="M98" s="58">
        <f t="shared" si="17"/>
        <v>862.5</v>
      </c>
      <c r="N98" s="58">
        <f t="shared" si="18"/>
        <v>747.5</v>
      </c>
      <c r="O98" s="58">
        <f t="shared" si="19"/>
        <v>600</v>
      </c>
      <c r="P98" s="58">
        <f t="shared" si="20"/>
        <v>746.969696969697</v>
      </c>
      <c r="Q98" s="60">
        <f t="shared" si="21"/>
        <v>1.8533834586466167</v>
      </c>
      <c r="R98" s="58">
        <f t="shared" si="22"/>
        <v>459.469696969697</v>
      </c>
      <c r="S98" s="58">
        <f t="shared" si="23"/>
        <v>344.469696969697</v>
      </c>
      <c r="T98" s="58">
        <f t="shared" si="24"/>
        <v>196.969696969697</v>
      </c>
      <c r="U98" s="60">
        <f t="shared" si="25"/>
        <v>1.1400375939849625</v>
      </c>
      <c r="V98" s="60">
        <f t="shared" si="26"/>
        <v>0.85469924812030085</v>
      </c>
      <c r="W98" s="60">
        <f t="shared" si="27"/>
        <v>0.48872180451127828</v>
      </c>
      <c r="X98" s="61"/>
      <c r="Y98" s="1"/>
      <c r="Z98" s="1"/>
    </row>
    <row r="99" spans="1:26" ht="15.75" customHeight="1">
      <c r="A99" s="54"/>
      <c r="B99" s="162"/>
      <c r="C99" s="33"/>
      <c r="D99" s="55" t="s">
        <v>450</v>
      </c>
      <c r="E99" s="55" t="s">
        <v>68</v>
      </c>
      <c r="F99" s="56" t="s">
        <v>1014</v>
      </c>
      <c r="G99" s="57" t="s">
        <v>1162</v>
      </c>
      <c r="H99" s="58">
        <v>20000</v>
      </c>
      <c r="I99" s="58">
        <f t="shared" si="14"/>
        <v>14000</v>
      </c>
      <c r="J99" s="58">
        <f t="shared" si="15"/>
        <v>424.24242424242425</v>
      </c>
      <c r="K99" s="58">
        <v>1500</v>
      </c>
      <c r="L99" s="59">
        <f t="shared" si="16"/>
        <v>1450</v>
      </c>
      <c r="M99" s="58">
        <f t="shared" si="17"/>
        <v>1087.5</v>
      </c>
      <c r="N99" s="58">
        <f t="shared" si="18"/>
        <v>942.5</v>
      </c>
      <c r="O99" s="58">
        <f t="shared" si="19"/>
        <v>750</v>
      </c>
      <c r="P99" s="58">
        <f t="shared" si="20"/>
        <v>1025.7575757575758</v>
      </c>
      <c r="Q99" s="60">
        <f t="shared" si="21"/>
        <v>2.4178571428571427</v>
      </c>
      <c r="R99" s="58">
        <f t="shared" si="22"/>
        <v>663.25757575757575</v>
      </c>
      <c r="S99" s="58">
        <f t="shared" si="23"/>
        <v>518.25757575757575</v>
      </c>
      <c r="T99" s="58">
        <f t="shared" si="24"/>
        <v>325.75757575757575</v>
      </c>
      <c r="U99" s="60">
        <f t="shared" si="25"/>
        <v>1.563392857142857</v>
      </c>
      <c r="V99" s="60">
        <f t="shared" si="26"/>
        <v>1.2216071428571429</v>
      </c>
      <c r="W99" s="60">
        <f t="shared" si="27"/>
        <v>0.76785714285714279</v>
      </c>
      <c r="X99" s="61"/>
      <c r="Y99" s="1"/>
      <c r="Z99" s="1"/>
    </row>
    <row r="100" spans="1:26" ht="15.75" customHeight="1">
      <c r="A100" s="54"/>
      <c r="B100" s="162"/>
      <c r="C100" s="33"/>
      <c r="D100" s="55" t="s">
        <v>1163</v>
      </c>
      <c r="E100" s="55" t="s">
        <v>607</v>
      </c>
      <c r="F100" s="56" t="s">
        <v>1055</v>
      </c>
      <c r="G100" s="57" t="s">
        <v>1164</v>
      </c>
      <c r="H100" s="58">
        <v>15000</v>
      </c>
      <c r="I100" s="58">
        <f t="shared" si="14"/>
        <v>10500</v>
      </c>
      <c r="J100" s="58">
        <f t="shared" si="15"/>
        <v>318.18181818181819</v>
      </c>
      <c r="K100" s="58">
        <v>1200</v>
      </c>
      <c r="L100" s="59">
        <f t="shared" si="16"/>
        <v>1150</v>
      </c>
      <c r="M100" s="58">
        <f t="shared" si="17"/>
        <v>862.5</v>
      </c>
      <c r="N100" s="58">
        <f t="shared" si="18"/>
        <v>747.5</v>
      </c>
      <c r="O100" s="58">
        <f t="shared" si="19"/>
        <v>600</v>
      </c>
      <c r="P100" s="58">
        <f t="shared" si="20"/>
        <v>831.81818181818176</v>
      </c>
      <c r="Q100" s="60">
        <f t="shared" si="21"/>
        <v>2.6142857142857139</v>
      </c>
      <c r="R100" s="58">
        <f t="shared" si="22"/>
        <v>544.31818181818176</v>
      </c>
      <c r="S100" s="58">
        <f t="shared" si="23"/>
        <v>429.31818181818181</v>
      </c>
      <c r="T100" s="58">
        <f t="shared" si="24"/>
        <v>281.81818181818181</v>
      </c>
      <c r="U100" s="60">
        <f t="shared" si="25"/>
        <v>1.7107142857142854</v>
      </c>
      <c r="V100" s="60">
        <f t="shared" si="26"/>
        <v>1.3492857142857142</v>
      </c>
      <c r="W100" s="60">
        <f t="shared" si="27"/>
        <v>0.88571428571428568</v>
      </c>
      <c r="X100" s="61"/>
      <c r="Y100" s="1"/>
      <c r="Z100" s="1"/>
    </row>
    <row r="101" spans="1:26" ht="15.75" customHeight="1">
      <c r="A101" s="54"/>
      <c r="B101" s="162"/>
      <c r="C101" s="33"/>
      <c r="D101" s="55" t="s">
        <v>1165</v>
      </c>
      <c r="E101" s="55" t="s">
        <v>1166</v>
      </c>
      <c r="F101" s="56" t="s">
        <v>1014</v>
      </c>
      <c r="G101" s="57" t="s">
        <v>1167</v>
      </c>
      <c r="H101" s="58">
        <v>20000</v>
      </c>
      <c r="I101" s="58">
        <f t="shared" si="14"/>
        <v>14000</v>
      </c>
      <c r="J101" s="58">
        <f t="shared" si="15"/>
        <v>424.24242424242425</v>
      </c>
      <c r="K101" s="58">
        <v>1500</v>
      </c>
      <c r="L101" s="59">
        <f t="shared" si="16"/>
        <v>1450</v>
      </c>
      <c r="M101" s="58">
        <f t="shared" si="17"/>
        <v>1087.5</v>
      </c>
      <c r="N101" s="58">
        <f t="shared" si="18"/>
        <v>942.5</v>
      </c>
      <c r="O101" s="58">
        <f t="shared" si="19"/>
        <v>750</v>
      </c>
      <c r="P101" s="58">
        <f t="shared" si="20"/>
        <v>1025.7575757575758</v>
      </c>
      <c r="Q101" s="60">
        <f t="shared" si="21"/>
        <v>2.4178571428571427</v>
      </c>
      <c r="R101" s="58">
        <f t="shared" si="22"/>
        <v>663.25757575757575</v>
      </c>
      <c r="S101" s="58">
        <f t="shared" si="23"/>
        <v>518.25757575757575</v>
      </c>
      <c r="T101" s="58">
        <f t="shared" si="24"/>
        <v>325.75757575757575</v>
      </c>
      <c r="U101" s="60">
        <f t="shared" si="25"/>
        <v>1.563392857142857</v>
      </c>
      <c r="V101" s="60">
        <f t="shared" si="26"/>
        <v>1.2216071428571429</v>
      </c>
      <c r="W101" s="60">
        <f t="shared" si="27"/>
        <v>0.76785714285714279</v>
      </c>
      <c r="X101" s="61" t="s">
        <v>52</v>
      </c>
      <c r="Y101" s="1"/>
      <c r="Z101" s="1"/>
    </row>
    <row r="102" spans="1:26" ht="15.75" customHeight="1">
      <c r="A102" s="54"/>
      <c r="B102" s="162"/>
      <c r="C102" s="33"/>
      <c r="D102" s="55" t="s">
        <v>460</v>
      </c>
      <c r="E102" s="55" t="s">
        <v>68</v>
      </c>
      <c r="F102" s="56" t="s">
        <v>1014</v>
      </c>
      <c r="G102" s="57" t="s">
        <v>1168</v>
      </c>
      <c r="H102" s="58">
        <v>18000</v>
      </c>
      <c r="I102" s="58">
        <f t="shared" si="14"/>
        <v>12600</v>
      </c>
      <c r="J102" s="58">
        <f t="shared" si="15"/>
        <v>381.81818181818181</v>
      </c>
      <c r="K102" s="58">
        <v>1500</v>
      </c>
      <c r="L102" s="59">
        <f t="shared" si="16"/>
        <v>1450</v>
      </c>
      <c r="M102" s="58">
        <f t="shared" si="17"/>
        <v>1087.5</v>
      </c>
      <c r="N102" s="58">
        <f t="shared" si="18"/>
        <v>942.5</v>
      </c>
      <c r="O102" s="58">
        <f t="shared" si="19"/>
        <v>750</v>
      </c>
      <c r="P102" s="58">
        <f t="shared" si="20"/>
        <v>1068.1818181818182</v>
      </c>
      <c r="Q102" s="60">
        <f t="shared" si="21"/>
        <v>2.7976190476190479</v>
      </c>
      <c r="R102" s="58">
        <f t="shared" si="22"/>
        <v>705.68181818181824</v>
      </c>
      <c r="S102" s="58">
        <f t="shared" si="23"/>
        <v>560.68181818181824</v>
      </c>
      <c r="T102" s="58">
        <f t="shared" si="24"/>
        <v>368.18181818181819</v>
      </c>
      <c r="U102" s="60">
        <f t="shared" si="25"/>
        <v>1.8482142857142858</v>
      </c>
      <c r="V102" s="60">
        <f t="shared" si="26"/>
        <v>1.4684523809523811</v>
      </c>
      <c r="W102" s="60">
        <f t="shared" si="27"/>
        <v>0.9642857142857143</v>
      </c>
      <c r="X102" s="61" t="s">
        <v>116</v>
      </c>
      <c r="Y102" s="1"/>
      <c r="Z102" s="1"/>
    </row>
    <row r="103" spans="1:26" ht="15.75" customHeight="1">
      <c r="A103" s="54"/>
      <c r="B103" s="162"/>
      <c r="C103" s="33"/>
      <c r="D103" s="55" t="s">
        <v>1169</v>
      </c>
      <c r="E103" s="55" t="s">
        <v>757</v>
      </c>
      <c r="F103" s="56" t="s">
        <v>1014</v>
      </c>
      <c r="G103" s="57" t="s">
        <v>1170</v>
      </c>
      <c r="H103" s="58">
        <v>18000</v>
      </c>
      <c r="I103" s="58">
        <f t="shared" si="14"/>
        <v>12600</v>
      </c>
      <c r="J103" s="58">
        <f t="shared" si="15"/>
        <v>381.81818181818181</v>
      </c>
      <c r="K103" s="58">
        <v>1500</v>
      </c>
      <c r="L103" s="59">
        <f t="shared" si="16"/>
        <v>1450</v>
      </c>
      <c r="M103" s="58">
        <f t="shared" si="17"/>
        <v>1087.5</v>
      </c>
      <c r="N103" s="58">
        <f t="shared" si="18"/>
        <v>942.5</v>
      </c>
      <c r="O103" s="58">
        <f t="shared" si="19"/>
        <v>750</v>
      </c>
      <c r="P103" s="58">
        <f t="shared" si="20"/>
        <v>1068.1818181818182</v>
      </c>
      <c r="Q103" s="60">
        <f t="shared" si="21"/>
        <v>2.7976190476190479</v>
      </c>
      <c r="R103" s="58">
        <f t="shared" si="22"/>
        <v>705.68181818181824</v>
      </c>
      <c r="S103" s="58">
        <f t="shared" si="23"/>
        <v>560.68181818181824</v>
      </c>
      <c r="T103" s="58">
        <f t="shared" si="24"/>
        <v>368.18181818181819</v>
      </c>
      <c r="U103" s="60">
        <f t="shared" si="25"/>
        <v>1.8482142857142858</v>
      </c>
      <c r="V103" s="60">
        <f t="shared" si="26"/>
        <v>1.4684523809523811</v>
      </c>
      <c r="W103" s="60">
        <f t="shared" si="27"/>
        <v>0.9642857142857143</v>
      </c>
      <c r="X103" s="61" t="s">
        <v>116</v>
      </c>
      <c r="Y103" s="1"/>
      <c r="Z103" s="1"/>
    </row>
    <row r="104" spans="1:26" ht="15.75" customHeight="1">
      <c r="A104" s="54"/>
      <c r="B104" s="162"/>
      <c r="C104" s="33"/>
      <c r="D104" s="55" t="s">
        <v>460</v>
      </c>
      <c r="E104" s="55" t="s">
        <v>1171</v>
      </c>
      <c r="F104" s="56" t="s">
        <v>1014</v>
      </c>
      <c r="G104" s="57" t="s">
        <v>1172</v>
      </c>
      <c r="H104" s="58">
        <v>28000</v>
      </c>
      <c r="I104" s="58">
        <f t="shared" si="14"/>
        <v>19600</v>
      </c>
      <c r="J104" s="58">
        <f t="shared" si="15"/>
        <v>593.93939393939399</v>
      </c>
      <c r="K104" s="58">
        <v>1500</v>
      </c>
      <c r="L104" s="59">
        <f t="shared" si="16"/>
        <v>1450</v>
      </c>
      <c r="M104" s="58">
        <f t="shared" si="17"/>
        <v>1087.5</v>
      </c>
      <c r="N104" s="58">
        <f t="shared" si="18"/>
        <v>942.5</v>
      </c>
      <c r="O104" s="58">
        <f t="shared" si="19"/>
        <v>750</v>
      </c>
      <c r="P104" s="58">
        <f t="shared" si="20"/>
        <v>856.06060606060601</v>
      </c>
      <c r="Q104" s="60">
        <f t="shared" si="21"/>
        <v>1.4413265306122447</v>
      </c>
      <c r="R104" s="58">
        <f t="shared" si="22"/>
        <v>493.56060606060601</v>
      </c>
      <c r="S104" s="58">
        <f t="shared" si="23"/>
        <v>348.56060606060601</v>
      </c>
      <c r="T104" s="58">
        <f t="shared" si="24"/>
        <v>156.06060606060601</v>
      </c>
      <c r="U104" s="60">
        <f t="shared" si="25"/>
        <v>0.83099489795918347</v>
      </c>
      <c r="V104" s="60">
        <f t="shared" si="26"/>
        <v>0.58686224489795902</v>
      </c>
      <c r="W104" s="60">
        <f t="shared" si="27"/>
        <v>0.2627551020408162</v>
      </c>
      <c r="X104" s="61" t="s">
        <v>118</v>
      </c>
      <c r="Y104" s="1"/>
      <c r="Z104" s="1"/>
    </row>
    <row r="105" spans="1:26" ht="15.75" customHeight="1">
      <c r="A105" s="54"/>
      <c r="B105" s="162"/>
      <c r="C105" s="33"/>
      <c r="D105" s="55" t="s">
        <v>501</v>
      </c>
      <c r="E105" s="55" t="s">
        <v>68</v>
      </c>
      <c r="F105" s="56" t="s">
        <v>1014</v>
      </c>
      <c r="G105" s="57" t="s">
        <v>1173</v>
      </c>
      <c r="H105" s="58">
        <v>20000</v>
      </c>
      <c r="I105" s="58">
        <f t="shared" si="14"/>
        <v>14000</v>
      </c>
      <c r="J105" s="58">
        <f t="shared" si="15"/>
        <v>424.24242424242425</v>
      </c>
      <c r="K105" s="58">
        <v>1500</v>
      </c>
      <c r="L105" s="59">
        <f t="shared" si="16"/>
        <v>1450</v>
      </c>
      <c r="M105" s="58">
        <f t="shared" si="17"/>
        <v>1087.5</v>
      </c>
      <c r="N105" s="58">
        <f t="shared" si="18"/>
        <v>942.5</v>
      </c>
      <c r="O105" s="58">
        <f t="shared" si="19"/>
        <v>750</v>
      </c>
      <c r="P105" s="58">
        <f t="shared" si="20"/>
        <v>1025.7575757575758</v>
      </c>
      <c r="Q105" s="60">
        <f t="shared" si="21"/>
        <v>2.4178571428571427</v>
      </c>
      <c r="R105" s="58">
        <f t="shared" si="22"/>
        <v>663.25757575757575</v>
      </c>
      <c r="S105" s="58">
        <f t="shared" si="23"/>
        <v>518.25757575757575</v>
      </c>
      <c r="T105" s="58">
        <f t="shared" si="24"/>
        <v>325.75757575757575</v>
      </c>
      <c r="U105" s="60">
        <f t="shared" si="25"/>
        <v>1.563392857142857</v>
      </c>
      <c r="V105" s="60">
        <f t="shared" si="26"/>
        <v>1.2216071428571429</v>
      </c>
      <c r="W105" s="60">
        <f t="shared" si="27"/>
        <v>0.76785714285714279</v>
      </c>
      <c r="X105" s="61" t="s">
        <v>47</v>
      </c>
      <c r="Y105" s="1"/>
      <c r="Z105" s="1"/>
    </row>
    <row r="106" spans="1:26" ht="15.75" customHeight="1">
      <c r="A106" s="54"/>
      <c r="B106" s="162"/>
      <c r="C106" s="33"/>
      <c r="D106" s="55" t="s">
        <v>1174</v>
      </c>
      <c r="E106" s="55" t="s">
        <v>68</v>
      </c>
      <c r="F106" s="56" t="s">
        <v>1014</v>
      </c>
      <c r="G106" s="57" t="s">
        <v>1175</v>
      </c>
      <c r="H106" s="58">
        <v>20000</v>
      </c>
      <c r="I106" s="58">
        <f t="shared" si="14"/>
        <v>14000</v>
      </c>
      <c r="J106" s="58">
        <f t="shared" si="15"/>
        <v>424.24242424242425</v>
      </c>
      <c r="K106" s="58">
        <v>1500</v>
      </c>
      <c r="L106" s="59">
        <f t="shared" si="16"/>
        <v>1450</v>
      </c>
      <c r="M106" s="58">
        <f t="shared" si="17"/>
        <v>1087.5</v>
      </c>
      <c r="N106" s="58">
        <f t="shared" si="18"/>
        <v>942.5</v>
      </c>
      <c r="O106" s="58">
        <f t="shared" si="19"/>
        <v>750</v>
      </c>
      <c r="P106" s="58">
        <f t="shared" si="20"/>
        <v>1025.7575757575758</v>
      </c>
      <c r="Q106" s="60">
        <f t="shared" si="21"/>
        <v>2.4178571428571427</v>
      </c>
      <c r="R106" s="58">
        <f t="shared" si="22"/>
        <v>663.25757575757575</v>
      </c>
      <c r="S106" s="58">
        <f t="shared" si="23"/>
        <v>518.25757575757575</v>
      </c>
      <c r="T106" s="58">
        <f t="shared" si="24"/>
        <v>325.75757575757575</v>
      </c>
      <c r="U106" s="60">
        <f t="shared" si="25"/>
        <v>1.563392857142857</v>
      </c>
      <c r="V106" s="60">
        <f t="shared" si="26"/>
        <v>1.2216071428571429</v>
      </c>
      <c r="W106" s="60">
        <f t="shared" si="27"/>
        <v>0.76785714285714279</v>
      </c>
      <c r="X106" s="61" t="s">
        <v>116</v>
      </c>
      <c r="Y106" s="1"/>
      <c r="Z106" s="1"/>
    </row>
    <row r="107" spans="1:26" ht="15.75" customHeight="1">
      <c r="A107" s="54"/>
      <c r="B107" s="162"/>
      <c r="C107" s="33"/>
      <c r="D107" s="55" t="s">
        <v>1176</v>
      </c>
      <c r="E107" s="55" t="s">
        <v>757</v>
      </c>
      <c r="F107" s="56" t="s">
        <v>1014</v>
      </c>
      <c r="G107" s="57" t="s">
        <v>1177</v>
      </c>
      <c r="H107" s="58">
        <v>20000</v>
      </c>
      <c r="I107" s="58">
        <f t="shared" si="14"/>
        <v>14000</v>
      </c>
      <c r="J107" s="58">
        <f t="shared" si="15"/>
        <v>424.24242424242425</v>
      </c>
      <c r="K107" s="58">
        <v>1500</v>
      </c>
      <c r="L107" s="59">
        <f t="shared" si="16"/>
        <v>1450</v>
      </c>
      <c r="M107" s="58">
        <f t="shared" si="17"/>
        <v>1087.5</v>
      </c>
      <c r="N107" s="58">
        <f t="shared" si="18"/>
        <v>942.5</v>
      </c>
      <c r="O107" s="58">
        <f t="shared" si="19"/>
        <v>750</v>
      </c>
      <c r="P107" s="58">
        <f t="shared" si="20"/>
        <v>1025.7575757575758</v>
      </c>
      <c r="Q107" s="60">
        <f t="shared" si="21"/>
        <v>2.4178571428571427</v>
      </c>
      <c r="R107" s="58">
        <f t="shared" si="22"/>
        <v>663.25757575757575</v>
      </c>
      <c r="S107" s="58">
        <f t="shared" si="23"/>
        <v>518.25757575757575</v>
      </c>
      <c r="T107" s="58">
        <f t="shared" si="24"/>
        <v>325.75757575757575</v>
      </c>
      <c r="U107" s="60">
        <f t="shared" si="25"/>
        <v>1.563392857142857</v>
      </c>
      <c r="V107" s="60">
        <f t="shared" si="26"/>
        <v>1.2216071428571429</v>
      </c>
      <c r="W107" s="60">
        <f t="shared" si="27"/>
        <v>0.76785714285714279</v>
      </c>
      <c r="X107" s="61" t="s">
        <v>116</v>
      </c>
      <c r="Y107" s="1"/>
      <c r="Z107" s="1"/>
    </row>
    <row r="108" spans="1:26" ht="15.75" customHeight="1">
      <c r="A108" s="54"/>
      <c r="B108" s="162"/>
      <c r="C108" s="33"/>
      <c r="D108" s="55" t="s">
        <v>1178</v>
      </c>
      <c r="E108" s="55" t="s">
        <v>68</v>
      </c>
      <c r="F108" s="56" t="s">
        <v>1055</v>
      </c>
      <c r="G108" s="57" t="s">
        <v>1179</v>
      </c>
      <c r="H108" s="58">
        <v>20000</v>
      </c>
      <c r="I108" s="58">
        <f t="shared" si="14"/>
        <v>14000</v>
      </c>
      <c r="J108" s="58">
        <f t="shared" si="15"/>
        <v>424.24242424242425</v>
      </c>
      <c r="K108" s="58">
        <v>1500</v>
      </c>
      <c r="L108" s="59">
        <f t="shared" si="16"/>
        <v>1450</v>
      </c>
      <c r="M108" s="58">
        <f t="shared" si="17"/>
        <v>1087.5</v>
      </c>
      <c r="N108" s="58">
        <f t="shared" si="18"/>
        <v>942.5</v>
      </c>
      <c r="O108" s="58">
        <f t="shared" si="19"/>
        <v>750</v>
      </c>
      <c r="P108" s="58">
        <f t="shared" si="20"/>
        <v>1025.7575757575758</v>
      </c>
      <c r="Q108" s="60">
        <f t="shared" si="21"/>
        <v>2.4178571428571427</v>
      </c>
      <c r="R108" s="58">
        <f t="shared" si="22"/>
        <v>663.25757575757575</v>
      </c>
      <c r="S108" s="58">
        <f t="shared" si="23"/>
        <v>518.25757575757575</v>
      </c>
      <c r="T108" s="58">
        <f t="shared" si="24"/>
        <v>325.75757575757575</v>
      </c>
      <c r="U108" s="60">
        <f t="shared" si="25"/>
        <v>1.563392857142857</v>
      </c>
      <c r="V108" s="60">
        <f t="shared" si="26"/>
        <v>1.2216071428571429</v>
      </c>
      <c r="W108" s="60">
        <f t="shared" si="27"/>
        <v>0.76785714285714279</v>
      </c>
      <c r="X108" s="61" t="s">
        <v>120</v>
      </c>
      <c r="Y108" s="1"/>
      <c r="Z108" s="1"/>
    </row>
    <row r="109" spans="1:26" ht="15.75" customHeight="1">
      <c r="A109" s="54"/>
      <c r="B109" s="162"/>
      <c r="C109" s="33"/>
      <c r="D109" s="55" t="s">
        <v>1180</v>
      </c>
      <c r="E109" s="55" t="s">
        <v>68</v>
      </c>
      <c r="F109" s="56" t="s">
        <v>1055</v>
      </c>
      <c r="G109" s="57" t="s">
        <v>1181</v>
      </c>
      <c r="H109" s="58">
        <v>20000</v>
      </c>
      <c r="I109" s="58">
        <f t="shared" si="14"/>
        <v>14000</v>
      </c>
      <c r="J109" s="58">
        <f t="shared" si="15"/>
        <v>424.24242424242425</v>
      </c>
      <c r="K109" s="58">
        <v>1500</v>
      </c>
      <c r="L109" s="59">
        <f t="shared" si="16"/>
        <v>1450</v>
      </c>
      <c r="M109" s="58">
        <f t="shared" si="17"/>
        <v>1087.5</v>
      </c>
      <c r="N109" s="58">
        <f t="shared" si="18"/>
        <v>942.5</v>
      </c>
      <c r="O109" s="58">
        <f t="shared" si="19"/>
        <v>750</v>
      </c>
      <c r="P109" s="58">
        <f t="shared" si="20"/>
        <v>1025.7575757575758</v>
      </c>
      <c r="Q109" s="60">
        <f t="shared" si="21"/>
        <v>2.4178571428571427</v>
      </c>
      <c r="R109" s="58">
        <f t="shared" si="22"/>
        <v>663.25757575757575</v>
      </c>
      <c r="S109" s="58">
        <f t="shared" si="23"/>
        <v>518.25757575757575</v>
      </c>
      <c r="T109" s="58">
        <f t="shared" si="24"/>
        <v>325.75757575757575</v>
      </c>
      <c r="U109" s="60">
        <f t="shared" si="25"/>
        <v>1.563392857142857</v>
      </c>
      <c r="V109" s="60">
        <f t="shared" si="26"/>
        <v>1.2216071428571429</v>
      </c>
      <c r="W109" s="60">
        <f t="shared" si="27"/>
        <v>0.76785714285714279</v>
      </c>
      <c r="X109" s="61" t="s">
        <v>120</v>
      </c>
      <c r="Y109" s="1"/>
      <c r="Z109" s="1"/>
    </row>
    <row r="110" spans="1:26" ht="15.75" customHeight="1">
      <c r="A110" s="54"/>
      <c r="B110" s="162"/>
      <c r="C110" s="33"/>
      <c r="D110" s="55" t="s">
        <v>1182</v>
      </c>
      <c r="E110" s="55" t="s">
        <v>757</v>
      </c>
      <c r="F110" s="56" t="s">
        <v>1055</v>
      </c>
      <c r="G110" s="57" t="s">
        <v>1183</v>
      </c>
      <c r="H110" s="58">
        <v>20000</v>
      </c>
      <c r="I110" s="58">
        <f t="shared" si="14"/>
        <v>14000</v>
      </c>
      <c r="J110" s="58">
        <f t="shared" si="15"/>
        <v>424.24242424242425</v>
      </c>
      <c r="K110" s="58">
        <v>1500</v>
      </c>
      <c r="L110" s="59">
        <f t="shared" si="16"/>
        <v>1450</v>
      </c>
      <c r="M110" s="58">
        <f t="shared" si="17"/>
        <v>1087.5</v>
      </c>
      <c r="N110" s="58">
        <f t="shared" si="18"/>
        <v>942.5</v>
      </c>
      <c r="O110" s="58">
        <f t="shared" si="19"/>
        <v>750</v>
      </c>
      <c r="P110" s="58">
        <f t="shared" si="20"/>
        <v>1025.7575757575758</v>
      </c>
      <c r="Q110" s="60">
        <f t="shared" si="21"/>
        <v>2.4178571428571427</v>
      </c>
      <c r="R110" s="58">
        <f t="shared" si="22"/>
        <v>663.25757575757575</v>
      </c>
      <c r="S110" s="58">
        <f t="shared" si="23"/>
        <v>518.25757575757575</v>
      </c>
      <c r="T110" s="58">
        <f t="shared" si="24"/>
        <v>325.75757575757575</v>
      </c>
      <c r="U110" s="60">
        <f t="shared" si="25"/>
        <v>1.563392857142857</v>
      </c>
      <c r="V110" s="60">
        <f t="shared" si="26"/>
        <v>1.2216071428571429</v>
      </c>
      <c r="W110" s="60">
        <f t="shared" si="27"/>
        <v>0.76785714285714279</v>
      </c>
      <c r="X110" s="61" t="s">
        <v>120</v>
      </c>
      <c r="Y110" s="1"/>
      <c r="Z110" s="1"/>
    </row>
    <row r="111" spans="1:26" ht="15.75" customHeight="1">
      <c r="A111" s="54"/>
      <c r="B111" s="162"/>
      <c r="C111" s="33"/>
      <c r="D111" s="55" t="s">
        <v>1182</v>
      </c>
      <c r="E111" s="55" t="s">
        <v>1026</v>
      </c>
      <c r="F111" s="56" t="s">
        <v>1055</v>
      </c>
      <c r="G111" s="57" t="s">
        <v>1184</v>
      </c>
      <c r="H111" s="58">
        <v>20000</v>
      </c>
      <c r="I111" s="58">
        <f t="shared" si="14"/>
        <v>14000</v>
      </c>
      <c r="J111" s="58">
        <f t="shared" si="15"/>
        <v>424.24242424242425</v>
      </c>
      <c r="K111" s="58">
        <v>1500</v>
      </c>
      <c r="L111" s="59">
        <f t="shared" si="16"/>
        <v>1450</v>
      </c>
      <c r="M111" s="58">
        <f t="shared" si="17"/>
        <v>1087.5</v>
      </c>
      <c r="N111" s="58">
        <f t="shared" si="18"/>
        <v>942.5</v>
      </c>
      <c r="O111" s="58">
        <f t="shared" si="19"/>
        <v>750</v>
      </c>
      <c r="P111" s="58">
        <f t="shared" si="20"/>
        <v>1025.7575757575758</v>
      </c>
      <c r="Q111" s="60">
        <f t="shared" si="21"/>
        <v>2.4178571428571427</v>
      </c>
      <c r="R111" s="58">
        <f t="shared" si="22"/>
        <v>663.25757575757575</v>
      </c>
      <c r="S111" s="58">
        <f t="shared" si="23"/>
        <v>518.25757575757575</v>
      </c>
      <c r="T111" s="58">
        <f t="shared" si="24"/>
        <v>325.75757575757575</v>
      </c>
      <c r="U111" s="60">
        <f t="shared" si="25"/>
        <v>1.563392857142857</v>
      </c>
      <c r="V111" s="60">
        <f t="shared" si="26"/>
        <v>1.2216071428571429</v>
      </c>
      <c r="W111" s="60">
        <f t="shared" si="27"/>
        <v>0.76785714285714279</v>
      </c>
      <c r="X111" s="61" t="s">
        <v>120</v>
      </c>
      <c r="Y111" s="1"/>
      <c r="Z111" s="1"/>
    </row>
    <row r="112" spans="1:26" ht="15.75" customHeight="1">
      <c r="A112" s="54"/>
      <c r="B112" s="162"/>
      <c r="C112" s="33"/>
      <c r="D112" s="55" t="s">
        <v>493</v>
      </c>
      <c r="E112" s="55" t="s">
        <v>607</v>
      </c>
      <c r="F112" s="56" t="s">
        <v>1055</v>
      </c>
      <c r="G112" s="57" t="s">
        <v>1185</v>
      </c>
      <c r="H112" s="58">
        <v>18000</v>
      </c>
      <c r="I112" s="58">
        <f t="shared" si="14"/>
        <v>12600</v>
      </c>
      <c r="J112" s="58">
        <f t="shared" si="15"/>
        <v>381.81818181818181</v>
      </c>
      <c r="K112" s="58">
        <v>1200</v>
      </c>
      <c r="L112" s="59">
        <f t="shared" si="16"/>
        <v>1150</v>
      </c>
      <c r="M112" s="58">
        <f t="shared" si="17"/>
        <v>862.5</v>
      </c>
      <c r="N112" s="58">
        <f t="shared" si="18"/>
        <v>747.5</v>
      </c>
      <c r="O112" s="58">
        <f t="shared" si="19"/>
        <v>600</v>
      </c>
      <c r="P112" s="58">
        <f t="shared" si="20"/>
        <v>768.18181818181824</v>
      </c>
      <c r="Q112" s="60">
        <f t="shared" si="21"/>
        <v>2.0119047619047623</v>
      </c>
      <c r="R112" s="58">
        <f t="shared" si="22"/>
        <v>480.68181818181819</v>
      </c>
      <c r="S112" s="58">
        <f t="shared" si="23"/>
        <v>365.68181818181819</v>
      </c>
      <c r="T112" s="58">
        <f t="shared" si="24"/>
        <v>218.18181818181819</v>
      </c>
      <c r="U112" s="60">
        <f t="shared" si="25"/>
        <v>1.2589285714285714</v>
      </c>
      <c r="V112" s="60">
        <f t="shared" si="26"/>
        <v>0.95773809523809528</v>
      </c>
      <c r="W112" s="60">
        <f t="shared" si="27"/>
        <v>0.5714285714285714</v>
      </c>
      <c r="X112" s="61" t="s">
        <v>52</v>
      </c>
      <c r="Y112" s="1"/>
      <c r="Z112" s="1"/>
    </row>
    <row r="113" spans="1:26" ht="15.75" customHeight="1">
      <c r="A113" s="54"/>
      <c r="B113" s="162"/>
      <c r="C113" s="33"/>
      <c r="D113" s="55" t="s">
        <v>493</v>
      </c>
      <c r="E113" s="55" t="s">
        <v>582</v>
      </c>
      <c r="F113" s="56" t="s">
        <v>1055</v>
      </c>
      <c r="G113" s="57" t="s">
        <v>1186</v>
      </c>
      <c r="H113" s="58">
        <v>22000</v>
      </c>
      <c r="I113" s="58">
        <f t="shared" si="14"/>
        <v>15399.999999999998</v>
      </c>
      <c r="J113" s="58">
        <f t="shared" si="15"/>
        <v>466.66666666666663</v>
      </c>
      <c r="K113" s="58">
        <v>1500</v>
      </c>
      <c r="L113" s="59">
        <f t="shared" si="16"/>
        <v>1450</v>
      </c>
      <c r="M113" s="58">
        <f t="shared" si="17"/>
        <v>1087.5</v>
      </c>
      <c r="N113" s="58">
        <f t="shared" si="18"/>
        <v>942.5</v>
      </c>
      <c r="O113" s="58">
        <f t="shared" si="19"/>
        <v>750</v>
      </c>
      <c r="P113" s="58">
        <f t="shared" si="20"/>
        <v>983.33333333333337</v>
      </c>
      <c r="Q113" s="60">
        <f t="shared" si="21"/>
        <v>2.1071428571428572</v>
      </c>
      <c r="R113" s="58">
        <f t="shared" si="22"/>
        <v>620.83333333333337</v>
      </c>
      <c r="S113" s="58">
        <f t="shared" si="23"/>
        <v>475.83333333333337</v>
      </c>
      <c r="T113" s="58">
        <f t="shared" si="24"/>
        <v>283.33333333333337</v>
      </c>
      <c r="U113" s="60">
        <f t="shared" si="25"/>
        <v>1.330357142857143</v>
      </c>
      <c r="V113" s="60">
        <f t="shared" si="26"/>
        <v>1.0196428571428573</v>
      </c>
      <c r="W113" s="60">
        <f t="shared" si="27"/>
        <v>0.60714285714285732</v>
      </c>
      <c r="X113" s="61" t="s">
        <v>52</v>
      </c>
      <c r="Y113" s="1"/>
      <c r="Z113" s="1"/>
    </row>
    <row r="114" spans="1:26" ht="15.75" customHeight="1">
      <c r="A114" s="54"/>
      <c r="B114" s="162"/>
      <c r="C114" s="33"/>
      <c r="D114" s="55" t="s">
        <v>1187</v>
      </c>
      <c r="E114" s="55" t="s">
        <v>757</v>
      </c>
      <c r="F114" s="56" t="s">
        <v>1055</v>
      </c>
      <c r="G114" s="57" t="s">
        <v>1188</v>
      </c>
      <c r="H114" s="58">
        <v>22000</v>
      </c>
      <c r="I114" s="58">
        <f t="shared" si="14"/>
        <v>15399.999999999998</v>
      </c>
      <c r="J114" s="58">
        <f t="shared" si="15"/>
        <v>466.66666666666663</v>
      </c>
      <c r="K114" s="58">
        <v>1500</v>
      </c>
      <c r="L114" s="59">
        <f t="shared" si="16"/>
        <v>1450</v>
      </c>
      <c r="M114" s="58">
        <f t="shared" si="17"/>
        <v>1087.5</v>
      </c>
      <c r="N114" s="58">
        <f t="shared" si="18"/>
        <v>942.5</v>
      </c>
      <c r="O114" s="58">
        <f t="shared" si="19"/>
        <v>750</v>
      </c>
      <c r="P114" s="58">
        <f t="shared" si="20"/>
        <v>983.33333333333337</v>
      </c>
      <c r="Q114" s="60">
        <f t="shared" si="21"/>
        <v>2.1071428571428572</v>
      </c>
      <c r="R114" s="58">
        <f t="shared" si="22"/>
        <v>620.83333333333337</v>
      </c>
      <c r="S114" s="58">
        <f t="shared" si="23"/>
        <v>475.83333333333337</v>
      </c>
      <c r="T114" s="58">
        <f t="shared" si="24"/>
        <v>283.33333333333337</v>
      </c>
      <c r="U114" s="60">
        <f t="shared" si="25"/>
        <v>1.330357142857143</v>
      </c>
      <c r="V114" s="60">
        <f t="shared" si="26"/>
        <v>1.0196428571428573</v>
      </c>
      <c r="W114" s="60">
        <f t="shared" si="27"/>
        <v>0.60714285714285732</v>
      </c>
      <c r="X114" s="61" t="s">
        <v>52</v>
      </c>
      <c r="Y114" s="1"/>
      <c r="Z114" s="1"/>
    </row>
    <row r="115" spans="1:26" ht="15.75" customHeight="1">
      <c r="A115" s="54"/>
      <c r="B115" s="162"/>
      <c r="C115" s="33"/>
      <c r="D115" s="55" t="s">
        <v>493</v>
      </c>
      <c r="E115" s="55" t="s">
        <v>1171</v>
      </c>
      <c r="F115" s="56" t="s">
        <v>1055</v>
      </c>
      <c r="G115" s="57" t="s">
        <v>1189</v>
      </c>
      <c r="H115" s="58">
        <v>28000</v>
      </c>
      <c r="I115" s="58">
        <f t="shared" si="14"/>
        <v>19600</v>
      </c>
      <c r="J115" s="58">
        <f t="shared" si="15"/>
        <v>593.93939393939399</v>
      </c>
      <c r="K115" s="58">
        <v>1500</v>
      </c>
      <c r="L115" s="59">
        <f t="shared" si="16"/>
        <v>1450</v>
      </c>
      <c r="M115" s="58">
        <f t="shared" si="17"/>
        <v>1087.5</v>
      </c>
      <c r="N115" s="58">
        <f t="shared" si="18"/>
        <v>942.5</v>
      </c>
      <c r="O115" s="58">
        <f t="shared" si="19"/>
        <v>750</v>
      </c>
      <c r="P115" s="58">
        <f t="shared" si="20"/>
        <v>856.06060606060601</v>
      </c>
      <c r="Q115" s="60">
        <f t="shared" si="21"/>
        <v>1.4413265306122447</v>
      </c>
      <c r="R115" s="58">
        <f t="shared" si="22"/>
        <v>493.56060606060601</v>
      </c>
      <c r="S115" s="58">
        <f t="shared" si="23"/>
        <v>348.56060606060601</v>
      </c>
      <c r="T115" s="58">
        <f t="shared" si="24"/>
        <v>156.06060606060601</v>
      </c>
      <c r="U115" s="60">
        <f t="shared" si="25"/>
        <v>0.83099489795918347</v>
      </c>
      <c r="V115" s="60">
        <f t="shared" si="26"/>
        <v>0.58686224489795902</v>
      </c>
      <c r="W115" s="60">
        <f t="shared" si="27"/>
        <v>0.2627551020408162</v>
      </c>
      <c r="X115" s="61" t="s">
        <v>123</v>
      </c>
      <c r="Y115" s="1"/>
      <c r="Z115" s="1"/>
    </row>
    <row r="116" spans="1:26" ht="15.75" customHeight="1">
      <c r="A116" s="54"/>
      <c r="B116" s="162"/>
      <c r="C116" s="33"/>
      <c r="D116" s="55" t="s">
        <v>1190</v>
      </c>
      <c r="E116" s="55" t="s">
        <v>1191</v>
      </c>
      <c r="F116" s="56" t="s">
        <v>1055</v>
      </c>
      <c r="G116" s="57" t="s">
        <v>1192</v>
      </c>
      <c r="H116" s="58">
        <v>20000</v>
      </c>
      <c r="I116" s="58">
        <f t="shared" si="14"/>
        <v>14000</v>
      </c>
      <c r="J116" s="58">
        <f t="shared" si="15"/>
        <v>424.24242424242425</v>
      </c>
      <c r="K116" s="58">
        <v>1500</v>
      </c>
      <c r="L116" s="59">
        <f t="shared" si="16"/>
        <v>1450</v>
      </c>
      <c r="M116" s="58">
        <f t="shared" si="17"/>
        <v>1087.5</v>
      </c>
      <c r="N116" s="58">
        <f t="shared" si="18"/>
        <v>942.5</v>
      </c>
      <c r="O116" s="58">
        <f t="shared" si="19"/>
        <v>750</v>
      </c>
      <c r="P116" s="58">
        <f t="shared" si="20"/>
        <v>1025.7575757575758</v>
      </c>
      <c r="Q116" s="60">
        <f t="shared" si="21"/>
        <v>2.4178571428571427</v>
      </c>
      <c r="R116" s="58">
        <f t="shared" si="22"/>
        <v>663.25757575757575</v>
      </c>
      <c r="S116" s="58">
        <f t="shared" si="23"/>
        <v>518.25757575757575</v>
      </c>
      <c r="T116" s="58">
        <f t="shared" si="24"/>
        <v>325.75757575757575</v>
      </c>
      <c r="U116" s="60">
        <f t="shared" si="25"/>
        <v>1.563392857142857</v>
      </c>
      <c r="V116" s="60">
        <f t="shared" si="26"/>
        <v>1.2216071428571429</v>
      </c>
      <c r="W116" s="60">
        <f t="shared" si="27"/>
        <v>0.76785714285714279</v>
      </c>
      <c r="X116" s="61" t="s">
        <v>52</v>
      </c>
      <c r="Y116" s="1"/>
      <c r="Z116" s="1"/>
    </row>
    <row r="117" spans="1:26" ht="15.75" customHeight="1">
      <c r="A117" s="54"/>
      <c r="B117" s="162"/>
      <c r="C117" s="33"/>
      <c r="D117" s="55" t="s">
        <v>583</v>
      </c>
      <c r="E117" s="55" t="s">
        <v>582</v>
      </c>
      <c r="F117" s="56" t="s">
        <v>1055</v>
      </c>
      <c r="G117" s="57" t="s">
        <v>1193</v>
      </c>
      <c r="H117" s="58">
        <v>20000</v>
      </c>
      <c r="I117" s="58">
        <f t="shared" si="14"/>
        <v>14000</v>
      </c>
      <c r="J117" s="58">
        <f t="shared" si="15"/>
        <v>424.24242424242425</v>
      </c>
      <c r="K117" s="58">
        <v>1500</v>
      </c>
      <c r="L117" s="59">
        <f t="shared" si="16"/>
        <v>1450</v>
      </c>
      <c r="M117" s="58">
        <f t="shared" si="17"/>
        <v>1087.5</v>
      </c>
      <c r="N117" s="58">
        <f t="shared" si="18"/>
        <v>942.5</v>
      </c>
      <c r="O117" s="58">
        <f t="shared" si="19"/>
        <v>750</v>
      </c>
      <c r="P117" s="58">
        <f t="shared" si="20"/>
        <v>1025.7575757575758</v>
      </c>
      <c r="Q117" s="60">
        <f t="shared" si="21"/>
        <v>2.4178571428571427</v>
      </c>
      <c r="R117" s="58">
        <f t="shared" si="22"/>
        <v>663.25757575757575</v>
      </c>
      <c r="S117" s="58">
        <f t="shared" si="23"/>
        <v>518.25757575757575</v>
      </c>
      <c r="T117" s="58">
        <f t="shared" si="24"/>
        <v>325.75757575757575</v>
      </c>
      <c r="U117" s="60">
        <f t="shared" si="25"/>
        <v>1.563392857142857</v>
      </c>
      <c r="V117" s="60">
        <f t="shared" si="26"/>
        <v>1.2216071428571429</v>
      </c>
      <c r="W117" s="60">
        <f t="shared" si="27"/>
        <v>0.76785714285714279</v>
      </c>
      <c r="X117" s="61" t="s">
        <v>52</v>
      </c>
      <c r="Y117" s="1"/>
      <c r="Z117" s="1"/>
    </row>
    <row r="118" spans="1:26" ht="15.75" customHeight="1">
      <c r="A118" s="54"/>
      <c r="B118" s="162"/>
      <c r="C118" s="33"/>
      <c r="D118" s="55" t="s">
        <v>1194</v>
      </c>
      <c r="E118" s="55" t="s">
        <v>1191</v>
      </c>
      <c r="F118" s="56" t="s">
        <v>1055</v>
      </c>
      <c r="G118" s="57" t="s">
        <v>1195</v>
      </c>
      <c r="H118" s="58">
        <v>20000</v>
      </c>
      <c r="I118" s="58">
        <f t="shared" si="14"/>
        <v>14000</v>
      </c>
      <c r="J118" s="58">
        <f t="shared" si="15"/>
        <v>424.24242424242425</v>
      </c>
      <c r="K118" s="58">
        <v>1500</v>
      </c>
      <c r="L118" s="59">
        <f t="shared" si="16"/>
        <v>1450</v>
      </c>
      <c r="M118" s="58">
        <f t="shared" si="17"/>
        <v>1087.5</v>
      </c>
      <c r="N118" s="58">
        <f t="shared" si="18"/>
        <v>942.5</v>
      </c>
      <c r="O118" s="58">
        <f t="shared" si="19"/>
        <v>750</v>
      </c>
      <c r="P118" s="58">
        <f t="shared" si="20"/>
        <v>1025.7575757575758</v>
      </c>
      <c r="Q118" s="60">
        <f t="shared" si="21"/>
        <v>2.4178571428571427</v>
      </c>
      <c r="R118" s="58">
        <f t="shared" si="22"/>
        <v>663.25757575757575</v>
      </c>
      <c r="S118" s="58">
        <f t="shared" si="23"/>
        <v>518.25757575757575</v>
      </c>
      <c r="T118" s="58">
        <f t="shared" si="24"/>
        <v>325.75757575757575</v>
      </c>
      <c r="U118" s="60">
        <f t="shared" si="25"/>
        <v>1.563392857142857</v>
      </c>
      <c r="V118" s="60">
        <f t="shared" si="26"/>
        <v>1.2216071428571429</v>
      </c>
      <c r="W118" s="60">
        <f t="shared" si="27"/>
        <v>0.76785714285714279</v>
      </c>
      <c r="X118" s="61" t="s">
        <v>52</v>
      </c>
      <c r="Y118" s="1"/>
      <c r="Z118" s="1"/>
    </row>
    <row r="119" spans="1:26" ht="15.75" customHeight="1">
      <c r="A119" s="54"/>
      <c r="B119" s="162"/>
      <c r="C119" s="33"/>
      <c r="D119" s="55" t="s">
        <v>593</v>
      </c>
      <c r="E119" s="55" t="s">
        <v>582</v>
      </c>
      <c r="F119" s="56" t="s">
        <v>1055</v>
      </c>
      <c r="G119" s="57" t="s">
        <v>1196</v>
      </c>
      <c r="H119" s="58">
        <v>20000</v>
      </c>
      <c r="I119" s="58">
        <f t="shared" si="14"/>
        <v>14000</v>
      </c>
      <c r="J119" s="58">
        <f t="shared" si="15"/>
        <v>424.24242424242425</v>
      </c>
      <c r="K119" s="58">
        <v>1500</v>
      </c>
      <c r="L119" s="59">
        <f t="shared" si="16"/>
        <v>1450</v>
      </c>
      <c r="M119" s="58">
        <f t="shared" si="17"/>
        <v>1087.5</v>
      </c>
      <c r="N119" s="58">
        <f t="shared" si="18"/>
        <v>942.5</v>
      </c>
      <c r="O119" s="58">
        <f t="shared" si="19"/>
        <v>750</v>
      </c>
      <c r="P119" s="58">
        <f t="shared" si="20"/>
        <v>1025.7575757575758</v>
      </c>
      <c r="Q119" s="60">
        <f t="shared" si="21"/>
        <v>2.4178571428571427</v>
      </c>
      <c r="R119" s="58">
        <f t="shared" si="22"/>
        <v>663.25757575757575</v>
      </c>
      <c r="S119" s="58">
        <f t="shared" si="23"/>
        <v>518.25757575757575</v>
      </c>
      <c r="T119" s="58">
        <f t="shared" si="24"/>
        <v>325.75757575757575</v>
      </c>
      <c r="U119" s="60">
        <f t="shared" si="25"/>
        <v>1.563392857142857</v>
      </c>
      <c r="V119" s="60">
        <f t="shared" si="26"/>
        <v>1.2216071428571429</v>
      </c>
      <c r="W119" s="60">
        <f t="shared" si="27"/>
        <v>0.76785714285714279</v>
      </c>
      <c r="X119" s="61" t="s">
        <v>116</v>
      </c>
      <c r="Y119" s="1"/>
      <c r="Z119" s="1"/>
    </row>
    <row r="120" spans="1:26" ht="15.75" customHeight="1">
      <c r="A120" s="54"/>
      <c r="B120" s="162"/>
      <c r="C120" s="33"/>
      <c r="D120" s="55" t="s">
        <v>593</v>
      </c>
      <c r="E120" s="55" t="s">
        <v>1197</v>
      </c>
      <c r="F120" s="56" t="s">
        <v>1055</v>
      </c>
      <c r="G120" s="57" t="s">
        <v>1198</v>
      </c>
      <c r="H120" s="58">
        <v>25000</v>
      </c>
      <c r="I120" s="58">
        <f t="shared" si="14"/>
        <v>17500</v>
      </c>
      <c r="J120" s="58">
        <f t="shared" si="15"/>
        <v>530.30303030303025</v>
      </c>
      <c r="K120" s="58">
        <v>1500</v>
      </c>
      <c r="L120" s="59">
        <f t="shared" si="16"/>
        <v>1450</v>
      </c>
      <c r="M120" s="58">
        <f t="shared" si="17"/>
        <v>1087.5</v>
      </c>
      <c r="N120" s="58">
        <f t="shared" si="18"/>
        <v>942.5</v>
      </c>
      <c r="O120" s="58">
        <f t="shared" si="19"/>
        <v>750</v>
      </c>
      <c r="P120" s="58">
        <f t="shared" si="20"/>
        <v>919.69696969696975</v>
      </c>
      <c r="Q120" s="60">
        <f t="shared" si="21"/>
        <v>1.7342857142857144</v>
      </c>
      <c r="R120" s="58">
        <f t="shared" si="22"/>
        <v>557.19696969696975</v>
      </c>
      <c r="S120" s="58">
        <f t="shared" si="23"/>
        <v>412.19696969696975</v>
      </c>
      <c r="T120" s="58">
        <f t="shared" si="24"/>
        <v>219.69696969696975</v>
      </c>
      <c r="U120" s="60">
        <f t="shared" si="25"/>
        <v>1.0507142857142859</v>
      </c>
      <c r="V120" s="60">
        <f t="shared" si="26"/>
        <v>0.77728571428571447</v>
      </c>
      <c r="W120" s="60">
        <f t="shared" si="27"/>
        <v>0.41428571428571442</v>
      </c>
      <c r="X120" s="61" t="s">
        <v>116</v>
      </c>
      <c r="Y120" s="1"/>
      <c r="Z120" s="1"/>
    </row>
    <row r="121" spans="1:26" ht="15.75" customHeight="1">
      <c r="A121" s="54"/>
      <c r="B121" s="162"/>
      <c r="C121" s="33"/>
      <c r="D121" s="55" t="s">
        <v>1199</v>
      </c>
      <c r="E121" s="55" t="s">
        <v>1197</v>
      </c>
      <c r="F121" s="56"/>
      <c r="G121" s="74" t="s">
        <v>1200</v>
      </c>
      <c r="H121" s="58">
        <v>3000</v>
      </c>
      <c r="I121" s="58">
        <f t="shared" si="14"/>
        <v>2100</v>
      </c>
      <c r="J121" s="58">
        <f t="shared" si="15"/>
        <v>63.636363636363633</v>
      </c>
      <c r="K121" s="58">
        <v>1500</v>
      </c>
      <c r="L121" s="59">
        <f t="shared" si="16"/>
        <v>1450</v>
      </c>
      <c r="M121" s="58">
        <f t="shared" si="17"/>
        <v>1087.5</v>
      </c>
      <c r="N121" s="58">
        <f t="shared" si="18"/>
        <v>942.5</v>
      </c>
      <c r="O121" s="58">
        <f t="shared" si="19"/>
        <v>750</v>
      </c>
      <c r="P121" s="58">
        <f t="shared" si="20"/>
        <v>1386.3636363636363</v>
      </c>
      <c r="Q121" s="60">
        <f t="shared" si="21"/>
        <v>21.785714285714285</v>
      </c>
      <c r="R121" s="58">
        <f t="shared" si="22"/>
        <v>1023.8636363636364</v>
      </c>
      <c r="S121" s="58">
        <f t="shared" si="23"/>
        <v>878.86363636363637</v>
      </c>
      <c r="T121" s="58">
        <f t="shared" si="24"/>
        <v>686.36363636363637</v>
      </c>
      <c r="U121" s="60">
        <f t="shared" si="25"/>
        <v>16.089285714285715</v>
      </c>
      <c r="V121" s="60">
        <f t="shared" si="26"/>
        <v>13.810714285714287</v>
      </c>
      <c r="W121" s="60">
        <f t="shared" si="27"/>
        <v>10.785714285714286</v>
      </c>
      <c r="X121" s="61" t="s">
        <v>116</v>
      </c>
      <c r="Y121" s="1"/>
      <c r="Z121" s="1"/>
    </row>
    <row r="122" spans="1:26" ht="15.75" customHeight="1">
      <c r="A122" s="54"/>
      <c r="B122" s="162"/>
      <c r="C122" s="33"/>
      <c r="D122" s="55" t="s">
        <v>1201</v>
      </c>
      <c r="E122" s="55" t="s">
        <v>607</v>
      </c>
      <c r="F122" s="56" t="s">
        <v>1055</v>
      </c>
      <c r="G122" s="57" t="s">
        <v>1202</v>
      </c>
      <c r="H122" s="58">
        <v>20000</v>
      </c>
      <c r="I122" s="58">
        <f t="shared" si="14"/>
        <v>14000</v>
      </c>
      <c r="J122" s="58">
        <f t="shared" si="15"/>
        <v>424.24242424242425</v>
      </c>
      <c r="K122" s="58">
        <v>1200</v>
      </c>
      <c r="L122" s="59">
        <f t="shared" si="16"/>
        <v>1150</v>
      </c>
      <c r="M122" s="58">
        <f t="shared" si="17"/>
        <v>862.5</v>
      </c>
      <c r="N122" s="58">
        <f t="shared" si="18"/>
        <v>747.5</v>
      </c>
      <c r="O122" s="58">
        <f t="shared" si="19"/>
        <v>600</v>
      </c>
      <c r="P122" s="58">
        <f t="shared" si="20"/>
        <v>725.75757575757575</v>
      </c>
      <c r="Q122" s="60">
        <f t="shared" si="21"/>
        <v>1.7107142857142856</v>
      </c>
      <c r="R122" s="58">
        <f t="shared" si="22"/>
        <v>438.25757575757575</v>
      </c>
      <c r="S122" s="58">
        <f t="shared" si="23"/>
        <v>323.25757575757575</v>
      </c>
      <c r="T122" s="58">
        <f t="shared" si="24"/>
        <v>175.75757575757575</v>
      </c>
      <c r="U122" s="60">
        <f t="shared" si="25"/>
        <v>1.0330357142857143</v>
      </c>
      <c r="V122" s="60">
        <f t="shared" si="26"/>
        <v>0.76196428571428565</v>
      </c>
      <c r="W122" s="60">
        <f t="shared" si="27"/>
        <v>0.41428571428571426</v>
      </c>
      <c r="X122" s="61" t="s">
        <v>128</v>
      </c>
      <c r="Y122" s="1"/>
      <c r="Z122" s="1"/>
    </row>
    <row r="123" spans="1:26" ht="15.75" customHeight="1">
      <c r="A123" s="54"/>
      <c r="B123" s="162"/>
      <c r="C123" s="33"/>
      <c r="D123" s="55" t="s">
        <v>1203</v>
      </c>
      <c r="E123" s="55" t="s">
        <v>607</v>
      </c>
      <c r="F123" s="56" t="s">
        <v>1055</v>
      </c>
      <c r="G123" s="57" t="s">
        <v>1204</v>
      </c>
      <c r="H123" s="58">
        <v>18000</v>
      </c>
      <c r="I123" s="58">
        <f t="shared" si="14"/>
        <v>12600</v>
      </c>
      <c r="J123" s="58">
        <f t="shared" si="15"/>
        <v>381.81818181818181</v>
      </c>
      <c r="K123" s="58">
        <v>1200</v>
      </c>
      <c r="L123" s="59">
        <f t="shared" si="16"/>
        <v>1150</v>
      </c>
      <c r="M123" s="58">
        <f t="shared" si="17"/>
        <v>862.5</v>
      </c>
      <c r="N123" s="58">
        <f t="shared" si="18"/>
        <v>747.5</v>
      </c>
      <c r="O123" s="58">
        <f t="shared" si="19"/>
        <v>600</v>
      </c>
      <c r="P123" s="58">
        <f t="shared" si="20"/>
        <v>768.18181818181824</v>
      </c>
      <c r="Q123" s="60">
        <f t="shared" si="21"/>
        <v>2.0119047619047623</v>
      </c>
      <c r="R123" s="58">
        <f t="shared" si="22"/>
        <v>480.68181818181819</v>
      </c>
      <c r="S123" s="58">
        <f t="shared" si="23"/>
        <v>365.68181818181819</v>
      </c>
      <c r="T123" s="58">
        <f t="shared" si="24"/>
        <v>218.18181818181819</v>
      </c>
      <c r="U123" s="60">
        <f t="shared" si="25"/>
        <v>1.2589285714285714</v>
      </c>
      <c r="V123" s="60">
        <f t="shared" si="26"/>
        <v>0.95773809523809528</v>
      </c>
      <c r="W123" s="60">
        <f t="shared" si="27"/>
        <v>0.5714285714285714</v>
      </c>
      <c r="X123" s="61" t="s">
        <v>129</v>
      </c>
      <c r="Y123" s="1"/>
      <c r="Z123" s="1"/>
    </row>
    <row r="124" spans="1:26" ht="15.75" customHeight="1">
      <c r="A124" s="54"/>
      <c r="B124" s="162"/>
      <c r="C124" s="33"/>
      <c r="D124" s="55" t="s">
        <v>1203</v>
      </c>
      <c r="E124" s="55" t="s">
        <v>68</v>
      </c>
      <c r="F124" s="56" t="s">
        <v>1055</v>
      </c>
      <c r="G124" s="57" t="s">
        <v>1205</v>
      </c>
      <c r="H124" s="58">
        <v>22000</v>
      </c>
      <c r="I124" s="58">
        <f t="shared" si="14"/>
        <v>15399.999999999998</v>
      </c>
      <c r="J124" s="58">
        <f t="shared" si="15"/>
        <v>466.66666666666663</v>
      </c>
      <c r="K124" s="58">
        <v>1500</v>
      </c>
      <c r="L124" s="59">
        <f t="shared" si="16"/>
        <v>1450</v>
      </c>
      <c r="M124" s="58">
        <f t="shared" si="17"/>
        <v>1087.5</v>
      </c>
      <c r="N124" s="58">
        <f t="shared" si="18"/>
        <v>942.5</v>
      </c>
      <c r="O124" s="58">
        <f t="shared" si="19"/>
        <v>750</v>
      </c>
      <c r="P124" s="58">
        <f t="shared" si="20"/>
        <v>983.33333333333337</v>
      </c>
      <c r="Q124" s="60">
        <f t="shared" si="21"/>
        <v>2.1071428571428572</v>
      </c>
      <c r="R124" s="58">
        <f t="shared" si="22"/>
        <v>620.83333333333337</v>
      </c>
      <c r="S124" s="58">
        <f t="shared" si="23"/>
        <v>475.83333333333337</v>
      </c>
      <c r="T124" s="58">
        <f t="shared" si="24"/>
        <v>283.33333333333337</v>
      </c>
      <c r="U124" s="60">
        <f t="shared" si="25"/>
        <v>1.330357142857143</v>
      </c>
      <c r="V124" s="60">
        <f t="shared" si="26"/>
        <v>1.0196428571428573</v>
      </c>
      <c r="W124" s="60">
        <f t="shared" si="27"/>
        <v>0.60714285714285732</v>
      </c>
      <c r="X124" s="61" t="s">
        <v>129</v>
      </c>
      <c r="Y124" s="1"/>
      <c r="Z124" s="1"/>
    </row>
    <row r="125" spans="1:26" ht="15.75" customHeight="1">
      <c r="A125" s="54"/>
      <c r="B125" s="162"/>
      <c r="C125" s="33"/>
      <c r="D125" s="55" t="s">
        <v>597</v>
      </c>
      <c r="E125" s="55" t="s">
        <v>556</v>
      </c>
      <c r="F125" s="56" t="s">
        <v>1055</v>
      </c>
      <c r="G125" s="57" t="s">
        <v>1206</v>
      </c>
      <c r="H125" s="58">
        <v>25000</v>
      </c>
      <c r="I125" s="58">
        <f t="shared" si="14"/>
        <v>17500</v>
      </c>
      <c r="J125" s="58">
        <f t="shared" si="15"/>
        <v>530.30303030303025</v>
      </c>
      <c r="K125" s="58">
        <v>1500</v>
      </c>
      <c r="L125" s="59">
        <f t="shared" si="16"/>
        <v>1450</v>
      </c>
      <c r="M125" s="58">
        <f t="shared" si="17"/>
        <v>1087.5</v>
      </c>
      <c r="N125" s="58">
        <f t="shared" si="18"/>
        <v>942.5</v>
      </c>
      <c r="O125" s="58">
        <f t="shared" si="19"/>
        <v>750</v>
      </c>
      <c r="P125" s="58">
        <f t="shared" si="20"/>
        <v>919.69696969696975</v>
      </c>
      <c r="Q125" s="60">
        <f t="shared" si="21"/>
        <v>1.7342857142857144</v>
      </c>
      <c r="R125" s="58">
        <f t="shared" si="22"/>
        <v>557.19696969696975</v>
      </c>
      <c r="S125" s="58">
        <f t="shared" si="23"/>
        <v>412.19696969696975</v>
      </c>
      <c r="T125" s="58">
        <f t="shared" si="24"/>
        <v>219.69696969696975</v>
      </c>
      <c r="U125" s="60">
        <f t="shared" si="25"/>
        <v>1.0507142857142859</v>
      </c>
      <c r="V125" s="60">
        <f t="shared" si="26"/>
        <v>0.77728571428571447</v>
      </c>
      <c r="W125" s="60">
        <f t="shared" si="27"/>
        <v>0.41428571428571442</v>
      </c>
      <c r="X125" s="61" t="s">
        <v>132</v>
      </c>
      <c r="Y125" s="1"/>
      <c r="Z125" s="1"/>
    </row>
    <row r="126" spans="1:26" ht="15.75" customHeight="1">
      <c r="A126" s="54"/>
      <c r="B126" s="162"/>
      <c r="C126" s="33"/>
      <c r="D126" s="55" t="s">
        <v>1207</v>
      </c>
      <c r="E126" s="55" t="s">
        <v>1208</v>
      </c>
      <c r="F126" s="56" t="s">
        <v>1055</v>
      </c>
      <c r="G126" s="57" t="s">
        <v>1209</v>
      </c>
      <c r="H126" s="58">
        <v>35000</v>
      </c>
      <c r="I126" s="58">
        <f t="shared" si="14"/>
        <v>24500</v>
      </c>
      <c r="J126" s="58">
        <f t="shared" si="15"/>
        <v>742.42424242424238</v>
      </c>
      <c r="K126" s="58">
        <v>2200</v>
      </c>
      <c r="L126" s="59">
        <f t="shared" si="16"/>
        <v>2150</v>
      </c>
      <c r="M126" s="58">
        <f t="shared" si="17"/>
        <v>1612.5</v>
      </c>
      <c r="N126" s="58">
        <f t="shared" si="18"/>
        <v>1397.5</v>
      </c>
      <c r="O126" s="58">
        <f t="shared" si="19"/>
        <v>1100</v>
      </c>
      <c r="P126" s="58">
        <f t="shared" si="20"/>
        <v>1407.5757575757575</v>
      </c>
      <c r="Q126" s="60">
        <f t="shared" si="21"/>
        <v>1.8959183673469389</v>
      </c>
      <c r="R126" s="58">
        <f t="shared" si="22"/>
        <v>870.07575757575762</v>
      </c>
      <c r="S126" s="58">
        <f t="shared" si="23"/>
        <v>655.07575757575762</v>
      </c>
      <c r="T126" s="58">
        <f t="shared" si="24"/>
        <v>357.57575757575762</v>
      </c>
      <c r="U126" s="60">
        <f t="shared" si="25"/>
        <v>1.1719387755102042</v>
      </c>
      <c r="V126" s="60">
        <f t="shared" si="26"/>
        <v>0.88234693877551029</v>
      </c>
      <c r="W126" s="60">
        <f t="shared" si="27"/>
        <v>0.4816326530612246</v>
      </c>
      <c r="X126" s="61" t="s">
        <v>132</v>
      </c>
      <c r="Y126" s="1"/>
      <c r="Z126" s="1"/>
    </row>
    <row r="127" spans="1:26" ht="15.75" customHeight="1">
      <c r="A127" s="54"/>
      <c r="B127" s="162"/>
      <c r="C127" s="33"/>
      <c r="D127" s="55" t="s">
        <v>1207</v>
      </c>
      <c r="E127" s="55" t="s">
        <v>465</v>
      </c>
      <c r="F127" s="56" t="s">
        <v>1055</v>
      </c>
      <c r="G127" s="57" t="s">
        <v>1210</v>
      </c>
      <c r="H127" s="58">
        <v>35000</v>
      </c>
      <c r="I127" s="58">
        <f t="shared" si="14"/>
        <v>24500</v>
      </c>
      <c r="J127" s="58">
        <f t="shared" si="15"/>
        <v>742.42424242424238</v>
      </c>
      <c r="K127" s="58">
        <v>2500</v>
      </c>
      <c r="L127" s="59">
        <f t="shared" si="16"/>
        <v>2450</v>
      </c>
      <c r="M127" s="58">
        <f t="shared" si="17"/>
        <v>1837.5</v>
      </c>
      <c r="N127" s="58">
        <f t="shared" si="18"/>
        <v>1592.5</v>
      </c>
      <c r="O127" s="58">
        <f t="shared" si="19"/>
        <v>1250</v>
      </c>
      <c r="P127" s="58">
        <f t="shared" si="20"/>
        <v>1707.5757575757575</v>
      </c>
      <c r="Q127" s="60">
        <f t="shared" si="21"/>
        <v>2.3000000000000003</v>
      </c>
      <c r="R127" s="58">
        <f t="shared" si="22"/>
        <v>1095.0757575757575</v>
      </c>
      <c r="S127" s="58">
        <f t="shared" si="23"/>
        <v>850.07575757575762</v>
      </c>
      <c r="T127" s="58">
        <f t="shared" si="24"/>
        <v>507.57575757575762</v>
      </c>
      <c r="U127" s="60">
        <f t="shared" si="25"/>
        <v>1.4750000000000001</v>
      </c>
      <c r="V127" s="60">
        <f t="shared" si="26"/>
        <v>1.1450000000000002</v>
      </c>
      <c r="W127" s="60">
        <f t="shared" si="27"/>
        <v>0.68367346938775519</v>
      </c>
      <c r="X127" s="61" t="s">
        <v>132</v>
      </c>
      <c r="Y127" s="1"/>
      <c r="Z127" s="1"/>
    </row>
    <row r="128" spans="1:26" ht="15.75" customHeight="1">
      <c r="A128" s="54"/>
      <c r="B128" s="162"/>
      <c r="C128" s="33"/>
      <c r="D128" s="55" t="s">
        <v>1207</v>
      </c>
      <c r="E128" s="55" t="s">
        <v>1211</v>
      </c>
      <c r="F128" s="56"/>
      <c r="G128" s="74" t="s">
        <v>1212</v>
      </c>
      <c r="H128" s="58">
        <v>3000</v>
      </c>
      <c r="I128" s="58">
        <f t="shared" si="14"/>
        <v>2100</v>
      </c>
      <c r="J128" s="58">
        <f t="shared" si="15"/>
        <v>63.636363636363633</v>
      </c>
      <c r="K128" s="58">
        <v>725</v>
      </c>
      <c r="L128" s="59">
        <f t="shared" si="16"/>
        <v>675</v>
      </c>
      <c r="M128" s="58">
        <f t="shared" si="17"/>
        <v>506.25</v>
      </c>
      <c r="N128" s="58">
        <f t="shared" si="18"/>
        <v>438.75</v>
      </c>
      <c r="O128" s="58">
        <f t="shared" si="19"/>
        <v>362.5</v>
      </c>
      <c r="P128" s="58">
        <f t="shared" si="20"/>
        <v>611.36363636363637</v>
      </c>
      <c r="Q128" s="60">
        <f t="shared" si="21"/>
        <v>9.6071428571428577</v>
      </c>
      <c r="R128" s="58">
        <f t="shared" si="22"/>
        <v>442.61363636363637</v>
      </c>
      <c r="S128" s="58">
        <f t="shared" si="23"/>
        <v>375.11363636363637</v>
      </c>
      <c r="T128" s="58">
        <f t="shared" si="24"/>
        <v>298.86363636363637</v>
      </c>
      <c r="U128" s="60">
        <f t="shared" si="25"/>
        <v>6.9553571428571432</v>
      </c>
      <c r="V128" s="60">
        <f t="shared" si="26"/>
        <v>5.8946428571428573</v>
      </c>
      <c r="W128" s="60">
        <f t="shared" si="27"/>
        <v>4.6964285714285721</v>
      </c>
      <c r="X128" s="61" t="s">
        <v>132</v>
      </c>
      <c r="Y128" s="1"/>
      <c r="Z128" s="1"/>
    </row>
    <row r="129" spans="1:26" ht="15.75" customHeight="1">
      <c r="A129" s="54"/>
      <c r="B129" s="162"/>
      <c r="C129" s="33"/>
      <c r="D129" s="55" t="s">
        <v>1207</v>
      </c>
      <c r="E129" s="55" t="s">
        <v>1213</v>
      </c>
      <c r="F129" s="56"/>
      <c r="G129" s="74" t="s">
        <v>1214</v>
      </c>
      <c r="H129" s="58">
        <v>4500</v>
      </c>
      <c r="I129" s="58">
        <f t="shared" si="14"/>
        <v>3150</v>
      </c>
      <c r="J129" s="58">
        <f t="shared" si="15"/>
        <v>95.454545454545453</v>
      </c>
      <c r="K129" s="58">
        <v>655</v>
      </c>
      <c r="L129" s="59">
        <f t="shared" si="16"/>
        <v>605</v>
      </c>
      <c r="M129" s="58">
        <f t="shared" si="17"/>
        <v>453.75</v>
      </c>
      <c r="N129" s="58">
        <f t="shared" si="18"/>
        <v>393.25</v>
      </c>
      <c r="O129" s="58">
        <f t="shared" si="19"/>
        <v>327.5</v>
      </c>
      <c r="P129" s="58">
        <f t="shared" si="20"/>
        <v>509.54545454545456</v>
      </c>
      <c r="Q129" s="60">
        <f t="shared" si="21"/>
        <v>5.3380952380952387</v>
      </c>
      <c r="R129" s="58">
        <f t="shared" si="22"/>
        <v>358.29545454545456</v>
      </c>
      <c r="S129" s="58">
        <f t="shared" si="23"/>
        <v>297.79545454545456</v>
      </c>
      <c r="T129" s="58">
        <f t="shared" si="24"/>
        <v>232.04545454545456</v>
      </c>
      <c r="U129" s="60">
        <f t="shared" si="25"/>
        <v>3.753571428571429</v>
      </c>
      <c r="V129" s="60">
        <f t="shared" si="26"/>
        <v>3.119761904761905</v>
      </c>
      <c r="W129" s="60">
        <f t="shared" si="27"/>
        <v>2.4309523809523812</v>
      </c>
      <c r="X129" s="61" t="s">
        <v>132</v>
      </c>
      <c r="Y129" s="1"/>
      <c r="Z129" s="1"/>
    </row>
    <row r="130" spans="1:26" ht="15.75" customHeight="1">
      <c r="A130" s="54"/>
      <c r="B130" s="162"/>
      <c r="C130" s="33"/>
      <c r="D130" s="55" t="s">
        <v>1207</v>
      </c>
      <c r="E130" s="55" t="s">
        <v>1215</v>
      </c>
      <c r="F130" s="56" t="s">
        <v>1055</v>
      </c>
      <c r="G130" s="57" t="s">
        <v>1216</v>
      </c>
      <c r="H130" s="58">
        <v>45000</v>
      </c>
      <c r="I130" s="58">
        <f t="shared" si="14"/>
        <v>31499.999999999996</v>
      </c>
      <c r="J130" s="58">
        <f t="shared" si="15"/>
        <v>954.54545454545439</v>
      </c>
      <c r="K130" s="58">
        <v>2500</v>
      </c>
      <c r="L130" s="59">
        <f t="shared" si="16"/>
        <v>2450</v>
      </c>
      <c r="M130" s="58">
        <f t="shared" si="17"/>
        <v>1837.5</v>
      </c>
      <c r="N130" s="58">
        <f t="shared" si="18"/>
        <v>1592.5</v>
      </c>
      <c r="O130" s="58">
        <f t="shared" si="19"/>
        <v>1250</v>
      </c>
      <c r="P130" s="58">
        <f t="shared" si="20"/>
        <v>1495.4545454545455</v>
      </c>
      <c r="Q130" s="60">
        <f t="shared" si="21"/>
        <v>1.5666666666666669</v>
      </c>
      <c r="R130" s="58">
        <f t="shared" si="22"/>
        <v>882.95454545454561</v>
      </c>
      <c r="S130" s="58">
        <f t="shared" si="23"/>
        <v>637.95454545454561</v>
      </c>
      <c r="T130" s="58">
        <f t="shared" si="24"/>
        <v>295.45454545454561</v>
      </c>
      <c r="U130" s="60">
        <f t="shared" si="25"/>
        <v>0.92500000000000027</v>
      </c>
      <c r="V130" s="60">
        <f t="shared" si="26"/>
        <v>0.66833333333333356</v>
      </c>
      <c r="W130" s="60">
        <f t="shared" si="27"/>
        <v>0.30952380952380976</v>
      </c>
      <c r="X130" s="61" t="s">
        <v>132</v>
      </c>
      <c r="Y130" s="1"/>
      <c r="Z130" s="1"/>
    </row>
    <row r="131" spans="1:26" ht="15.75" customHeight="1">
      <c r="A131" s="54"/>
      <c r="B131" s="162"/>
      <c r="C131" s="33"/>
      <c r="D131" s="55" t="s">
        <v>1217</v>
      </c>
      <c r="E131" s="55" t="s">
        <v>607</v>
      </c>
      <c r="F131" s="56" t="s">
        <v>1055</v>
      </c>
      <c r="G131" s="57" t="s">
        <v>1218</v>
      </c>
      <c r="H131" s="58">
        <v>20000</v>
      </c>
      <c r="I131" s="58">
        <f t="shared" si="14"/>
        <v>14000</v>
      </c>
      <c r="J131" s="58">
        <f t="shared" si="15"/>
        <v>424.24242424242425</v>
      </c>
      <c r="K131" s="58">
        <v>1500</v>
      </c>
      <c r="L131" s="59">
        <f t="shared" si="16"/>
        <v>1450</v>
      </c>
      <c r="M131" s="58">
        <f t="shared" si="17"/>
        <v>1087.5</v>
      </c>
      <c r="N131" s="58">
        <f t="shared" si="18"/>
        <v>942.5</v>
      </c>
      <c r="O131" s="58">
        <f t="shared" si="19"/>
        <v>750</v>
      </c>
      <c r="P131" s="58">
        <f t="shared" si="20"/>
        <v>1025.7575757575758</v>
      </c>
      <c r="Q131" s="60">
        <f t="shared" si="21"/>
        <v>2.4178571428571427</v>
      </c>
      <c r="R131" s="58">
        <f t="shared" si="22"/>
        <v>663.25757575757575</v>
      </c>
      <c r="S131" s="58">
        <f t="shared" si="23"/>
        <v>518.25757575757575</v>
      </c>
      <c r="T131" s="58">
        <f t="shared" si="24"/>
        <v>325.75757575757575</v>
      </c>
      <c r="U131" s="60">
        <f t="shared" si="25"/>
        <v>1.563392857142857</v>
      </c>
      <c r="V131" s="60">
        <f t="shared" si="26"/>
        <v>1.2216071428571429</v>
      </c>
      <c r="W131" s="60">
        <f t="shared" si="27"/>
        <v>0.76785714285714279</v>
      </c>
      <c r="X131" s="61" t="s">
        <v>59</v>
      </c>
      <c r="Y131" s="1"/>
      <c r="Z131" s="1"/>
    </row>
    <row r="132" spans="1:26" ht="15.75" customHeight="1">
      <c r="A132" s="54"/>
      <c r="B132" s="162"/>
      <c r="C132" s="33"/>
      <c r="D132" s="55" t="s">
        <v>1217</v>
      </c>
      <c r="E132" s="55" t="s">
        <v>1219</v>
      </c>
      <c r="F132" s="56" t="s">
        <v>1055</v>
      </c>
      <c r="G132" s="57" t="s">
        <v>1220</v>
      </c>
      <c r="H132" s="58">
        <v>23000</v>
      </c>
      <c r="I132" s="58">
        <f t="shared" ref="I132:I195" si="28">H132*0.7</f>
        <v>16099.999999999998</v>
      </c>
      <c r="J132" s="58">
        <f t="shared" ref="J132:J195" si="29">I132/33</f>
        <v>487.87878787878782</v>
      </c>
      <c r="K132" s="58">
        <v>1600</v>
      </c>
      <c r="L132" s="59">
        <f t="shared" ref="L132:L195" si="30">K132-50</f>
        <v>1550</v>
      </c>
      <c r="M132" s="58">
        <f t="shared" ref="M132:M195" si="31">L132*0.75</f>
        <v>1162.5</v>
      </c>
      <c r="N132" s="58">
        <f t="shared" ref="N132:N195" si="32">L132*0.65</f>
        <v>1007.5</v>
      </c>
      <c r="O132" s="58">
        <f t="shared" ref="O132:O195" si="33">K132*0.5</f>
        <v>800</v>
      </c>
      <c r="P132" s="58">
        <f t="shared" ref="P132:P195" si="34">L132-J132</f>
        <v>1062.1212121212122</v>
      </c>
      <c r="Q132" s="60">
        <f t="shared" ref="Q132:Q195" si="35">((L132-J132)/J132)</f>
        <v>2.1770186335403734</v>
      </c>
      <c r="R132" s="58">
        <f t="shared" ref="R132:R195" si="36">M132-J132</f>
        <v>674.62121212121224</v>
      </c>
      <c r="S132" s="58">
        <f t="shared" ref="S132:S195" si="37">N132-J132</f>
        <v>519.62121212121224</v>
      </c>
      <c r="T132" s="58">
        <f t="shared" ref="T132:T195" si="38">O132-J132</f>
        <v>312.12121212121218</v>
      </c>
      <c r="U132" s="60">
        <f t="shared" ref="U132:U195" si="39">(M132-J132)/J132</f>
        <v>1.3827639751552798</v>
      </c>
      <c r="V132" s="60">
        <f t="shared" ref="V132:V195" si="40">(N132-J132)/J132</f>
        <v>1.0650621118012427</v>
      </c>
      <c r="W132" s="60">
        <f t="shared" ref="W132:W195" si="41">(O132-J132)/J132</f>
        <v>0.63975155279503126</v>
      </c>
      <c r="X132" s="61" t="s">
        <v>59</v>
      </c>
      <c r="Y132" s="1"/>
      <c r="Z132" s="1"/>
    </row>
    <row r="133" spans="1:26" ht="15.75" customHeight="1">
      <c r="A133" s="54"/>
      <c r="B133" s="162"/>
      <c r="C133" s="33"/>
      <c r="D133" s="55" t="s">
        <v>524</v>
      </c>
      <c r="E133" s="55" t="s">
        <v>358</v>
      </c>
      <c r="F133" s="56" t="s">
        <v>1055</v>
      </c>
      <c r="G133" s="57" t="s">
        <v>1221</v>
      </c>
      <c r="H133" s="58">
        <v>25000</v>
      </c>
      <c r="I133" s="58">
        <f t="shared" si="28"/>
        <v>17500</v>
      </c>
      <c r="J133" s="58">
        <f t="shared" si="29"/>
        <v>530.30303030303025</v>
      </c>
      <c r="K133" s="58">
        <v>1600</v>
      </c>
      <c r="L133" s="59">
        <f t="shared" si="30"/>
        <v>1550</v>
      </c>
      <c r="M133" s="58">
        <f t="shared" si="31"/>
        <v>1162.5</v>
      </c>
      <c r="N133" s="58">
        <f t="shared" si="32"/>
        <v>1007.5</v>
      </c>
      <c r="O133" s="58">
        <f t="shared" si="33"/>
        <v>800</v>
      </c>
      <c r="P133" s="58">
        <f t="shared" si="34"/>
        <v>1019.6969696969697</v>
      </c>
      <c r="Q133" s="60">
        <f t="shared" si="35"/>
        <v>1.922857142857143</v>
      </c>
      <c r="R133" s="58">
        <f t="shared" si="36"/>
        <v>632.19696969696975</v>
      </c>
      <c r="S133" s="58">
        <f t="shared" si="37"/>
        <v>477.19696969696975</v>
      </c>
      <c r="T133" s="58">
        <f t="shared" si="38"/>
        <v>269.69696969696975</v>
      </c>
      <c r="U133" s="60">
        <f t="shared" si="39"/>
        <v>1.1921428571428574</v>
      </c>
      <c r="V133" s="60">
        <f t="shared" si="40"/>
        <v>0.89985714285714302</v>
      </c>
      <c r="W133" s="60">
        <f t="shared" si="41"/>
        <v>0.50857142857142867</v>
      </c>
      <c r="X133" s="61" t="s">
        <v>59</v>
      </c>
      <c r="Y133" s="1"/>
      <c r="Z133" s="1"/>
    </row>
    <row r="134" spans="1:26" ht="15.75" customHeight="1">
      <c r="A134" s="54"/>
      <c r="B134" s="162"/>
      <c r="C134" s="33"/>
      <c r="D134" s="55" t="s">
        <v>524</v>
      </c>
      <c r="E134" s="55" t="s">
        <v>465</v>
      </c>
      <c r="F134" s="56" t="s">
        <v>1055</v>
      </c>
      <c r="G134" s="57" t="s">
        <v>1222</v>
      </c>
      <c r="H134" s="58">
        <v>25000</v>
      </c>
      <c r="I134" s="58">
        <f t="shared" si="28"/>
        <v>17500</v>
      </c>
      <c r="J134" s="58">
        <f t="shared" si="29"/>
        <v>530.30303030303025</v>
      </c>
      <c r="K134" s="58">
        <v>1600</v>
      </c>
      <c r="L134" s="59">
        <f t="shared" si="30"/>
        <v>1550</v>
      </c>
      <c r="M134" s="58">
        <f t="shared" si="31"/>
        <v>1162.5</v>
      </c>
      <c r="N134" s="58">
        <f t="shared" si="32"/>
        <v>1007.5</v>
      </c>
      <c r="O134" s="58">
        <f t="shared" si="33"/>
        <v>800</v>
      </c>
      <c r="P134" s="58">
        <f t="shared" si="34"/>
        <v>1019.6969696969697</v>
      </c>
      <c r="Q134" s="60">
        <f t="shared" si="35"/>
        <v>1.922857142857143</v>
      </c>
      <c r="R134" s="58">
        <f t="shared" si="36"/>
        <v>632.19696969696975</v>
      </c>
      <c r="S134" s="58">
        <f t="shared" si="37"/>
        <v>477.19696969696975</v>
      </c>
      <c r="T134" s="58">
        <f t="shared" si="38"/>
        <v>269.69696969696975</v>
      </c>
      <c r="U134" s="60">
        <f t="shared" si="39"/>
        <v>1.1921428571428574</v>
      </c>
      <c r="V134" s="60">
        <f t="shared" si="40"/>
        <v>0.89985714285714302</v>
      </c>
      <c r="W134" s="60">
        <f t="shared" si="41"/>
        <v>0.50857142857142867</v>
      </c>
      <c r="X134" s="61" t="s">
        <v>59</v>
      </c>
      <c r="Y134" s="1"/>
      <c r="Z134" s="1"/>
    </row>
    <row r="135" spans="1:26" ht="15.75" customHeight="1">
      <c r="A135" s="54"/>
      <c r="B135" s="162"/>
      <c r="C135" s="33"/>
      <c r="D135" s="55" t="s">
        <v>1223</v>
      </c>
      <c r="E135" s="55" t="s">
        <v>607</v>
      </c>
      <c r="F135" s="56" t="s">
        <v>1055</v>
      </c>
      <c r="G135" s="57" t="s">
        <v>1224</v>
      </c>
      <c r="H135" s="58">
        <v>20000</v>
      </c>
      <c r="I135" s="58">
        <f t="shared" si="28"/>
        <v>14000</v>
      </c>
      <c r="J135" s="58">
        <f t="shared" si="29"/>
        <v>424.24242424242425</v>
      </c>
      <c r="K135" s="58">
        <v>1600</v>
      </c>
      <c r="L135" s="59">
        <f t="shared" si="30"/>
        <v>1550</v>
      </c>
      <c r="M135" s="58">
        <f t="shared" si="31"/>
        <v>1162.5</v>
      </c>
      <c r="N135" s="58">
        <f t="shared" si="32"/>
        <v>1007.5</v>
      </c>
      <c r="O135" s="58">
        <f t="shared" si="33"/>
        <v>800</v>
      </c>
      <c r="P135" s="58">
        <f t="shared" si="34"/>
        <v>1125.7575757575758</v>
      </c>
      <c r="Q135" s="60">
        <f t="shared" si="35"/>
        <v>2.6535714285714285</v>
      </c>
      <c r="R135" s="58">
        <f t="shared" si="36"/>
        <v>738.25757575757575</v>
      </c>
      <c r="S135" s="58">
        <f t="shared" si="37"/>
        <v>583.25757575757575</v>
      </c>
      <c r="T135" s="58">
        <f t="shared" si="38"/>
        <v>375.75757575757575</v>
      </c>
      <c r="U135" s="60">
        <f t="shared" si="39"/>
        <v>1.7401785714285714</v>
      </c>
      <c r="V135" s="60">
        <f t="shared" si="40"/>
        <v>1.3748214285714286</v>
      </c>
      <c r="W135" s="60">
        <f t="shared" si="41"/>
        <v>0.88571428571428568</v>
      </c>
      <c r="X135" s="61" t="s">
        <v>59</v>
      </c>
      <c r="Y135" s="1"/>
      <c r="Z135" s="1"/>
    </row>
    <row r="136" spans="1:26" ht="15.75" customHeight="1">
      <c r="A136" s="54"/>
      <c r="B136" s="162"/>
      <c r="C136" s="33"/>
      <c r="D136" s="55" t="s">
        <v>1223</v>
      </c>
      <c r="E136" s="55" t="s">
        <v>68</v>
      </c>
      <c r="F136" s="56" t="s">
        <v>1055</v>
      </c>
      <c r="G136" s="57" t="s">
        <v>1225</v>
      </c>
      <c r="H136" s="58">
        <v>25000</v>
      </c>
      <c r="I136" s="58">
        <f t="shared" si="28"/>
        <v>17500</v>
      </c>
      <c r="J136" s="58">
        <f t="shared" si="29"/>
        <v>530.30303030303025</v>
      </c>
      <c r="K136" s="58">
        <v>1600</v>
      </c>
      <c r="L136" s="59">
        <f t="shared" si="30"/>
        <v>1550</v>
      </c>
      <c r="M136" s="58">
        <f t="shared" si="31"/>
        <v>1162.5</v>
      </c>
      <c r="N136" s="58">
        <f t="shared" si="32"/>
        <v>1007.5</v>
      </c>
      <c r="O136" s="58">
        <f t="shared" si="33"/>
        <v>800</v>
      </c>
      <c r="P136" s="58">
        <f t="shared" si="34"/>
        <v>1019.6969696969697</v>
      </c>
      <c r="Q136" s="60">
        <f t="shared" si="35"/>
        <v>1.922857142857143</v>
      </c>
      <c r="R136" s="58">
        <f t="shared" si="36"/>
        <v>632.19696969696975</v>
      </c>
      <c r="S136" s="58">
        <f t="shared" si="37"/>
        <v>477.19696969696975</v>
      </c>
      <c r="T136" s="58">
        <f t="shared" si="38"/>
        <v>269.69696969696975</v>
      </c>
      <c r="U136" s="60">
        <f t="shared" si="39"/>
        <v>1.1921428571428574</v>
      </c>
      <c r="V136" s="60">
        <f t="shared" si="40"/>
        <v>0.89985714285714302</v>
      </c>
      <c r="W136" s="60">
        <f t="shared" si="41"/>
        <v>0.50857142857142867</v>
      </c>
      <c r="X136" s="61" t="s">
        <v>59</v>
      </c>
      <c r="Y136" s="1"/>
      <c r="Z136" s="1"/>
    </row>
    <row r="137" spans="1:26" ht="15.75" customHeight="1">
      <c r="A137" s="54"/>
      <c r="B137" s="162"/>
      <c r="C137" s="33"/>
      <c r="D137" s="55" t="s">
        <v>1223</v>
      </c>
      <c r="E137" s="55" t="s">
        <v>525</v>
      </c>
      <c r="F137" s="56" t="s">
        <v>1055</v>
      </c>
      <c r="G137" s="57" t="s">
        <v>1226</v>
      </c>
      <c r="H137" s="58">
        <v>28000</v>
      </c>
      <c r="I137" s="58">
        <f t="shared" si="28"/>
        <v>19600</v>
      </c>
      <c r="J137" s="58">
        <f t="shared" si="29"/>
        <v>593.93939393939399</v>
      </c>
      <c r="K137" s="58">
        <v>1600</v>
      </c>
      <c r="L137" s="59">
        <f t="shared" si="30"/>
        <v>1550</v>
      </c>
      <c r="M137" s="58">
        <f t="shared" si="31"/>
        <v>1162.5</v>
      </c>
      <c r="N137" s="58">
        <f t="shared" si="32"/>
        <v>1007.5</v>
      </c>
      <c r="O137" s="58">
        <f t="shared" si="33"/>
        <v>800</v>
      </c>
      <c r="P137" s="58">
        <f t="shared" si="34"/>
        <v>956.06060606060601</v>
      </c>
      <c r="Q137" s="60">
        <f t="shared" si="35"/>
        <v>1.6096938775510201</v>
      </c>
      <c r="R137" s="58">
        <f t="shared" si="36"/>
        <v>568.56060606060601</v>
      </c>
      <c r="S137" s="58">
        <f t="shared" si="37"/>
        <v>413.56060606060601</v>
      </c>
      <c r="T137" s="58">
        <f t="shared" si="38"/>
        <v>206.06060606060601</v>
      </c>
      <c r="U137" s="60">
        <f t="shared" si="39"/>
        <v>0.95727040816326514</v>
      </c>
      <c r="V137" s="60">
        <f t="shared" si="40"/>
        <v>0.69630102040816311</v>
      </c>
      <c r="W137" s="60">
        <f t="shared" si="41"/>
        <v>0.34693877551020397</v>
      </c>
      <c r="X137" s="61" t="s">
        <v>59</v>
      </c>
      <c r="Y137" s="1"/>
      <c r="Z137" s="1"/>
    </row>
    <row r="138" spans="1:26" ht="15.75" customHeight="1">
      <c r="A138" s="54"/>
      <c r="B138" s="162"/>
      <c r="C138" s="33"/>
      <c r="D138" s="55" t="s">
        <v>1223</v>
      </c>
      <c r="E138" s="55" t="s">
        <v>529</v>
      </c>
      <c r="F138" s="56" t="s">
        <v>1055</v>
      </c>
      <c r="G138" s="57" t="s">
        <v>1227</v>
      </c>
      <c r="H138" s="58">
        <v>35000</v>
      </c>
      <c r="I138" s="58">
        <f t="shared" si="28"/>
        <v>24500</v>
      </c>
      <c r="J138" s="58">
        <f t="shared" si="29"/>
        <v>742.42424242424238</v>
      </c>
      <c r="K138" s="58">
        <v>1600</v>
      </c>
      <c r="L138" s="59">
        <f t="shared" si="30"/>
        <v>1550</v>
      </c>
      <c r="M138" s="58">
        <f t="shared" si="31"/>
        <v>1162.5</v>
      </c>
      <c r="N138" s="58">
        <f t="shared" si="32"/>
        <v>1007.5</v>
      </c>
      <c r="O138" s="58">
        <f t="shared" si="33"/>
        <v>800</v>
      </c>
      <c r="P138" s="58">
        <f t="shared" si="34"/>
        <v>807.57575757575762</v>
      </c>
      <c r="Q138" s="60">
        <f t="shared" si="35"/>
        <v>1.0877551020408165</v>
      </c>
      <c r="R138" s="58">
        <f t="shared" si="36"/>
        <v>420.07575757575762</v>
      </c>
      <c r="S138" s="58">
        <f t="shared" si="37"/>
        <v>265.07575757575762</v>
      </c>
      <c r="T138" s="58">
        <f t="shared" si="38"/>
        <v>57.575757575757621</v>
      </c>
      <c r="U138" s="60">
        <f t="shared" si="39"/>
        <v>0.56581632653061231</v>
      </c>
      <c r="V138" s="60">
        <f t="shared" si="40"/>
        <v>0.35704081632653067</v>
      </c>
      <c r="W138" s="60">
        <f t="shared" si="41"/>
        <v>7.7551020408163335E-2</v>
      </c>
      <c r="X138" s="61" t="s">
        <v>59</v>
      </c>
      <c r="Y138" s="1"/>
      <c r="Z138" s="1"/>
    </row>
    <row r="139" spans="1:26" ht="15.75" customHeight="1">
      <c r="A139" s="54"/>
      <c r="B139" s="162"/>
      <c r="C139" s="33"/>
      <c r="D139" s="55" t="s">
        <v>1223</v>
      </c>
      <c r="E139" s="55" t="s">
        <v>1228</v>
      </c>
      <c r="F139" s="56" t="s">
        <v>1055</v>
      </c>
      <c r="G139" s="57" t="s">
        <v>1229</v>
      </c>
      <c r="H139" s="58">
        <v>28000</v>
      </c>
      <c r="I139" s="58">
        <f t="shared" si="28"/>
        <v>19600</v>
      </c>
      <c r="J139" s="58">
        <f t="shared" si="29"/>
        <v>593.93939393939399</v>
      </c>
      <c r="K139" s="58">
        <v>1600</v>
      </c>
      <c r="L139" s="59">
        <f t="shared" si="30"/>
        <v>1550</v>
      </c>
      <c r="M139" s="58">
        <f t="shared" si="31"/>
        <v>1162.5</v>
      </c>
      <c r="N139" s="58">
        <f t="shared" si="32"/>
        <v>1007.5</v>
      </c>
      <c r="O139" s="58">
        <f t="shared" si="33"/>
        <v>800</v>
      </c>
      <c r="P139" s="58">
        <f t="shared" si="34"/>
        <v>956.06060606060601</v>
      </c>
      <c r="Q139" s="60">
        <f t="shared" si="35"/>
        <v>1.6096938775510201</v>
      </c>
      <c r="R139" s="58">
        <f t="shared" si="36"/>
        <v>568.56060606060601</v>
      </c>
      <c r="S139" s="58">
        <f t="shared" si="37"/>
        <v>413.56060606060601</v>
      </c>
      <c r="T139" s="58">
        <f t="shared" si="38"/>
        <v>206.06060606060601</v>
      </c>
      <c r="U139" s="60">
        <f t="shared" si="39"/>
        <v>0.95727040816326514</v>
      </c>
      <c r="V139" s="60">
        <f t="shared" si="40"/>
        <v>0.69630102040816311</v>
      </c>
      <c r="W139" s="60">
        <f t="shared" si="41"/>
        <v>0.34693877551020397</v>
      </c>
      <c r="X139" s="61" t="s">
        <v>59</v>
      </c>
      <c r="Y139" s="1"/>
      <c r="Z139" s="1"/>
    </row>
    <row r="140" spans="1:26" ht="15.75" customHeight="1">
      <c r="A140" s="54"/>
      <c r="B140" s="162"/>
      <c r="C140" s="33"/>
      <c r="D140" s="55" t="s">
        <v>1230</v>
      </c>
      <c r="E140" s="55" t="s">
        <v>607</v>
      </c>
      <c r="F140" s="56" t="s">
        <v>1055</v>
      </c>
      <c r="G140" s="57" t="s">
        <v>1231</v>
      </c>
      <c r="H140" s="58">
        <v>20000</v>
      </c>
      <c r="I140" s="58">
        <f t="shared" si="28"/>
        <v>14000</v>
      </c>
      <c r="J140" s="58">
        <f t="shared" si="29"/>
        <v>424.24242424242425</v>
      </c>
      <c r="K140" s="58">
        <v>1500</v>
      </c>
      <c r="L140" s="59">
        <f t="shared" si="30"/>
        <v>1450</v>
      </c>
      <c r="M140" s="58">
        <f t="shared" si="31"/>
        <v>1087.5</v>
      </c>
      <c r="N140" s="58">
        <f t="shared" si="32"/>
        <v>942.5</v>
      </c>
      <c r="O140" s="58">
        <f t="shared" si="33"/>
        <v>750</v>
      </c>
      <c r="P140" s="58">
        <f t="shared" si="34"/>
        <v>1025.7575757575758</v>
      </c>
      <c r="Q140" s="60">
        <f t="shared" si="35"/>
        <v>2.4178571428571427</v>
      </c>
      <c r="R140" s="58">
        <f t="shared" si="36"/>
        <v>663.25757575757575</v>
      </c>
      <c r="S140" s="58">
        <f t="shared" si="37"/>
        <v>518.25757575757575</v>
      </c>
      <c r="T140" s="58">
        <f t="shared" si="38"/>
        <v>325.75757575757575</v>
      </c>
      <c r="U140" s="60">
        <f t="shared" si="39"/>
        <v>1.563392857142857</v>
      </c>
      <c r="V140" s="60">
        <f t="shared" si="40"/>
        <v>1.2216071428571429</v>
      </c>
      <c r="W140" s="60">
        <f t="shared" si="41"/>
        <v>0.76785714285714279</v>
      </c>
      <c r="X140" s="61" t="s">
        <v>100</v>
      </c>
      <c r="Y140" s="1"/>
      <c r="Z140" s="1"/>
    </row>
    <row r="141" spans="1:26" ht="15.75" customHeight="1">
      <c r="A141" s="54"/>
      <c r="B141" s="162"/>
      <c r="C141" s="33"/>
      <c r="D141" s="65" t="s">
        <v>1230</v>
      </c>
      <c r="E141" s="65" t="s">
        <v>525</v>
      </c>
      <c r="F141" s="66" t="s">
        <v>1055</v>
      </c>
      <c r="G141" s="67" t="s">
        <v>1232</v>
      </c>
      <c r="H141" s="68">
        <v>28000</v>
      </c>
      <c r="I141" s="58">
        <f t="shared" si="28"/>
        <v>19600</v>
      </c>
      <c r="J141" s="58">
        <f t="shared" si="29"/>
        <v>593.93939393939399</v>
      </c>
      <c r="K141" s="58">
        <v>1600</v>
      </c>
      <c r="L141" s="59">
        <f t="shared" si="30"/>
        <v>1550</v>
      </c>
      <c r="M141" s="58">
        <f t="shared" si="31"/>
        <v>1162.5</v>
      </c>
      <c r="N141" s="58">
        <f t="shared" si="32"/>
        <v>1007.5</v>
      </c>
      <c r="O141" s="58">
        <f t="shared" si="33"/>
        <v>800</v>
      </c>
      <c r="P141" s="58">
        <f t="shared" si="34"/>
        <v>956.06060606060601</v>
      </c>
      <c r="Q141" s="60">
        <f t="shared" si="35"/>
        <v>1.6096938775510201</v>
      </c>
      <c r="R141" s="58">
        <f t="shared" si="36"/>
        <v>568.56060606060601</v>
      </c>
      <c r="S141" s="58">
        <f t="shared" si="37"/>
        <v>413.56060606060601</v>
      </c>
      <c r="T141" s="58">
        <f t="shared" si="38"/>
        <v>206.06060606060601</v>
      </c>
      <c r="U141" s="60">
        <f t="shared" si="39"/>
        <v>0.95727040816326514</v>
      </c>
      <c r="V141" s="60">
        <f t="shared" si="40"/>
        <v>0.69630102040816311</v>
      </c>
      <c r="W141" s="60">
        <f t="shared" si="41"/>
        <v>0.34693877551020397</v>
      </c>
      <c r="X141" s="61" t="s">
        <v>100</v>
      </c>
      <c r="Y141" s="1"/>
      <c r="Z141" s="1"/>
    </row>
    <row r="142" spans="1:26" ht="15.75" customHeight="1">
      <c r="A142" s="54"/>
      <c r="B142" s="162"/>
      <c r="C142" s="33"/>
      <c r="D142" s="65" t="s">
        <v>1230</v>
      </c>
      <c r="E142" s="65" t="s">
        <v>465</v>
      </c>
      <c r="F142" s="66" t="s">
        <v>1055</v>
      </c>
      <c r="G142" s="67" t="s">
        <v>1233</v>
      </c>
      <c r="H142" s="68">
        <v>28000</v>
      </c>
      <c r="I142" s="58">
        <f t="shared" si="28"/>
        <v>19600</v>
      </c>
      <c r="J142" s="58">
        <f t="shared" si="29"/>
        <v>593.93939393939399</v>
      </c>
      <c r="K142" s="58">
        <v>1600</v>
      </c>
      <c r="L142" s="59">
        <f t="shared" si="30"/>
        <v>1550</v>
      </c>
      <c r="M142" s="58">
        <f t="shared" si="31"/>
        <v>1162.5</v>
      </c>
      <c r="N142" s="58">
        <f t="shared" si="32"/>
        <v>1007.5</v>
      </c>
      <c r="O142" s="58">
        <f t="shared" si="33"/>
        <v>800</v>
      </c>
      <c r="P142" s="58">
        <f t="shared" si="34"/>
        <v>956.06060606060601</v>
      </c>
      <c r="Q142" s="60">
        <f t="shared" si="35"/>
        <v>1.6096938775510201</v>
      </c>
      <c r="R142" s="58">
        <f t="shared" si="36"/>
        <v>568.56060606060601</v>
      </c>
      <c r="S142" s="58">
        <f t="shared" si="37"/>
        <v>413.56060606060601</v>
      </c>
      <c r="T142" s="58">
        <f t="shared" si="38"/>
        <v>206.06060606060601</v>
      </c>
      <c r="U142" s="60">
        <f t="shared" si="39"/>
        <v>0.95727040816326514</v>
      </c>
      <c r="V142" s="60">
        <f t="shared" si="40"/>
        <v>0.69630102040816311</v>
      </c>
      <c r="W142" s="60">
        <f t="shared" si="41"/>
        <v>0.34693877551020397</v>
      </c>
      <c r="X142" s="61" t="s">
        <v>100</v>
      </c>
      <c r="Y142" s="1"/>
      <c r="Z142" s="1"/>
    </row>
    <row r="143" spans="1:26" ht="15.75" customHeight="1">
      <c r="A143" s="54"/>
      <c r="B143" s="162"/>
      <c r="C143" s="33"/>
      <c r="D143" s="65" t="s">
        <v>1230</v>
      </c>
      <c r="E143" s="65" t="s">
        <v>68</v>
      </c>
      <c r="F143" s="66" t="s">
        <v>1055</v>
      </c>
      <c r="G143" s="67" t="s">
        <v>1234</v>
      </c>
      <c r="H143" s="68">
        <v>28000</v>
      </c>
      <c r="I143" s="58">
        <f t="shared" si="28"/>
        <v>19600</v>
      </c>
      <c r="J143" s="58">
        <f t="shared" si="29"/>
        <v>593.93939393939399</v>
      </c>
      <c r="K143" s="58">
        <v>1600</v>
      </c>
      <c r="L143" s="59">
        <f t="shared" si="30"/>
        <v>1550</v>
      </c>
      <c r="M143" s="58">
        <f t="shared" si="31"/>
        <v>1162.5</v>
      </c>
      <c r="N143" s="58">
        <f t="shared" si="32"/>
        <v>1007.5</v>
      </c>
      <c r="O143" s="58">
        <f t="shared" si="33"/>
        <v>800</v>
      </c>
      <c r="P143" s="58">
        <f t="shared" si="34"/>
        <v>956.06060606060601</v>
      </c>
      <c r="Q143" s="60">
        <f t="shared" si="35"/>
        <v>1.6096938775510201</v>
      </c>
      <c r="R143" s="58">
        <f t="shared" si="36"/>
        <v>568.56060606060601</v>
      </c>
      <c r="S143" s="58">
        <f t="shared" si="37"/>
        <v>413.56060606060601</v>
      </c>
      <c r="T143" s="58">
        <f t="shared" si="38"/>
        <v>206.06060606060601</v>
      </c>
      <c r="U143" s="60">
        <f t="shared" si="39"/>
        <v>0.95727040816326514</v>
      </c>
      <c r="V143" s="60">
        <f t="shared" si="40"/>
        <v>0.69630102040816311</v>
      </c>
      <c r="W143" s="60">
        <f t="shared" si="41"/>
        <v>0.34693877551020397</v>
      </c>
      <c r="X143" s="61" t="s">
        <v>100</v>
      </c>
      <c r="Y143" s="1"/>
      <c r="Z143" s="1"/>
    </row>
    <row r="144" spans="1:26" ht="15.75" customHeight="1">
      <c r="A144" s="54"/>
      <c r="B144" s="161"/>
      <c r="C144" s="33"/>
      <c r="D144" s="65" t="s">
        <v>1230</v>
      </c>
      <c r="E144" s="65" t="s">
        <v>577</v>
      </c>
      <c r="F144" s="66" t="s">
        <v>1055</v>
      </c>
      <c r="G144" s="67" t="s">
        <v>1235</v>
      </c>
      <c r="H144" s="68">
        <v>28000</v>
      </c>
      <c r="I144" s="58">
        <f t="shared" si="28"/>
        <v>19600</v>
      </c>
      <c r="J144" s="58">
        <f t="shared" si="29"/>
        <v>593.93939393939399</v>
      </c>
      <c r="K144" s="58">
        <v>1600</v>
      </c>
      <c r="L144" s="59">
        <f t="shared" si="30"/>
        <v>1550</v>
      </c>
      <c r="M144" s="58">
        <f t="shared" si="31"/>
        <v>1162.5</v>
      </c>
      <c r="N144" s="58">
        <f t="shared" si="32"/>
        <v>1007.5</v>
      </c>
      <c r="O144" s="58">
        <f t="shared" si="33"/>
        <v>800</v>
      </c>
      <c r="P144" s="58">
        <f t="shared" si="34"/>
        <v>956.06060606060601</v>
      </c>
      <c r="Q144" s="60">
        <f t="shared" si="35"/>
        <v>1.6096938775510201</v>
      </c>
      <c r="R144" s="58">
        <f t="shared" si="36"/>
        <v>568.56060606060601</v>
      </c>
      <c r="S144" s="58">
        <f t="shared" si="37"/>
        <v>413.56060606060601</v>
      </c>
      <c r="T144" s="58">
        <f t="shared" si="38"/>
        <v>206.06060606060601</v>
      </c>
      <c r="U144" s="60">
        <f t="shared" si="39"/>
        <v>0.95727040816326514</v>
      </c>
      <c r="V144" s="60">
        <f t="shared" si="40"/>
        <v>0.69630102040816311</v>
      </c>
      <c r="W144" s="60">
        <f t="shared" si="41"/>
        <v>0.34693877551020397</v>
      </c>
      <c r="X144" s="61" t="s">
        <v>100</v>
      </c>
      <c r="Y144" s="1"/>
      <c r="Z144" s="1"/>
    </row>
    <row r="145" spans="1:26" ht="15.75" customHeight="1">
      <c r="A145" s="54"/>
      <c r="B145" s="160" t="s">
        <v>388</v>
      </c>
      <c r="C145" s="43"/>
      <c r="D145" s="55" t="s">
        <v>1236</v>
      </c>
      <c r="E145" s="55" t="s">
        <v>1237</v>
      </c>
      <c r="F145" s="56" t="s">
        <v>1014</v>
      </c>
      <c r="G145" s="57" t="s">
        <v>1238</v>
      </c>
      <c r="H145" s="58">
        <v>25000</v>
      </c>
      <c r="I145" s="58">
        <f t="shared" si="28"/>
        <v>17500</v>
      </c>
      <c r="J145" s="58">
        <f t="shared" si="29"/>
        <v>530.30303030303025</v>
      </c>
      <c r="K145" s="58">
        <v>1500</v>
      </c>
      <c r="L145" s="59">
        <f t="shared" si="30"/>
        <v>1450</v>
      </c>
      <c r="M145" s="58">
        <f t="shared" si="31"/>
        <v>1087.5</v>
      </c>
      <c r="N145" s="58">
        <f t="shared" si="32"/>
        <v>942.5</v>
      </c>
      <c r="O145" s="58">
        <f t="shared" si="33"/>
        <v>750</v>
      </c>
      <c r="P145" s="58">
        <f t="shared" si="34"/>
        <v>919.69696969696975</v>
      </c>
      <c r="Q145" s="60">
        <f t="shared" si="35"/>
        <v>1.7342857142857144</v>
      </c>
      <c r="R145" s="58">
        <f t="shared" si="36"/>
        <v>557.19696969696975</v>
      </c>
      <c r="S145" s="58">
        <f t="shared" si="37"/>
        <v>412.19696969696975</v>
      </c>
      <c r="T145" s="58">
        <f t="shared" si="38"/>
        <v>219.69696969696975</v>
      </c>
      <c r="U145" s="60">
        <f t="shared" si="39"/>
        <v>1.0507142857142859</v>
      </c>
      <c r="V145" s="60">
        <f t="shared" si="40"/>
        <v>0.77728571428571447</v>
      </c>
      <c r="W145" s="60">
        <f t="shared" si="41"/>
        <v>0.41428571428571442</v>
      </c>
      <c r="X145" s="61" t="s">
        <v>140</v>
      </c>
      <c r="Y145" s="1"/>
      <c r="Z145" s="1"/>
    </row>
    <row r="146" spans="1:26" ht="15.75" customHeight="1">
      <c r="A146" s="54"/>
      <c r="B146" s="162"/>
      <c r="C146" s="33"/>
      <c r="D146" s="65" t="s">
        <v>1236</v>
      </c>
      <c r="E146" s="65" t="s">
        <v>430</v>
      </c>
      <c r="F146" s="66" t="s">
        <v>1014</v>
      </c>
      <c r="G146" s="67" t="s">
        <v>1239</v>
      </c>
      <c r="H146" s="68">
        <v>28000</v>
      </c>
      <c r="I146" s="58">
        <f t="shared" si="28"/>
        <v>19600</v>
      </c>
      <c r="J146" s="58">
        <f t="shared" si="29"/>
        <v>593.93939393939399</v>
      </c>
      <c r="K146" s="58">
        <v>1500</v>
      </c>
      <c r="L146" s="59">
        <f t="shared" si="30"/>
        <v>1450</v>
      </c>
      <c r="M146" s="58">
        <f t="shared" si="31"/>
        <v>1087.5</v>
      </c>
      <c r="N146" s="58">
        <f t="shared" si="32"/>
        <v>942.5</v>
      </c>
      <c r="O146" s="58">
        <f t="shared" si="33"/>
        <v>750</v>
      </c>
      <c r="P146" s="58">
        <f t="shared" si="34"/>
        <v>856.06060606060601</v>
      </c>
      <c r="Q146" s="60">
        <f t="shared" si="35"/>
        <v>1.4413265306122447</v>
      </c>
      <c r="R146" s="58">
        <f t="shared" si="36"/>
        <v>493.56060606060601</v>
      </c>
      <c r="S146" s="58">
        <f t="shared" si="37"/>
        <v>348.56060606060601</v>
      </c>
      <c r="T146" s="58">
        <f t="shared" si="38"/>
        <v>156.06060606060601</v>
      </c>
      <c r="U146" s="60">
        <f t="shared" si="39"/>
        <v>0.83099489795918347</v>
      </c>
      <c r="V146" s="60">
        <f t="shared" si="40"/>
        <v>0.58686224489795902</v>
      </c>
      <c r="W146" s="60">
        <f t="shared" si="41"/>
        <v>0.2627551020408162</v>
      </c>
      <c r="X146" s="61" t="s">
        <v>141</v>
      </c>
      <c r="Y146" s="1"/>
      <c r="Z146" s="1"/>
    </row>
    <row r="147" spans="1:26" ht="15.75" customHeight="1">
      <c r="A147" s="54"/>
      <c r="B147" s="162"/>
      <c r="C147" s="33"/>
      <c r="D147" s="55" t="s">
        <v>412</v>
      </c>
      <c r="E147" s="55" t="s">
        <v>412</v>
      </c>
      <c r="F147" s="56" t="s">
        <v>1014</v>
      </c>
      <c r="G147" s="57" t="s">
        <v>1240</v>
      </c>
      <c r="H147" s="58">
        <v>22000</v>
      </c>
      <c r="I147" s="58">
        <f t="shared" si="28"/>
        <v>15399.999999999998</v>
      </c>
      <c r="J147" s="58">
        <f t="shared" si="29"/>
        <v>466.66666666666663</v>
      </c>
      <c r="K147" s="58">
        <v>1500</v>
      </c>
      <c r="L147" s="59">
        <f t="shared" si="30"/>
        <v>1450</v>
      </c>
      <c r="M147" s="58">
        <f t="shared" si="31"/>
        <v>1087.5</v>
      </c>
      <c r="N147" s="58">
        <f t="shared" si="32"/>
        <v>942.5</v>
      </c>
      <c r="O147" s="58">
        <f t="shared" si="33"/>
        <v>750</v>
      </c>
      <c r="P147" s="58">
        <f t="shared" si="34"/>
        <v>983.33333333333337</v>
      </c>
      <c r="Q147" s="60">
        <f t="shared" si="35"/>
        <v>2.1071428571428572</v>
      </c>
      <c r="R147" s="58">
        <f t="shared" si="36"/>
        <v>620.83333333333337</v>
      </c>
      <c r="S147" s="58">
        <f t="shared" si="37"/>
        <v>475.83333333333337</v>
      </c>
      <c r="T147" s="58">
        <f t="shared" si="38"/>
        <v>283.33333333333337</v>
      </c>
      <c r="U147" s="60">
        <f t="shared" si="39"/>
        <v>1.330357142857143</v>
      </c>
      <c r="V147" s="60">
        <f t="shared" si="40"/>
        <v>1.0196428571428573</v>
      </c>
      <c r="W147" s="60">
        <f t="shared" si="41"/>
        <v>0.60714285714285732</v>
      </c>
      <c r="X147" s="61" t="s">
        <v>144</v>
      </c>
      <c r="Y147" s="1"/>
      <c r="Z147" s="1"/>
    </row>
    <row r="148" spans="1:26" ht="15.75" customHeight="1">
      <c r="A148" s="54"/>
      <c r="B148" s="162"/>
      <c r="C148" s="33"/>
      <c r="D148" s="55" t="s">
        <v>412</v>
      </c>
      <c r="E148" s="55" t="s">
        <v>1241</v>
      </c>
      <c r="F148" s="56" t="s">
        <v>1014</v>
      </c>
      <c r="G148" s="57" t="s">
        <v>1242</v>
      </c>
      <c r="H148" s="58">
        <v>25000</v>
      </c>
      <c r="I148" s="58">
        <f t="shared" si="28"/>
        <v>17500</v>
      </c>
      <c r="J148" s="58">
        <f t="shared" si="29"/>
        <v>530.30303030303025</v>
      </c>
      <c r="K148" s="58">
        <v>1600</v>
      </c>
      <c r="L148" s="59">
        <f t="shared" si="30"/>
        <v>1550</v>
      </c>
      <c r="M148" s="58">
        <f t="shared" si="31"/>
        <v>1162.5</v>
      </c>
      <c r="N148" s="58">
        <f t="shared" si="32"/>
        <v>1007.5</v>
      </c>
      <c r="O148" s="58">
        <f t="shared" si="33"/>
        <v>800</v>
      </c>
      <c r="P148" s="58">
        <f t="shared" si="34"/>
        <v>1019.6969696969697</v>
      </c>
      <c r="Q148" s="60">
        <f t="shared" si="35"/>
        <v>1.922857142857143</v>
      </c>
      <c r="R148" s="58">
        <f t="shared" si="36"/>
        <v>632.19696969696975</v>
      </c>
      <c r="S148" s="58">
        <f t="shared" si="37"/>
        <v>477.19696969696975</v>
      </c>
      <c r="T148" s="58">
        <f t="shared" si="38"/>
        <v>269.69696969696975</v>
      </c>
      <c r="U148" s="60">
        <f t="shared" si="39"/>
        <v>1.1921428571428574</v>
      </c>
      <c r="V148" s="60">
        <f t="shared" si="40"/>
        <v>0.89985714285714302</v>
      </c>
      <c r="W148" s="60">
        <f t="shared" si="41"/>
        <v>0.50857142857142867</v>
      </c>
      <c r="X148" s="61" t="s">
        <v>144</v>
      </c>
      <c r="Y148" s="1"/>
      <c r="Z148" s="1"/>
    </row>
    <row r="149" spans="1:26" ht="15.75" customHeight="1">
      <c r="A149" s="54"/>
      <c r="B149" s="162"/>
      <c r="C149" s="33"/>
      <c r="D149" s="55" t="s">
        <v>434</v>
      </c>
      <c r="E149" s="55" t="s">
        <v>68</v>
      </c>
      <c r="F149" s="56" t="s">
        <v>1055</v>
      </c>
      <c r="G149" s="57" t="s">
        <v>1243</v>
      </c>
      <c r="H149" s="58">
        <v>23000</v>
      </c>
      <c r="I149" s="58">
        <f t="shared" si="28"/>
        <v>16099.999999999998</v>
      </c>
      <c r="J149" s="58">
        <f t="shared" si="29"/>
        <v>487.87878787878782</v>
      </c>
      <c r="K149" s="58">
        <v>1500</v>
      </c>
      <c r="L149" s="59">
        <f t="shared" si="30"/>
        <v>1450</v>
      </c>
      <c r="M149" s="58">
        <f t="shared" si="31"/>
        <v>1087.5</v>
      </c>
      <c r="N149" s="58">
        <f t="shared" si="32"/>
        <v>942.5</v>
      </c>
      <c r="O149" s="58">
        <f t="shared" si="33"/>
        <v>750</v>
      </c>
      <c r="P149" s="58">
        <f t="shared" si="34"/>
        <v>962.12121212121224</v>
      </c>
      <c r="Q149" s="60">
        <f t="shared" si="35"/>
        <v>1.9720496894409942</v>
      </c>
      <c r="R149" s="58">
        <f t="shared" si="36"/>
        <v>599.62121212121224</v>
      </c>
      <c r="S149" s="58">
        <f t="shared" si="37"/>
        <v>454.62121212121218</v>
      </c>
      <c r="T149" s="58">
        <f t="shared" si="38"/>
        <v>262.12121212121218</v>
      </c>
      <c r="U149" s="60">
        <f t="shared" si="39"/>
        <v>1.2290372670807457</v>
      </c>
      <c r="V149" s="60">
        <f t="shared" si="40"/>
        <v>0.93183229813664625</v>
      </c>
      <c r="W149" s="60">
        <f t="shared" si="41"/>
        <v>0.5372670807453418</v>
      </c>
      <c r="X149" s="61" t="s">
        <v>147</v>
      </c>
      <c r="Y149" s="1"/>
      <c r="Z149" s="1"/>
    </row>
    <row r="150" spans="1:26" ht="15.75" customHeight="1">
      <c r="A150" s="54"/>
      <c r="B150" s="162"/>
      <c r="C150" s="33"/>
      <c r="D150" s="55" t="s">
        <v>438</v>
      </c>
      <c r="E150" s="55" t="s">
        <v>68</v>
      </c>
      <c r="F150" s="56" t="s">
        <v>1055</v>
      </c>
      <c r="G150" s="57" t="s">
        <v>1244</v>
      </c>
      <c r="H150" s="58">
        <v>23000</v>
      </c>
      <c r="I150" s="58">
        <f t="shared" si="28"/>
        <v>16099.999999999998</v>
      </c>
      <c r="J150" s="58">
        <f t="shared" si="29"/>
        <v>487.87878787878782</v>
      </c>
      <c r="K150" s="58">
        <v>1500</v>
      </c>
      <c r="L150" s="59">
        <f t="shared" si="30"/>
        <v>1450</v>
      </c>
      <c r="M150" s="58">
        <f t="shared" si="31"/>
        <v>1087.5</v>
      </c>
      <c r="N150" s="58">
        <f t="shared" si="32"/>
        <v>942.5</v>
      </c>
      <c r="O150" s="58">
        <f t="shared" si="33"/>
        <v>750</v>
      </c>
      <c r="P150" s="58">
        <f t="shared" si="34"/>
        <v>962.12121212121224</v>
      </c>
      <c r="Q150" s="60">
        <f t="shared" si="35"/>
        <v>1.9720496894409942</v>
      </c>
      <c r="R150" s="58">
        <f t="shared" si="36"/>
        <v>599.62121212121224</v>
      </c>
      <c r="S150" s="58">
        <f t="shared" si="37"/>
        <v>454.62121212121218</v>
      </c>
      <c r="T150" s="58">
        <f t="shared" si="38"/>
        <v>262.12121212121218</v>
      </c>
      <c r="U150" s="60">
        <f t="shared" si="39"/>
        <v>1.2290372670807457</v>
      </c>
      <c r="V150" s="60">
        <f t="shared" si="40"/>
        <v>0.93183229813664625</v>
      </c>
      <c r="W150" s="60">
        <f t="shared" si="41"/>
        <v>0.5372670807453418</v>
      </c>
      <c r="X150" s="61" t="s">
        <v>147</v>
      </c>
      <c r="Y150" s="1"/>
      <c r="Z150" s="1"/>
    </row>
    <row r="151" spans="1:26" ht="15.75" customHeight="1">
      <c r="A151" s="54"/>
      <c r="B151" s="162"/>
      <c r="C151" s="33"/>
      <c r="D151" s="55" t="s">
        <v>438</v>
      </c>
      <c r="E151" s="55" t="s">
        <v>1245</v>
      </c>
      <c r="F151" s="56" t="s">
        <v>1055</v>
      </c>
      <c r="G151" s="57" t="s">
        <v>1246</v>
      </c>
      <c r="H151" s="58">
        <v>25000</v>
      </c>
      <c r="I151" s="58">
        <f t="shared" si="28"/>
        <v>17500</v>
      </c>
      <c r="J151" s="58">
        <f t="shared" si="29"/>
        <v>530.30303030303025</v>
      </c>
      <c r="K151" s="58">
        <v>1500</v>
      </c>
      <c r="L151" s="59">
        <f t="shared" si="30"/>
        <v>1450</v>
      </c>
      <c r="M151" s="58">
        <f t="shared" si="31"/>
        <v>1087.5</v>
      </c>
      <c r="N151" s="58">
        <f t="shared" si="32"/>
        <v>942.5</v>
      </c>
      <c r="O151" s="58">
        <f t="shared" si="33"/>
        <v>750</v>
      </c>
      <c r="P151" s="58">
        <f t="shared" si="34"/>
        <v>919.69696969696975</v>
      </c>
      <c r="Q151" s="60">
        <f t="shared" si="35"/>
        <v>1.7342857142857144</v>
      </c>
      <c r="R151" s="58">
        <f t="shared" si="36"/>
        <v>557.19696969696975</v>
      </c>
      <c r="S151" s="58">
        <f t="shared" si="37"/>
        <v>412.19696969696975</v>
      </c>
      <c r="T151" s="58">
        <f t="shared" si="38"/>
        <v>219.69696969696975</v>
      </c>
      <c r="U151" s="60">
        <f t="shared" si="39"/>
        <v>1.0507142857142859</v>
      </c>
      <c r="V151" s="60">
        <f t="shared" si="40"/>
        <v>0.77728571428571447</v>
      </c>
      <c r="W151" s="60">
        <f t="shared" si="41"/>
        <v>0.41428571428571442</v>
      </c>
      <c r="X151" s="61" t="s">
        <v>147</v>
      </c>
      <c r="Y151" s="1"/>
      <c r="Z151" s="1"/>
    </row>
    <row r="152" spans="1:26" ht="15.75" customHeight="1">
      <c r="A152" s="54"/>
      <c r="B152" s="162"/>
      <c r="C152" s="33"/>
      <c r="D152" s="55" t="s">
        <v>438</v>
      </c>
      <c r="E152" s="55" t="s">
        <v>1247</v>
      </c>
      <c r="F152" s="56" t="s">
        <v>1055</v>
      </c>
      <c r="G152" s="57" t="s">
        <v>1248</v>
      </c>
      <c r="H152" s="58">
        <v>25000</v>
      </c>
      <c r="I152" s="58">
        <f t="shared" si="28"/>
        <v>17500</v>
      </c>
      <c r="J152" s="58">
        <f t="shared" si="29"/>
        <v>530.30303030303025</v>
      </c>
      <c r="K152" s="58">
        <v>1500</v>
      </c>
      <c r="L152" s="59">
        <f t="shared" si="30"/>
        <v>1450</v>
      </c>
      <c r="M152" s="58">
        <f t="shared" si="31"/>
        <v>1087.5</v>
      </c>
      <c r="N152" s="58">
        <f t="shared" si="32"/>
        <v>942.5</v>
      </c>
      <c r="O152" s="58">
        <f t="shared" si="33"/>
        <v>750</v>
      </c>
      <c r="P152" s="58">
        <f t="shared" si="34"/>
        <v>919.69696969696975</v>
      </c>
      <c r="Q152" s="60">
        <f t="shared" si="35"/>
        <v>1.7342857142857144</v>
      </c>
      <c r="R152" s="58">
        <f t="shared" si="36"/>
        <v>557.19696969696975</v>
      </c>
      <c r="S152" s="58">
        <f t="shared" si="37"/>
        <v>412.19696969696975</v>
      </c>
      <c r="T152" s="58">
        <f t="shared" si="38"/>
        <v>219.69696969696975</v>
      </c>
      <c r="U152" s="60">
        <f t="shared" si="39"/>
        <v>1.0507142857142859</v>
      </c>
      <c r="V152" s="60">
        <f t="shared" si="40"/>
        <v>0.77728571428571447</v>
      </c>
      <c r="W152" s="60">
        <f t="shared" si="41"/>
        <v>0.41428571428571442</v>
      </c>
      <c r="X152" s="61" t="s">
        <v>147</v>
      </c>
      <c r="Y152" s="1"/>
      <c r="Z152" s="1"/>
    </row>
    <row r="153" spans="1:26" ht="15.75" customHeight="1">
      <c r="A153" s="54"/>
      <c r="B153" s="162"/>
      <c r="C153" s="33"/>
      <c r="D153" s="55" t="s">
        <v>1249</v>
      </c>
      <c r="E153" s="55" t="s">
        <v>68</v>
      </c>
      <c r="F153" s="56" t="s">
        <v>1014</v>
      </c>
      <c r="G153" s="57" t="s">
        <v>1250</v>
      </c>
      <c r="H153" s="58">
        <v>18000</v>
      </c>
      <c r="I153" s="58">
        <f t="shared" si="28"/>
        <v>12600</v>
      </c>
      <c r="J153" s="58">
        <f t="shared" si="29"/>
        <v>381.81818181818181</v>
      </c>
      <c r="K153" s="58">
        <v>1500</v>
      </c>
      <c r="L153" s="59">
        <f t="shared" si="30"/>
        <v>1450</v>
      </c>
      <c r="M153" s="58">
        <f t="shared" si="31"/>
        <v>1087.5</v>
      </c>
      <c r="N153" s="58">
        <f t="shared" si="32"/>
        <v>942.5</v>
      </c>
      <c r="O153" s="58">
        <f t="shared" si="33"/>
        <v>750</v>
      </c>
      <c r="P153" s="58">
        <f t="shared" si="34"/>
        <v>1068.1818181818182</v>
      </c>
      <c r="Q153" s="60">
        <f t="shared" si="35"/>
        <v>2.7976190476190479</v>
      </c>
      <c r="R153" s="58">
        <f t="shared" si="36"/>
        <v>705.68181818181824</v>
      </c>
      <c r="S153" s="58">
        <f t="shared" si="37"/>
        <v>560.68181818181824</v>
      </c>
      <c r="T153" s="58">
        <f t="shared" si="38"/>
        <v>368.18181818181819</v>
      </c>
      <c r="U153" s="60">
        <f t="shared" si="39"/>
        <v>1.8482142857142858</v>
      </c>
      <c r="V153" s="60">
        <f t="shared" si="40"/>
        <v>1.4684523809523811</v>
      </c>
      <c r="W153" s="60">
        <f t="shared" si="41"/>
        <v>0.9642857142857143</v>
      </c>
      <c r="X153" s="61" t="s">
        <v>23</v>
      </c>
      <c r="Y153" s="1"/>
      <c r="Z153" s="1"/>
    </row>
    <row r="154" spans="1:26" ht="15.75" customHeight="1">
      <c r="A154" s="54"/>
      <c r="B154" s="162"/>
      <c r="C154" s="33"/>
      <c r="D154" s="55" t="s">
        <v>1251</v>
      </c>
      <c r="E154" s="55" t="s">
        <v>68</v>
      </c>
      <c r="F154" s="56" t="s">
        <v>1014</v>
      </c>
      <c r="G154" s="57" t="s">
        <v>1252</v>
      </c>
      <c r="H154" s="58">
        <v>18000</v>
      </c>
      <c r="I154" s="58">
        <f t="shared" si="28"/>
        <v>12600</v>
      </c>
      <c r="J154" s="58">
        <f t="shared" si="29"/>
        <v>381.81818181818181</v>
      </c>
      <c r="K154" s="58">
        <v>1500</v>
      </c>
      <c r="L154" s="59">
        <f t="shared" si="30"/>
        <v>1450</v>
      </c>
      <c r="M154" s="58">
        <f t="shared" si="31"/>
        <v>1087.5</v>
      </c>
      <c r="N154" s="58">
        <f t="shared" si="32"/>
        <v>942.5</v>
      </c>
      <c r="O154" s="58">
        <f t="shared" si="33"/>
        <v>750</v>
      </c>
      <c r="P154" s="58">
        <f t="shared" si="34"/>
        <v>1068.1818181818182</v>
      </c>
      <c r="Q154" s="60">
        <f t="shared" si="35"/>
        <v>2.7976190476190479</v>
      </c>
      <c r="R154" s="58">
        <f t="shared" si="36"/>
        <v>705.68181818181824</v>
      </c>
      <c r="S154" s="58">
        <f t="shared" si="37"/>
        <v>560.68181818181824</v>
      </c>
      <c r="T154" s="58">
        <f t="shared" si="38"/>
        <v>368.18181818181819</v>
      </c>
      <c r="U154" s="60">
        <f t="shared" si="39"/>
        <v>1.8482142857142858</v>
      </c>
      <c r="V154" s="60">
        <f t="shared" si="40"/>
        <v>1.4684523809523811</v>
      </c>
      <c r="W154" s="60">
        <f t="shared" si="41"/>
        <v>0.9642857142857143</v>
      </c>
      <c r="X154" s="61"/>
      <c r="Y154" s="1"/>
      <c r="Z154" s="1"/>
    </row>
    <row r="155" spans="1:26" ht="15.75" customHeight="1">
      <c r="A155" s="54"/>
      <c r="B155" s="162"/>
      <c r="C155" s="33"/>
      <c r="D155" s="55" t="s">
        <v>1253</v>
      </c>
      <c r="E155" s="55" t="s">
        <v>607</v>
      </c>
      <c r="F155" s="56" t="s">
        <v>1014</v>
      </c>
      <c r="G155" s="57" t="s">
        <v>1254</v>
      </c>
      <c r="H155" s="58">
        <v>18000</v>
      </c>
      <c r="I155" s="58">
        <f t="shared" si="28"/>
        <v>12600</v>
      </c>
      <c r="J155" s="58">
        <f t="shared" si="29"/>
        <v>381.81818181818181</v>
      </c>
      <c r="K155" s="58">
        <v>1300</v>
      </c>
      <c r="L155" s="59">
        <f t="shared" si="30"/>
        <v>1250</v>
      </c>
      <c r="M155" s="58">
        <f t="shared" si="31"/>
        <v>937.5</v>
      </c>
      <c r="N155" s="58">
        <f t="shared" si="32"/>
        <v>812.5</v>
      </c>
      <c r="O155" s="58">
        <f t="shared" si="33"/>
        <v>650</v>
      </c>
      <c r="P155" s="58">
        <f t="shared" si="34"/>
        <v>868.18181818181824</v>
      </c>
      <c r="Q155" s="60">
        <f t="shared" si="35"/>
        <v>2.2738095238095242</v>
      </c>
      <c r="R155" s="58">
        <f t="shared" si="36"/>
        <v>555.68181818181824</v>
      </c>
      <c r="S155" s="58">
        <f t="shared" si="37"/>
        <v>430.68181818181819</v>
      </c>
      <c r="T155" s="58">
        <f t="shared" si="38"/>
        <v>268.18181818181819</v>
      </c>
      <c r="U155" s="60">
        <f t="shared" si="39"/>
        <v>1.455357142857143</v>
      </c>
      <c r="V155" s="60">
        <f t="shared" si="40"/>
        <v>1.1279761904761905</v>
      </c>
      <c r="W155" s="60">
        <f t="shared" si="41"/>
        <v>0.70238095238095244</v>
      </c>
      <c r="X155" s="61" t="s">
        <v>150</v>
      </c>
      <c r="Y155" s="1"/>
      <c r="Z155" s="1"/>
    </row>
    <row r="156" spans="1:26" ht="15.75" customHeight="1">
      <c r="A156" s="54"/>
      <c r="B156" s="162"/>
      <c r="C156" s="33"/>
      <c r="D156" s="55" t="s">
        <v>1253</v>
      </c>
      <c r="E156" s="55" t="s">
        <v>68</v>
      </c>
      <c r="F156" s="56" t="s">
        <v>1014</v>
      </c>
      <c r="G156" s="57" t="s">
        <v>1255</v>
      </c>
      <c r="H156" s="58">
        <v>22000</v>
      </c>
      <c r="I156" s="58">
        <f t="shared" si="28"/>
        <v>15399.999999999998</v>
      </c>
      <c r="J156" s="58">
        <f t="shared" si="29"/>
        <v>466.66666666666663</v>
      </c>
      <c r="K156" s="58">
        <v>1500</v>
      </c>
      <c r="L156" s="59">
        <f t="shared" si="30"/>
        <v>1450</v>
      </c>
      <c r="M156" s="58">
        <f t="shared" si="31"/>
        <v>1087.5</v>
      </c>
      <c r="N156" s="58">
        <f t="shared" si="32"/>
        <v>942.5</v>
      </c>
      <c r="O156" s="58">
        <f t="shared" si="33"/>
        <v>750</v>
      </c>
      <c r="P156" s="58">
        <f t="shared" si="34"/>
        <v>983.33333333333337</v>
      </c>
      <c r="Q156" s="60">
        <f t="shared" si="35"/>
        <v>2.1071428571428572</v>
      </c>
      <c r="R156" s="58">
        <f t="shared" si="36"/>
        <v>620.83333333333337</v>
      </c>
      <c r="S156" s="58">
        <f t="shared" si="37"/>
        <v>475.83333333333337</v>
      </c>
      <c r="T156" s="58">
        <f t="shared" si="38"/>
        <v>283.33333333333337</v>
      </c>
      <c r="U156" s="60">
        <f t="shared" si="39"/>
        <v>1.330357142857143</v>
      </c>
      <c r="V156" s="60">
        <f t="shared" si="40"/>
        <v>1.0196428571428573</v>
      </c>
      <c r="W156" s="60">
        <f t="shared" si="41"/>
        <v>0.60714285714285732</v>
      </c>
      <c r="X156" s="61" t="s">
        <v>150</v>
      </c>
      <c r="Y156" s="1"/>
      <c r="Z156" s="1"/>
    </row>
    <row r="157" spans="1:26" ht="15.75" customHeight="1">
      <c r="A157" s="54"/>
      <c r="B157" s="162"/>
      <c r="C157" s="33"/>
      <c r="D157" s="55" t="s">
        <v>1256</v>
      </c>
      <c r="E157" s="55" t="s">
        <v>607</v>
      </c>
      <c r="F157" s="56" t="s">
        <v>1055</v>
      </c>
      <c r="G157" s="57" t="s">
        <v>1257</v>
      </c>
      <c r="H157" s="58">
        <v>18000</v>
      </c>
      <c r="I157" s="58">
        <f t="shared" si="28"/>
        <v>12600</v>
      </c>
      <c r="J157" s="58">
        <f t="shared" si="29"/>
        <v>381.81818181818181</v>
      </c>
      <c r="K157" s="58">
        <v>1300</v>
      </c>
      <c r="L157" s="59">
        <f t="shared" si="30"/>
        <v>1250</v>
      </c>
      <c r="M157" s="58">
        <f t="shared" si="31"/>
        <v>937.5</v>
      </c>
      <c r="N157" s="58">
        <f t="shared" si="32"/>
        <v>812.5</v>
      </c>
      <c r="O157" s="58">
        <f t="shared" si="33"/>
        <v>650</v>
      </c>
      <c r="P157" s="58">
        <f t="shared" si="34"/>
        <v>868.18181818181824</v>
      </c>
      <c r="Q157" s="60">
        <f t="shared" si="35"/>
        <v>2.2738095238095242</v>
      </c>
      <c r="R157" s="58">
        <f t="shared" si="36"/>
        <v>555.68181818181824</v>
      </c>
      <c r="S157" s="58">
        <f t="shared" si="37"/>
        <v>430.68181818181819</v>
      </c>
      <c r="T157" s="58">
        <f t="shared" si="38"/>
        <v>268.18181818181819</v>
      </c>
      <c r="U157" s="60">
        <f t="shared" si="39"/>
        <v>1.455357142857143</v>
      </c>
      <c r="V157" s="60">
        <f t="shared" si="40"/>
        <v>1.1279761904761905</v>
      </c>
      <c r="W157" s="60">
        <f t="shared" si="41"/>
        <v>0.70238095238095244</v>
      </c>
      <c r="X157" s="61" t="s">
        <v>47</v>
      </c>
      <c r="Y157" s="1"/>
      <c r="Z157" s="1"/>
    </row>
    <row r="158" spans="1:26" ht="15.75" customHeight="1">
      <c r="A158" s="54"/>
      <c r="B158" s="162"/>
      <c r="C158" s="33"/>
      <c r="D158" s="55" t="s">
        <v>1258</v>
      </c>
      <c r="E158" s="55" t="s">
        <v>607</v>
      </c>
      <c r="F158" s="56" t="s">
        <v>1055</v>
      </c>
      <c r="G158" s="57" t="s">
        <v>1259</v>
      </c>
      <c r="H158" s="58">
        <v>18000</v>
      </c>
      <c r="I158" s="58">
        <f t="shared" si="28"/>
        <v>12600</v>
      </c>
      <c r="J158" s="58">
        <f t="shared" si="29"/>
        <v>381.81818181818181</v>
      </c>
      <c r="K158" s="58">
        <v>1300</v>
      </c>
      <c r="L158" s="59">
        <f t="shared" si="30"/>
        <v>1250</v>
      </c>
      <c r="M158" s="58">
        <f t="shared" si="31"/>
        <v>937.5</v>
      </c>
      <c r="N158" s="58">
        <f t="shared" si="32"/>
        <v>812.5</v>
      </c>
      <c r="O158" s="58">
        <f t="shared" si="33"/>
        <v>650</v>
      </c>
      <c r="P158" s="58">
        <f t="shared" si="34"/>
        <v>868.18181818181824</v>
      </c>
      <c r="Q158" s="60">
        <f t="shared" si="35"/>
        <v>2.2738095238095242</v>
      </c>
      <c r="R158" s="58">
        <f t="shared" si="36"/>
        <v>555.68181818181824</v>
      </c>
      <c r="S158" s="58">
        <f t="shared" si="37"/>
        <v>430.68181818181819</v>
      </c>
      <c r="T158" s="58">
        <f t="shared" si="38"/>
        <v>268.18181818181819</v>
      </c>
      <c r="U158" s="60">
        <f t="shared" si="39"/>
        <v>1.455357142857143</v>
      </c>
      <c r="V158" s="60">
        <f t="shared" si="40"/>
        <v>1.1279761904761905</v>
      </c>
      <c r="W158" s="60">
        <f t="shared" si="41"/>
        <v>0.70238095238095244</v>
      </c>
      <c r="X158" s="61"/>
      <c r="Y158" s="1"/>
      <c r="Z158" s="1"/>
    </row>
    <row r="159" spans="1:26" ht="15.75" customHeight="1">
      <c r="A159" s="54"/>
      <c r="B159" s="162"/>
      <c r="C159" s="33"/>
      <c r="D159" s="55" t="s">
        <v>1260</v>
      </c>
      <c r="E159" s="55" t="s">
        <v>607</v>
      </c>
      <c r="F159" s="56" t="s">
        <v>1055</v>
      </c>
      <c r="G159" s="57" t="s">
        <v>1261</v>
      </c>
      <c r="H159" s="58">
        <v>20000</v>
      </c>
      <c r="I159" s="58">
        <f t="shared" si="28"/>
        <v>14000</v>
      </c>
      <c r="J159" s="58">
        <f t="shared" si="29"/>
        <v>424.24242424242425</v>
      </c>
      <c r="K159" s="58">
        <v>1300</v>
      </c>
      <c r="L159" s="59">
        <f t="shared" si="30"/>
        <v>1250</v>
      </c>
      <c r="M159" s="58">
        <f t="shared" si="31"/>
        <v>937.5</v>
      </c>
      <c r="N159" s="58">
        <f t="shared" si="32"/>
        <v>812.5</v>
      </c>
      <c r="O159" s="58">
        <f t="shared" si="33"/>
        <v>650</v>
      </c>
      <c r="P159" s="58">
        <f t="shared" si="34"/>
        <v>825.75757575757575</v>
      </c>
      <c r="Q159" s="60">
        <f t="shared" si="35"/>
        <v>1.9464285714285714</v>
      </c>
      <c r="R159" s="58">
        <f t="shared" si="36"/>
        <v>513.25757575757575</v>
      </c>
      <c r="S159" s="58">
        <f t="shared" si="37"/>
        <v>388.25757575757575</v>
      </c>
      <c r="T159" s="58">
        <f t="shared" si="38"/>
        <v>225.75757575757575</v>
      </c>
      <c r="U159" s="60">
        <f t="shared" si="39"/>
        <v>1.2098214285714286</v>
      </c>
      <c r="V159" s="60">
        <f t="shared" si="40"/>
        <v>0.9151785714285714</v>
      </c>
      <c r="W159" s="60">
        <f t="shared" si="41"/>
        <v>0.53214285714285714</v>
      </c>
      <c r="X159" s="61"/>
      <c r="Y159" s="1"/>
      <c r="Z159" s="1"/>
    </row>
    <row r="160" spans="1:26" ht="15.75" customHeight="1">
      <c r="A160" s="54"/>
      <c r="B160" s="161"/>
      <c r="C160" s="69"/>
      <c r="D160" s="55" t="s">
        <v>1262</v>
      </c>
      <c r="E160" s="55" t="s">
        <v>607</v>
      </c>
      <c r="F160" s="56" t="s">
        <v>1055</v>
      </c>
      <c r="G160" s="57" t="s">
        <v>1263</v>
      </c>
      <c r="H160" s="58">
        <v>22000</v>
      </c>
      <c r="I160" s="58">
        <f t="shared" si="28"/>
        <v>15399.999999999998</v>
      </c>
      <c r="J160" s="58">
        <f t="shared" si="29"/>
        <v>466.66666666666663</v>
      </c>
      <c r="K160" s="58">
        <v>1500</v>
      </c>
      <c r="L160" s="59">
        <f t="shared" si="30"/>
        <v>1450</v>
      </c>
      <c r="M160" s="58">
        <f t="shared" si="31"/>
        <v>1087.5</v>
      </c>
      <c r="N160" s="58">
        <f t="shared" si="32"/>
        <v>942.5</v>
      </c>
      <c r="O160" s="58">
        <f t="shared" si="33"/>
        <v>750</v>
      </c>
      <c r="P160" s="58">
        <f t="shared" si="34"/>
        <v>983.33333333333337</v>
      </c>
      <c r="Q160" s="60">
        <f t="shared" si="35"/>
        <v>2.1071428571428572</v>
      </c>
      <c r="R160" s="58">
        <f t="shared" si="36"/>
        <v>620.83333333333337</v>
      </c>
      <c r="S160" s="58">
        <f t="shared" si="37"/>
        <v>475.83333333333337</v>
      </c>
      <c r="T160" s="58">
        <f t="shared" si="38"/>
        <v>283.33333333333337</v>
      </c>
      <c r="U160" s="60">
        <f t="shared" si="39"/>
        <v>1.330357142857143</v>
      </c>
      <c r="V160" s="60">
        <f t="shared" si="40"/>
        <v>1.0196428571428573</v>
      </c>
      <c r="W160" s="60">
        <f t="shared" si="41"/>
        <v>0.60714285714285732</v>
      </c>
      <c r="X160" s="61" t="s">
        <v>153</v>
      </c>
      <c r="Y160" s="1"/>
      <c r="Z160" s="1"/>
    </row>
    <row r="161" spans="1:26" ht="15.75" customHeight="1">
      <c r="A161" s="54"/>
      <c r="B161" s="160" t="s">
        <v>328</v>
      </c>
      <c r="C161" s="33"/>
      <c r="D161" s="55" t="s">
        <v>1264</v>
      </c>
      <c r="E161" s="55" t="s">
        <v>607</v>
      </c>
      <c r="F161" s="56" t="s">
        <v>1007</v>
      </c>
      <c r="G161" s="57" t="s">
        <v>1265</v>
      </c>
      <c r="H161" s="58">
        <v>12000</v>
      </c>
      <c r="I161" s="58">
        <f t="shared" si="28"/>
        <v>8400</v>
      </c>
      <c r="J161" s="58">
        <f t="shared" si="29"/>
        <v>254.54545454545453</v>
      </c>
      <c r="K161" s="58">
        <v>1300</v>
      </c>
      <c r="L161" s="59">
        <f t="shared" si="30"/>
        <v>1250</v>
      </c>
      <c r="M161" s="58">
        <f t="shared" si="31"/>
        <v>937.5</v>
      </c>
      <c r="N161" s="58">
        <f t="shared" si="32"/>
        <v>812.5</v>
      </c>
      <c r="O161" s="58">
        <f t="shared" si="33"/>
        <v>650</v>
      </c>
      <c r="P161" s="58">
        <f t="shared" si="34"/>
        <v>995.4545454545455</v>
      </c>
      <c r="Q161" s="60">
        <f t="shared" si="35"/>
        <v>3.910714285714286</v>
      </c>
      <c r="R161" s="58">
        <f t="shared" si="36"/>
        <v>682.9545454545455</v>
      </c>
      <c r="S161" s="58">
        <f t="shared" si="37"/>
        <v>557.9545454545455</v>
      </c>
      <c r="T161" s="58">
        <f t="shared" si="38"/>
        <v>395.4545454545455</v>
      </c>
      <c r="U161" s="60">
        <f t="shared" si="39"/>
        <v>2.6830357142857144</v>
      </c>
      <c r="V161" s="60">
        <f t="shared" si="40"/>
        <v>2.191964285714286</v>
      </c>
      <c r="W161" s="60">
        <f t="shared" si="41"/>
        <v>1.5535714285714288</v>
      </c>
      <c r="X161" s="61"/>
      <c r="Y161" s="1"/>
      <c r="Z161" s="1"/>
    </row>
    <row r="162" spans="1:26" ht="15.75" customHeight="1">
      <c r="A162" s="54"/>
      <c r="B162" s="162"/>
      <c r="C162" s="33"/>
      <c r="D162" s="55" t="s">
        <v>1266</v>
      </c>
      <c r="E162" s="55" t="s">
        <v>607</v>
      </c>
      <c r="F162" s="56" t="s">
        <v>1014</v>
      </c>
      <c r="G162" s="57" t="s">
        <v>1267</v>
      </c>
      <c r="H162" s="58">
        <v>18000</v>
      </c>
      <c r="I162" s="58">
        <f t="shared" si="28"/>
        <v>12600</v>
      </c>
      <c r="J162" s="58">
        <f t="shared" si="29"/>
        <v>381.81818181818181</v>
      </c>
      <c r="K162" s="58">
        <v>1300</v>
      </c>
      <c r="L162" s="59">
        <f t="shared" si="30"/>
        <v>1250</v>
      </c>
      <c r="M162" s="58">
        <f t="shared" si="31"/>
        <v>937.5</v>
      </c>
      <c r="N162" s="58">
        <f t="shared" si="32"/>
        <v>812.5</v>
      </c>
      <c r="O162" s="58">
        <f t="shared" si="33"/>
        <v>650</v>
      </c>
      <c r="P162" s="58">
        <f t="shared" si="34"/>
        <v>868.18181818181824</v>
      </c>
      <c r="Q162" s="60">
        <f t="shared" si="35"/>
        <v>2.2738095238095242</v>
      </c>
      <c r="R162" s="58">
        <f t="shared" si="36"/>
        <v>555.68181818181824</v>
      </c>
      <c r="S162" s="58">
        <f t="shared" si="37"/>
        <v>430.68181818181819</v>
      </c>
      <c r="T162" s="58">
        <f t="shared" si="38"/>
        <v>268.18181818181819</v>
      </c>
      <c r="U162" s="60">
        <f t="shared" si="39"/>
        <v>1.455357142857143</v>
      </c>
      <c r="V162" s="60">
        <f t="shared" si="40"/>
        <v>1.1279761904761905</v>
      </c>
      <c r="W162" s="60">
        <f t="shared" si="41"/>
        <v>0.70238095238095244</v>
      </c>
      <c r="X162" s="61" t="s">
        <v>155</v>
      </c>
      <c r="Y162" s="1"/>
      <c r="Z162" s="1"/>
    </row>
    <row r="163" spans="1:26" ht="15.75" customHeight="1">
      <c r="A163" s="54"/>
      <c r="B163" s="162"/>
      <c r="C163" s="33"/>
      <c r="D163" s="55" t="s">
        <v>1266</v>
      </c>
      <c r="E163" s="55" t="s">
        <v>68</v>
      </c>
      <c r="F163" s="56" t="s">
        <v>1014</v>
      </c>
      <c r="G163" s="57" t="s">
        <v>1268</v>
      </c>
      <c r="H163" s="58">
        <v>20000</v>
      </c>
      <c r="I163" s="58">
        <f t="shared" si="28"/>
        <v>14000</v>
      </c>
      <c r="J163" s="58">
        <f t="shared" si="29"/>
        <v>424.24242424242425</v>
      </c>
      <c r="K163" s="58">
        <v>1500</v>
      </c>
      <c r="L163" s="59">
        <f t="shared" si="30"/>
        <v>1450</v>
      </c>
      <c r="M163" s="58">
        <f t="shared" si="31"/>
        <v>1087.5</v>
      </c>
      <c r="N163" s="58">
        <f t="shared" si="32"/>
        <v>942.5</v>
      </c>
      <c r="O163" s="58">
        <f t="shared" si="33"/>
        <v>750</v>
      </c>
      <c r="P163" s="58">
        <f t="shared" si="34"/>
        <v>1025.7575757575758</v>
      </c>
      <c r="Q163" s="60">
        <f t="shared" si="35"/>
        <v>2.4178571428571427</v>
      </c>
      <c r="R163" s="58">
        <f t="shared" si="36"/>
        <v>663.25757575757575</v>
      </c>
      <c r="S163" s="58">
        <f t="shared" si="37"/>
        <v>518.25757575757575</v>
      </c>
      <c r="T163" s="58">
        <f t="shared" si="38"/>
        <v>325.75757575757575</v>
      </c>
      <c r="U163" s="60">
        <f t="shared" si="39"/>
        <v>1.563392857142857</v>
      </c>
      <c r="V163" s="60">
        <f t="shared" si="40"/>
        <v>1.2216071428571429</v>
      </c>
      <c r="W163" s="60">
        <f t="shared" si="41"/>
        <v>0.76785714285714279</v>
      </c>
      <c r="X163" s="61" t="s">
        <v>155</v>
      </c>
      <c r="Y163" s="1"/>
      <c r="Z163" s="1"/>
    </row>
    <row r="164" spans="1:26" ht="15.75" customHeight="1">
      <c r="A164" s="54"/>
      <c r="B164" s="162"/>
      <c r="C164" s="33"/>
      <c r="D164" s="55" t="s">
        <v>1269</v>
      </c>
      <c r="E164" s="55" t="s">
        <v>607</v>
      </c>
      <c r="F164" s="56" t="s">
        <v>1014</v>
      </c>
      <c r="G164" s="57" t="s">
        <v>1270</v>
      </c>
      <c r="H164" s="58">
        <v>19000</v>
      </c>
      <c r="I164" s="58">
        <f t="shared" si="28"/>
        <v>13300</v>
      </c>
      <c r="J164" s="58">
        <f t="shared" si="29"/>
        <v>403.030303030303</v>
      </c>
      <c r="K164" s="58">
        <v>1500</v>
      </c>
      <c r="L164" s="59">
        <f t="shared" si="30"/>
        <v>1450</v>
      </c>
      <c r="M164" s="58">
        <f t="shared" si="31"/>
        <v>1087.5</v>
      </c>
      <c r="N164" s="58">
        <f t="shared" si="32"/>
        <v>942.5</v>
      </c>
      <c r="O164" s="58">
        <f t="shared" si="33"/>
        <v>750</v>
      </c>
      <c r="P164" s="58">
        <f t="shared" si="34"/>
        <v>1046.969696969697</v>
      </c>
      <c r="Q164" s="60">
        <f t="shared" si="35"/>
        <v>2.5977443609022557</v>
      </c>
      <c r="R164" s="58">
        <f t="shared" si="36"/>
        <v>684.469696969697</v>
      </c>
      <c r="S164" s="58">
        <f t="shared" si="37"/>
        <v>539.469696969697</v>
      </c>
      <c r="T164" s="58">
        <f t="shared" si="38"/>
        <v>346.969696969697</v>
      </c>
      <c r="U164" s="60">
        <f t="shared" si="39"/>
        <v>1.6983082706766919</v>
      </c>
      <c r="V164" s="60">
        <f t="shared" si="40"/>
        <v>1.3385338345864664</v>
      </c>
      <c r="W164" s="60">
        <f t="shared" si="41"/>
        <v>0.86090225563909784</v>
      </c>
      <c r="X164" s="61" t="s">
        <v>157</v>
      </c>
      <c r="Y164" s="1"/>
      <c r="Z164" s="1"/>
    </row>
    <row r="165" spans="1:26" ht="15.75" customHeight="1">
      <c r="A165" s="54"/>
      <c r="B165" s="162"/>
      <c r="C165" s="33"/>
      <c r="D165" s="55" t="s">
        <v>1269</v>
      </c>
      <c r="E165" s="55" t="s">
        <v>68</v>
      </c>
      <c r="F165" s="56" t="s">
        <v>1014</v>
      </c>
      <c r="G165" s="57" t="s">
        <v>1271</v>
      </c>
      <c r="H165" s="58">
        <v>21000</v>
      </c>
      <c r="I165" s="58">
        <f t="shared" si="28"/>
        <v>14699.999999999998</v>
      </c>
      <c r="J165" s="58">
        <f t="shared" si="29"/>
        <v>445.45454545454538</v>
      </c>
      <c r="K165" s="58">
        <v>1500</v>
      </c>
      <c r="L165" s="59">
        <f t="shared" si="30"/>
        <v>1450</v>
      </c>
      <c r="M165" s="58">
        <f t="shared" si="31"/>
        <v>1087.5</v>
      </c>
      <c r="N165" s="58">
        <f t="shared" si="32"/>
        <v>942.5</v>
      </c>
      <c r="O165" s="58">
        <f t="shared" si="33"/>
        <v>750</v>
      </c>
      <c r="P165" s="58">
        <f t="shared" si="34"/>
        <v>1004.5454545454546</v>
      </c>
      <c r="Q165" s="60">
        <f t="shared" si="35"/>
        <v>2.2551020408163271</v>
      </c>
      <c r="R165" s="58">
        <f t="shared" si="36"/>
        <v>642.04545454545462</v>
      </c>
      <c r="S165" s="58">
        <f t="shared" si="37"/>
        <v>497.04545454545462</v>
      </c>
      <c r="T165" s="58">
        <f t="shared" si="38"/>
        <v>304.54545454545462</v>
      </c>
      <c r="U165" s="60">
        <f t="shared" si="39"/>
        <v>1.4413265306122454</v>
      </c>
      <c r="V165" s="60">
        <f t="shared" si="40"/>
        <v>1.1158163265306127</v>
      </c>
      <c r="W165" s="60">
        <f t="shared" si="41"/>
        <v>0.68367346938775542</v>
      </c>
      <c r="X165" s="61" t="s">
        <v>157</v>
      </c>
      <c r="Y165" s="1"/>
      <c r="Z165" s="1"/>
    </row>
    <row r="166" spans="1:26" ht="15.75" customHeight="1">
      <c r="A166" s="54"/>
      <c r="B166" s="162"/>
      <c r="C166" s="33"/>
      <c r="D166" s="55" t="s">
        <v>1272</v>
      </c>
      <c r="E166" s="55" t="s">
        <v>382</v>
      </c>
      <c r="F166" s="56" t="s">
        <v>1055</v>
      </c>
      <c r="G166" s="57" t="s">
        <v>1273</v>
      </c>
      <c r="H166" s="58">
        <v>20000</v>
      </c>
      <c r="I166" s="58">
        <f t="shared" si="28"/>
        <v>14000</v>
      </c>
      <c r="J166" s="58">
        <f t="shared" si="29"/>
        <v>424.24242424242425</v>
      </c>
      <c r="K166" s="58">
        <v>1500</v>
      </c>
      <c r="L166" s="59">
        <f t="shared" si="30"/>
        <v>1450</v>
      </c>
      <c r="M166" s="58">
        <f t="shared" si="31"/>
        <v>1087.5</v>
      </c>
      <c r="N166" s="58">
        <f t="shared" si="32"/>
        <v>942.5</v>
      </c>
      <c r="O166" s="58">
        <f t="shared" si="33"/>
        <v>750</v>
      </c>
      <c r="P166" s="58">
        <f t="shared" si="34"/>
        <v>1025.7575757575758</v>
      </c>
      <c r="Q166" s="60">
        <f t="shared" si="35"/>
        <v>2.4178571428571427</v>
      </c>
      <c r="R166" s="58">
        <f t="shared" si="36"/>
        <v>663.25757575757575</v>
      </c>
      <c r="S166" s="58">
        <f t="shared" si="37"/>
        <v>518.25757575757575</v>
      </c>
      <c r="T166" s="58">
        <f t="shared" si="38"/>
        <v>325.75757575757575</v>
      </c>
      <c r="U166" s="60">
        <f t="shared" si="39"/>
        <v>1.563392857142857</v>
      </c>
      <c r="V166" s="60">
        <f t="shared" si="40"/>
        <v>1.2216071428571429</v>
      </c>
      <c r="W166" s="60">
        <f t="shared" si="41"/>
        <v>0.76785714285714279</v>
      </c>
      <c r="X166" s="61"/>
      <c r="Y166" s="1"/>
      <c r="Z166" s="1"/>
    </row>
    <row r="167" spans="1:26" ht="15.75" customHeight="1">
      <c r="A167" s="54"/>
      <c r="B167" s="162"/>
      <c r="C167" s="33"/>
      <c r="D167" s="55" t="s">
        <v>1274</v>
      </c>
      <c r="E167" s="55" t="s">
        <v>68</v>
      </c>
      <c r="F167" s="56" t="s">
        <v>1055</v>
      </c>
      <c r="G167" s="57" t="s">
        <v>1275</v>
      </c>
      <c r="H167" s="58">
        <v>20000</v>
      </c>
      <c r="I167" s="58">
        <f t="shared" si="28"/>
        <v>14000</v>
      </c>
      <c r="J167" s="58">
        <f t="shared" si="29"/>
        <v>424.24242424242425</v>
      </c>
      <c r="K167" s="58">
        <v>1500</v>
      </c>
      <c r="L167" s="59">
        <f t="shared" si="30"/>
        <v>1450</v>
      </c>
      <c r="M167" s="58">
        <f t="shared" si="31"/>
        <v>1087.5</v>
      </c>
      <c r="N167" s="58">
        <f t="shared" si="32"/>
        <v>942.5</v>
      </c>
      <c r="O167" s="58">
        <f t="shared" si="33"/>
        <v>750</v>
      </c>
      <c r="P167" s="58">
        <f t="shared" si="34"/>
        <v>1025.7575757575758</v>
      </c>
      <c r="Q167" s="60">
        <f t="shared" si="35"/>
        <v>2.4178571428571427</v>
      </c>
      <c r="R167" s="58">
        <f t="shared" si="36"/>
        <v>663.25757575757575</v>
      </c>
      <c r="S167" s="58">
        <f t="shared" si="37"/>
        <v>518.25757575757575</v>
      </c>
      <c r="T167" s="58">
        <f t="shared" si="38"/>
        <v>325.75757575757575</v>
      </c>
      <c r="U167" s="60">
        <f t="shared" si="39"/>
        <v>1.563392857142857</v>
      </c>
      <c r="V167" s="60">
        <f t="shared" si="40"/>
        <v>1.2216071428571429</v>
      </c>
      <c r="W167" s="60">
        <f t="shared" si="41"/>
        <v>0.76785714285714279</v>
      </c>
      <c r="X167" s="61" t="s">
        <v>160</v>
      </c>
      <c r="Y167" s="1"/>
      <c r="Z167" s="1"/>
    </row>
    <row r="168" spans="1:26" ht="15.75" customHeight="1">
      <c r="A168" s="54"/>
      <c r="B168" s="162"/>
      <c r="C168" s="33"/>
      <c r="D168" s="55" t="s">
        <v>1274</v>
      </c>
      <c r="E168" s="55" t="s">
        <v>382</v>
      </c>
      <c r="F168" s="56" t="s">
        <v>1055</v>
      </c>
      <c r="G168" s="57" t="s">
        <v>1276</v>
      </c>
      <c r="H168" s="58">
        <v>20000</v>
      </c>
      <c r="I168" s="58">
        <f t="shared" si="28"/>
        <v>14000</v>
      </c>
      <c r="J168" s="58">
        <f t="shared" si="29"/>
        <v>424.24242424242425</v>
      </c>
      <c r="K168" s="58">
        <v>1500</v>
      </c>
      <c r="L168" s="59">
        <f t="shared" si="30"/>
        <v>1450</v>
      </c>
      <c r="M168" s="58">
        <f t="shared" si="31"/>
        <v>1087.5</v>
      </c>
      <c r="N168" s="58">
        <f t="shared" si="32"/>
        <v>942.5</v>
      </c>
      <c r="O168" s="58">
        <f t="shared" si="33"/>
        <v>750</v>
      </c>
      <c r="P168" s="58">
        <f t="shared" si="34"/>
        <v>1025.7575757575758</v>
      </c>
      <c r="Q168" s="60">
        <f t="shared" si="35"/>
        <v>2.4178571428571427</v>
      </c>
      <c r="R168" s="58">
        <f t="shared" si="36"/>
        <v>663.25757575757575</v>
      </c>
      <c r="S168" s="58">
        <f t="shared" si="37"/>
        <v>518.25757575757575</v>
      </c>
      <c r="T168" s="58">
        <f t="shared" si="38"/>
        <v>325.75757575757575</v>
      </c>
      <c r="U168" s="60">
        <f t="shared" si="39"/>
        <v>1.563392857142857</v>
      </c>
      <c r="V168" s="60">
        <f t="shared" si="40"/>
        <v>1.2216071428571429</v>
      </c>
      <c r="W168" s="60">
        <f t="shared" si="41"/>
        <v>0.76785714285714279</v>
      </c>
      <c r="X168" s="61"/>
      <c r="Y168" s="1"/>
      <c r="Z168" s="1"/>
    </row>
    <row r="169" spans="1:26" ht="15.75" customHeight="1">
      <c r="A169" s="54"/>
      <c r="B169" s="162"/>
      <c r="C169" s="33"/>
      <c r="D169" s="55" t="s">
        <v>1274</v>
      </c>
      <c r="E169" s="55" t="s">
        <v>527</v>
      </c>
      <c r="F169" s="56" t="s">
        <v>1055</v>
      </c>
      <c r="G169" s="57" t="s">
        <v>1277</v>
      </c>
      <c r="H169" s="58">
        <v>22000</v>
      </c>
      <c r="I169" s="58">
        <f t="shared" si="28"/>
        <v>15399.999999999998</v>
      </c>
      <c r="J169" s="58">
        <f t="shared" si="29"/>
        <v>466.66666666666663</v>
      </c>
      <c r="K169" s="58">
        <v>3000</v>
      </c>
      <c r="L169" s="59">
        <f t="shared" si="30"/>
        <v>2950</v>
      </c>
      <c r="M169" s="58">
        <f t="shared" si="31"/>
        <v>2212.5</v>
      </c>
      <c r="N169" s="58">
        <f t="shared" si="32"/>
        <v>1917.5</v>
      </c>
      <c r="O169" s="58">
        <f t="shared" si="33"/>
        <v>1500</v>
      </c>
      <c r="P169" s="58">
        <f t="shared" si="34"/>
        <v>2483.3333333333335</v>
      </c>
      <c r="Q169" s="60">
        <f t="shared" si="35"/>
        <v>5.3214285714285721</v>
      </c>
      <c r="R169" s="58">
        <f t="shared" si="36"/>
        <v>1745.8333333333335</v>
      </c>
      <c r="S169" s="58">
        <f t="shared" si="37"/>
        <v>1450.8333333333335</v>
      </c>
      <c r="T169" s="58">
        <f t="shared" si="38"/>
        <v>1033.3333333333335</v>
      </c>
      <c r="U169" s="60">
        <f t="shared" si="39"/>
        <v>3.7410714285714293</v>
      </c>
      <c r="V169" s="60">
        <f t="shared" si="40"/>
        <v>3.1089285714285722</v>
      </c>
      <c r="W169" s="60">
        <f t="shared" si="41"/>
        <v>2.2142857142857149</v>
      </c>
      <c r="X169" s="61" t="s">
        <v>163</v>
      </c>
      <c r="Y169" s="1"/>
      <c r="Z169" s="1"/>
    </row>
    <row r="170" spans="1:26" ht="15.75" customHeight="1">
      <c r="A170" s="54"/>
      <c r="B170" s="162"/>
      <c r="C170" s="33"/>
      <c r="D170" s="55" t="s">
        <v>1274</v>
      </c>
      <c r="E170" s="55" t="s">
        <v>1278</v>
      </c>
      <c r="F170" s="56" t="s">
        <v>1055</v>
      </c>
      <c r="G170" s="57" t="s">
        <v>1279</v>
      </c>
      <c r="H170" s="58">
        <v>28000</v>
      </c>
      <c r="I170" s="58">
        <f t="shared" si="28"/>
        <v>19600</v>
      </c>
      <c r="J170" s="58">
        <f t="shared" si="29"/>
        <v>593.93939393939399</v>
      </c>
      <c r="K170" s="58">
        <v>1500</v>
      </c>
      <c r="L170" s="59">
        <f t="shared" si="30"/>
        <v>1450</v>
      </c>
      <c r="M170" s="58">
        <f t="shared" si="31"/>
        <v>1087.5</v>
      </c>
      <c r="N170" s="58">
        <f t="shared" si="32"/>
        <v>942.5</v>
      </c>
      <c r="O170" s="58">
        <f t="shared" si="33"/>
        <v>750</v>
      </c>
      <c r="P170" s="58">
        <f t="shared" si="34"/>
        <v>856.06060606060601</v>
      </c>
      <c r="Q170" s="60">
        <f t="shared" si="35"/>
        <v>1.4413265306122447</v>
      </c>
      <c r="R170" s="58">
        <f t="shared" si="36"/>
        <v>493.56060606060601</v>
      </c>
      <c r="S170" s="58">
        <f t="shared" si="37"/>
        <v>348.56060606060601</v>
      </c>
      <c r="T170" s="58">
        <f t="shared" si="38"/>
        <v>156.06060606060601</v>
      </c>
      <c r="U170" s="60">
        <f t="shared" si="39"/>
        <v>0.83099489795918347</v>
      </c>
      <c r="V170" s="60">
        <f t="shared" si="40"/>
        <v>0.58686224489795902</v>
      </c>
      <c r="W170" s="60">
        <f t="shared" si="41"/>
        <v>0.2627551020408162</v>
      </c>
      <c r="X170" s="61"/>
      <c r="Y170" s="1"/>
      <c r="Z170" s="1"/>
    </row>
    <row r="171" spans="1:26" ht="15.75" customHeight="1">
      <c r="A171" s="54"/>
      <c r="B171" s="162"/>
      <c r="C171" s="33"/>
      <c r="D171" s="55" t="s">
        <v>356</v>
      </c>
      <c r="E171" s="55" t="s">
        <v>607</v>
      </c>
      <c r="F171" s="56" t="s">
        <v>1055</v>
      </c>
      <c r="G171" s="57" t="s">
        <v>1280</v>
      </c>
      <c r="H171" s="58">
        <v>20000</v>
      </c>
      <c r="I171" s="58">
        <f t="shared" si="28"/>
        <v>14000</v>
      </c>
      <c r="J171" s="58">
        <f t="shared" si="29"/>
        <v>424.24242424242425</v>
      </c>
      <c r="K171" s="58">
        <v>1300</v>
      </c>
      <c r="L171" s="59">
        <f t="shared" si="30"/>
        <v>1250</v>
      </c>
      <c r="M171" s="58">
        <f t="shared" si="31"/>
        <v>937.5</v>
      </c>
      <c r="N171" s="58">
        <f t="shared" si="32"/>
        <v>812.5</v>
      </c>
      <c r="O171" s="58">
        <f t="shared" si="33"/>
        <v>650</v>
      </c>
      <c r="P171" s="58">
        <f t="shared" si="34"/>
        <v>825.75757575757575</v>
      </c>
      <c r="Q171" s="60">
        <f t="shared" si="35"/>
        <v>1.9464285714285714</v>
      </c>
      <c r="R171" s="58">
        <f t="shared" si="36"/>
        <v>513.25757575757575</v>
      </c>
      <c r="S171" s="58">
        <f t="shared" si="37"/>
        <v>388.25757575757575</v>
      </c>
      <c r="T171" s="58">
        <f t="shared" si="38"/>
        <v>225.75757575757575</v>
      </c>
      <c r="U171" s="60">
        <f t="shared" si="39"/>
        <v>1.2098214285714286</v>
      </c>
      <c r="V171" s="60">
        <f t="shared" si="40"/>
        <v>0.9151785714285714</v>
      </c>
      <c r="W171" s="60">
        <f t="shared" si="41"/>
        <v>0.53214285714285714</v>
      </c>
      <c r="X171" s="61" t="s">
        <v>48</v>
      </c>
      <c r="Y171" s="1"/>
      <c r="Z171" s="1"/>
    </row>
    <row r="172" spans="1:26" ht="15.75" customHeight="1">
      <c r="A172" s="54"/>
      <c r="B172" s="162"/>
      <c r="C172" s="33"/>
      <c r="D172" s="55" t="s">
        <v>356</v>
      </c>
      <c r="E172" s="55" t="s">
        <v>382</v>
      </c>
      <c r="F172" s="56" t="s">
        <v>1055</v>
      </c>
      <c r="G172" s="57" t="s">
        <v>1281</v>
      </c>
      <c r="H172" s="58">
        <v>25000</v>
      </c>
      <c r="I172" s="58">
        <f t="shared" si="28"/>
        <v>17500</v>
      </c>
      <c r="J172" s="58">
        <f t="shared" si="29"/>
        <v>530.30303030303025</v>
      </c>
      <c r="K172" s="58">
        <v>1500</v>
      </c>
      <c r="L172" s="59">
        <f t="shared" si="30"/>
        <v>1450</v>
      </c>
      <c r="M172" s="58">
        <f t="shared" si="31"/>
        <v>1087.5</v>
      </c>
      <c r="N172" s="58">
        <f t="shared" si="32"/>
        <v>942.5</v>
      </c>
      <c r="O172" s="58">
        <f t="shared" si="33"/>
        <v>750</v>
      </c>
      <c r="P172" s="58">
        <f t="shared" si="34"/>
        <v>919.69696969696975</v>
      </c>
      <c r="Q172" s="60">
        <f t="shared" si="35"/>
        <v>1.7342857142857144</v>
      </c>
      <c r="R172" s="58">
        <f t="shared" si="36"/>
        <v>557.19696969696975</v>
      </c>
      <c r="S172" s="58">
        <f t="shared" si="37"/>
        <v>412.19696969696975</v>
      </c>
      <c r="T172" s="58">
        <f t="shared" si="38"/>
        <v>219.69696969696975</v>
      </c>
      <c r="U172" s="60">
        <f t="shared" si="39"/>
        <v>1.0507142857142859</v>
      </c>
      <c r="V172" s="60">
        <f t="shared" si="40"/>
        <v>0.77728571428571447</v>
      </c>
      <c r="W172" s="60">
        <f t="shared" si="41"/>
        <v>0.41428571428571442</v>
      </c>
      <c r="X172" s="61" t="s">
        <v>167</v>
      </c>
      <c r="Y172" s="1"/>
      <c r="Z172" s="1"/>
    </row>
    <row r="173" spans="1:26" ht="15.75" customHeight="1">
      <c r="A173" s="54"/>
      <c r="B173" s="162"/>
      <c r="C173" s="33"/>
      <c r="D173" s="55" t="s">
        <v>356</v>
      </c>
      <c r="E173" s="55" t="s">
        <v>1282</v>
      </c>
      <c r="F173" s="56" t="s">
        <v>1055</v>
      </c>
      <c r="G173" s="57" t="s">
        <v>1283</v>
      </c>
      <c r="H173" s="58">
        <v>28000</v>
      </c>
      <c r="I173" s="58">
        <f t="shared" si="28"/>
        <v>19600</v>
      </c>
      <c r="J173" s="58">
        <f t="shared" si="29"/>
        <v>593.93939393939399</v>
      </c>
      <c r="K173" s="58">
        <v>1500</v>
      </c>
      <c r="L173" s="59">
        <f t="shared" si="30"/>
        <v>1450</v>
      </c>
      <c r="M173" s="58">
        <f t="shared" si="31"/>
        <v>1087.5</v>
      </c>
      <c r="N173" s="58">
        <f t="shared" si="32"/>
        <v>942.5</v>
      </c>
      <c r="O173" s="58">
        <f t="shared" si="33"/>
        <v>750</v>
      </c>
      <c r="P173" s="58">
        <f t="shared" si="34"/>
        <v>856.06060606060601</v>
      </c>
      <c r="Q173" s="60">
        <f t="shared" si="35"/>
        <v>1.4413265306122447</v>
      </c>
      <c r="R173" s="58">
        <f t="shared" si="36"/>
        <v>493.56060606060601</v>
      </c>
      <c r="S173" s="58">
        <f t="shared" si="37"/>
        <v>348.56060606060601</v>
      </c>
      <c r="T173" s="58">
        <f t="shared" si="38"/>
        <v>156.06060606060601</v>
      </c>
      <c r="U173" s="60">
        <f t="shared" si="39"/>
        <v>0.83099489795918347</v>
      </c>
      <c r="V173" s="60">
        <f t="shared" si="40"/>
        <v>0.58686224489795902</v>
      </c>
      <c r="W173" s="60">
        <f t="shared" si="41"/>
        <v>0.2627551020408162</v>
      </c>
      <c r="X173" s="61" t="s">
        <v>167</v>
      </c>
      <c r="Y173" s="1"/>
      <c r="Z173" s="1"/>
    </row>
    <row r="174" spans="1:26" ht="15.75" customHeight="1">
      <c r="A174" s="54"/>
      <c r="B174" s="162"/>
      <c r="C174" s="33"/>
      <c r="D174" s="55" t="s">
        <v>356</v>
      </c>
      <c r="E174" s="55" t="s">
        <v>1284</v>
      </c>
      <c r="F174" s="56"/>
      <c r="G174" s="74" t="s">
        <v>1285</v>
      </c>
      <c r="H174" s="58">
        <v>12000</v>
      </c>
      <c r="I174" s="58">
        <f t="shared" si="28"/>
        <v>8400</v>
      </c>
      <c r="J174" s="58">
        <f t="shared" si="29"/>
        <v>254.54545454545453</v>
      </c>
      <c r="K174" s="58">
        <v>800</v>
      </c>
      <c r="L174" s="59">
        <f t="shared" si="30"/>
        <v>750</v>
      </c>
      <c r="M174" s="58">
        <f t="shared" si="31"/>
        <v>562.5</v>
      </c>
      <c r="N174" s="58">
        <f t="shared" si="32"/>
        <v>487.5</v>
      </c>
      <c r="O174" s="58">
        <f t="shared" si="33"/>
        <v>400</v>
      </c>
      <c r="P174" s="58">
        <f t="shared" si="34"/>
        <v>495.4545454545455</v>
      </c>
      <c r="Q174" s="60">
        <f t="shared" si="35"/>
        <v>1.9464285714285716</v>
      </c>
      <c r="R174" s="58">
        <f t="shared" si="36"/>
        <v>307.9545454545455</v>
      </c>
      <c r="S174" s="58">
        <f t="shared" si="37"/>
        <v>232.95454545454547</v>
      </c>
      <c r="T174" s="58">
        <f t="shared" si="38"/>
        <v>145.45454545454547</v>
      </c>
      <c r="U174" s="60">
        <f t="shared" si="39"/>
        <v>1.2098214285714288</v>
      </c>
      <c r="V174" s="60">
        <f t="shared" si="40"/>
        <v>0.91517857142857151</v>
      </c>
      <c r="W174" s="60">
        <f t="shared" si="41"/>
        <v>0.57142857142857151</v>
      </c>
      <c r="X174" s="61"/>
      <c r="Y174" s="1"/>
      <c r="Z174" s="1"/>
    </row>
    <row r="175" spans="1:26" ht="15.75" customHeight="1">
      <c r="A175" s="54"/>
      <c r="B175" s="162"/>
      <c r="C175" s="33"/>
      <c r="D175" s="55" t="s">
        <v>356</v>
      </c>
      <c r="E175" s="55" t="s">
        <v>361</v>
      </c>
      <c r="F175" s="56" t="s">
        <v>1055</v>
      </c>
      <c r="G175" s="57" t="s">
        <v>1286</v>
      </c>
      <c r="H175" s="58">
        <v>25000</v>
      </c>
      <c r="I175" s="58">
        <f t="shared" si="28"/>
        <v>17500</v>
      </c>
      <c r="J175" s="58">
        <f t="shared" si="29"/>
        <v>530.30303030303025</v>
      </c>
      <c r="K175" s="58">
        <v>1500</v>
      </c>
      <c r="L175" s="59">
        <f t="shared" si="30"/>
        <v>1450</v>
      </c>
      <c r="M175" s="58">
        <f t="shared" si="31"/>
        <v>1087.5</v>
      </c>
      <c r="N175" s="58">
        <f t="shared" si="32"/>
        <v>942.5</v>
      </c>
      <c r="O175" s="58">
        <f t="shared" si="33"/>
        <v>750</v>
      </c>
      <c r="P175" s="58">
        <f t="shared" si="34"/>
        <v>919.69696969696975</v>
      </c>
      <c r="Q175" s="60">
        <f t="shared" si="35"/>
        <v>1.7342857142857144</v>
      </c>
      <c r="R175" s="58">
        <f t="shared" si="36"/>
        <v>557.19696969696975</v>
      </c>
      <c r="S175" s="58">
        <f t="shared" si="37"/>
        <v>412.19696969696975</v>
      </c>
      <c r="T175" s="58">
        <f t="shared" si="38"/>
        <v>219.69696969696975</v>
      </c>
      <c r="U175" s="60">
        <f t="shared" si="39"/>
        <v>1.0507142857142859</v>
      </c>
      <c r="V175" s="60">
        <f t="shared" si="40"/>
        <v>0.77728571428571447</v>
      </c>
      <c r="W175" s="60">
        <f t="shared" si="41"/>
        <v>0.41428571428571442</v>
      </c>
      <c r="X175" s="61"/>
      <c r="Y175" s="1"/>
      <c r="Z175" s="1"/>
    </row>
    <row r="176" spans="1:26" ht="15.75" customHeight="1">
      <c r="A176" s="54"/>
      <c r="B176" s="162"/>
      <c r="C176" s="33"/>
      <c r="D176" s="55" t="s">
        <v>356</v>
      </c>
      <c r="E176" s="55" t="s">
        <v>1287</v>
      </c>
      <c r="F176" s="56" t="s">
        <v>1055</v>
      </c>
      <c r="G176" s="57" t="s">
        <v>1288</v>
      </c>
      <c r="H176" s="58">
        <v>28000</v>
      </c>
      <c r="I176" s="58">
        <f t="shared" si="28"/>
        <v>19600</v>
      </c>
      <c r="J176" s="58">
        <f t="shared" si="29"/>
        <v>593.93939393939399</v>
      </c>
      <c r="K176" s="58">
        <v>1500</v>
      </c>
      <c r="L176" s="59">
        <f t="shared" si="30"/>
        <v>1450</v>
      </c>
      <c r="M176" s="58">
        <f t="shared" si="31"/>
        <v>1087.5</v>
      </c>
      <c r="N176" s="58">
        <f t="shared" si="32"/>
        <v>942.5</v>
      </c>
      <c r="O176" s="58">
        <f t="shared" si="33"/>
        <v>750</v>
      </c>
      <c r="P176" s="58">
        <f t="shared" si="34"/>
        <v>856.06060606060601</v>
      </c>
      <c r="Q176" s="60">
        <f t="shared" si="35"/>
        <v>1.4413265306122447</v>
      </c>
      <c r="R176" s="58">
        <f t="shared" si="36"/>
        <v>493.56060606060601</v>
      </c>
      <c r="S176" s="58">
        <f t="shared" si="37"/>
        <v>348.56060606060601</v>
      </c>
      <c r="T176" s="58">
        <f t="shared" si="38"/>
        <v>156.06060606060601</v>
      </c>
      <c r="U176" s="60">
        <f t="shared" si="39"/>
        <v>0.83099489795918347</v>
      </c>
      <c r="V176" s="60">
        <f t="shared" si="40"/>
        <v>0.58686224489795902</v>
      </c>
      <c r="W176" s="60">
        <f t="shared" si="41"/>
        <v>0.2627551020408162</v>
      </c>
      <c r="X176" s="61"/>
      <c r="Y176" s="1"/>
      <c r="Z176" s="1"/>
    </row>
    <row r="177" spans="1:26" ht="15.75" customHeight="1">
      <c r="A177" s="54"/>
      <c r="B177" s="161"/>
      <c r="C177" s="69"/>
      <c r="D177" s="55" t="s">
        <v>341</v>
      </c>
      <c r="E177" s="55" t="s">
        <v>68</v>
      </c>
      <c r="F177" s="56" t="s">
        <v>1055</v>
      </c>
      <c r="G177" s="57" t="s">
        <v>1289</v>
      </c>
      <c r="H177" s="58">
        <v>22000</v>
      </c>
      <c r="I177" s="58">
        <f t="shared" si="28"/>
        <v>15399.999999999998</v>
      </c>
      <c r="J177" s="58">
        <f t="shared" si="29"/>
        <v>466.66666666666663</v>
      </c>
      <c r="K177" s="58">
        <v>1500</v>
      </c>
      <c r="L177" s="59">
        <f t="shared" si="30"/>
        <v>1450</v>
      </c>
      <c r="M177" s="58">
        <f t="shared" si="31"/>
        <v>1087.5</v>
      </c>
      <c r="N177" s="58">
        <f t="shared" si="32"/>
        <v>942.5</v>
      </c>
      <c r="O177" s="58">
        <f t="shared" si="33"/>
        <v>750</v>
      </c>
      <c r="P177" s="58">
        <f t="shared" si="34"/>
        <v>983.33333333333337</v>
      </c>
      <c r="Q177" s="60">
        <f t="shared" si="35"/>
        <v>2.1071428571428572</v>
      </c>
      <c r="R177" s="58">
        <f t="shared" si="36"/>
        <v>620.83333333333337</v>
      </c>
      <c r="S177" s="58">
        <f t="shared" si="37"/>
        <v>475.83333333333337</v>
      </c>
      <c r="T177" s="58">
        <f t="shared" si="38"/>
        <v>283.33333333333337</v>
      </c>
      <c r="U177" s="60">
        <f t="shared" si="39"/>
        <v>1.330357142857143</v>
      </c>
      <c r="V177" s="60">
        <f t="shared" si="40"/>
        <v>1.0196428571428573</v>
      </c>
      <c r="W177" s="60">
        <f t="shared" si="41"/>
        <v>0.60714285714285732</v>
      </c>
      <c r="X177" s="61"/>
      <c r="Y177" s="1"/>
      <c r="Z177" s="1"/>
    </row>
    <row r="178" spans="1:26" ht="15.75" customHeight="1">
      <c r="A178" s="54"/>
      <c r="B178" s="75" t="s">
        <v>1290</v>
      </c>
      <c r="C178" s="33"/>
      <c r="D178" s="76"/>
      <c r="E178" s="76" t="s">
        <v>68</v>
      </c>
      <c r="F178" s="77" t="s">
        <v>1121</v>
      </c>
      <c r="G178" s="77" t="s">
        <v>1291</v>
      </c>
      <c r="H178" s="78">
        <v>38000</v>
      </c>
      <c r="I178" s="78">
        <f t="shared" si="28"/>
        <v>26600</v>
      </c>
      <c r="J178" s="78">
        <f t="shared" si="29"/>
        <v>806.06060606060601</v>
      </c>
      <c r="K178" s="78"/>
      <c r="L178" s="79">
        <f t="shared" si="30"/>
        <v>-50</v>
      </c>
      <c r="M178" s="58">
        <f t="shared" si="31"/>
        <v>-37.5</v>
      </c>
      <c r="N178" s="58">
        <f t="shared" si="32"/>
        <v>-32.5</v>
      </c>
      <c r="O178" s="58">
        <f t="shared" si="33"/>
        <v>0</v>
      </c>
      <c r="P178" s="78">
        <f t="shared" si="34"/>
        <v>-856.06060606060601</v>
      </c>
      <c r="Q178" s="80">
        <f t="shared" si="35"/>
        <v>-1.0620300751879699</v>
      </c>
      <c r="R178" s="58">
        <f t="shared" si="36"/>
        <v>-843.56060606060601</v>
      </c>
      <c r="S178" s="58">
        <f t="shared" si="37"/>
        <v>-838.56060606060601</v>
      </c>
      <c r="T178" s="58">
        <f t="shared" si="38"/>
        <v>-806.06060606060601</v>
      </c>
      <c r="U178" s="60">
        <f t="shared" si="39"/>
        <v>-1.0465225563909775</v>
      </c>
      <c r="V178" s="60">
        <f t="shared" si="40"/>
        <v>-1.0403195488721804</v>
      </c>
      <c r="W178" s="60">
        <f t="shared" si="41"/>
        <v>-1</v>
      </c>
      <c r="X178" s="61"/>
      <c r="Y178" s="1"/>
      <c r="Z178" s="1"/>
    </row>
    <row r="179" spans="1:26" ht="15.75" customHeight="1">
      <c r="A179" s="54"/>
      <c r="B179" s="160" t="s">
        <v>1292</v>
      </c>
      <c r="C179" s="43"/>
      <c r="D179" s="55" t="s">
        <v>1293</v>
      </c>
      <c r="E179" s="55" t="s">
        <v>607</v>
      </c>
      <c r="F179" s="56" t="s">
        <v>1121</v>
      </c>
      <c r="G179" s="57" t="s">
        <v>1294</v>
      </c>
      <c r="H179" s="58">
        <v>25000</v>
      </c>
      <c r="I179" s="58">
        <f t="shared" si="28"/>
        <v>17500</v>
      </c>
      <c r="J179" s="58">
        <f t="shared" si="29"/>
        <v>530.30303030303025</v>
      </c>
      <c r="K179" s="58">
        <v>1700</v>
      </c>
      <c r="L179" s="59">
        <f t="shared" si="30"/>
        <v>1650</v>
      </c>
      <c r="M179" s="58">
        <f t="shared" si="31"/>
        <v>1237.5</v>
      </c>
      <c r="N179" s="58">
        <f t="shared" si="32"/>
        <v>1072.5</v>
      </c>
      <c r="O179" s="58">
        <f t="shared" si="33"/>
        <v>850</v>
      </c>
      <c r="P179" s="58">
        <f t="shared" si="34"/>
        <v>1119.6969696969697</v>
      </c>
      <c r="Q179" s="60">
        <f t="shared" si="35"/>
        <v>2.1114285714285717</v>
      </c>
      <c r="R179" s="58">
        <f t="shared" si="36"/>
        <v>707.19696969696975</v>
      </c>
      <c r="S179" s="58">
        <f t="shared" si="37"/>
        <v>542.19696969696975</v>
      </c>
      <c r="T179" s="58">
        <f t="shared" si="38"/>
        <v>319.69696969696975</v>
      </c>
      <c r="U179" s="60">
        <f t="shared" si="39"/>
        <v>1.3335714285714289</v>
      </c>
      <c r="V179" s="60">
        <f t="shared" si="40"/>
        <v>1.0224285714285717</v>
      </c>
      <c r="W179" s="60">
        <f t="shared" si="41"/>
        <v>0.60285714285714298</v>
      </c>
      <c r="X179" s="61"/>
      <c r="Y179" s="1"/>
      <c r="Z179" s="1"/>
    </row>
    <row r="180" spans="1:26" ht="15.75" customHeight="1">
      <c r="A180" s="54"/>
      <c r="B180" s="162"/>
      <c r="C180" s="33"/>
      <c r="D180" s="55" t="s">
        <v>1293</v>
      </c>
      <c r="E180" s="55" t="s">
        <v>68</v>
      </c>
      <c r="F180" s="56" t="s">
        <v>1121</v>
      </c>
      <c r="G180" s="57" t="s">
        <v>1295</v>
      </c>
      <c r="H180" s="58">
        <v>35000</v>
      </c>
      <c r="I180" s="58">
        <f t="shared" si="28"/>
        <v>24500</v>
      </c>
      <c r="J180" s="58">
        <f t="shared" si="29"/>
        <v>742.42424242424238</v>
      </c>
      <c r="K180" s="58">
        <v>2100</v>
      </c>
      <c r="L180" s="59">
        <f t="shared" si="30"/>
        <v>2050</v>
      </c>
      <c r="M180" s="58">
        <f t="shared" si="31"/>
        <v>1537.5</v>
      </c>
      <c r="N180" s="58">
        <f t="shared" si="32"/>
        <v>1332.5</v>
      </c>
      <c r="O180" s="58">
        <f t="shared" si="33"/>
        <v>1050</v>
      </c>
      <c r="P180" s="58">
        <f t="shared" si="34"/>
        <v>1307.5757575757575</v>
      </c>
      <c r="Q180" s="60">
        <f t="shared" si="35"/>
        <v>1.7612244897959184</v>
      </c>
      <c r="R180" s="58">
        <f t="shared" si="36"/>
        <v>795.07575757575762</v>
      </c>
      <c r="S180" s="58">
        <f t="shared" si="37"/>
        <v>590.07575757575762</v>
      </c>
      <c r="T180" s="58">
        <f t="shared" si="38"/>
        <v>307.57575757575762</v>
      </c>
      <c r="U180" s="60">
        <f t="shared" si="39"/>
        <v>1.0709183673469389</v>
      </c>
      <c r="V180" s="60">
        <f t="shared" si="40"/>
        <v>0.79479591836734709</v>
      </c>
      <c r="W180" s="60">
        <f t="shared" si="41"/>
        <v>0.41428571428571437</v>
      </c>
      <c r="X180" s="61"/>
      <c r="Y180" s="1"/>
      <c r="Z180" s="1"/>
    </row>
    <row r="181" spans="1:26" ht="15.75" customHeight="1">
      <c r="A181" s="54"/>
      <c r="B181" s="162"/>
      <c r="C181" s="33"/>
      <c r="D181" s="55" t="s">
        <v>1296</v>
      </c>
      <c r="E181" s="55" t="s">
        <v>607</v>
      </c>
      <c r="F181" s="56" t="s">
        <v>1121</v>
      </c>
      <c r="G181" s="57" t="s">
        <v>1297</v>
      </c>
      <c r="H181" s="58">
        <v>25000</v>
      </c>
      <c r="I181" s="58">
        <f t="shared" si="28"/>
        <v>17500</v>
      </c>
      <c r="J181" s="58">
        <f t="shared" si="29"/>
        <v>530.30303030303025</v>
      </c>
      <c r="K181" s="58">
        <v>2400</v>
      </c>
      <c r="L181" s="59">
        <f t="shared" si="30"/>
        <v>2350</v>
      </c>
      <c r="M181" s="58">
        <f t="shared" si="31"/>
        <v>1762.5</v>
      </c>
      <c r="N181" s="58">
        <f t="shared" si="32"/>
        <v>1527.5</v>
      </c>
      <c r="O181" s="58">
        <f t="shared" si="33"/>
        <v>1200</v>
      </c>
      <c r="P181" s="58">
        <f t="shared" si="34"/>
        <v>1819.6969696969697</v>
      </c>
      <c r="Q181" s="60">
        <f t="shared" si="35"/>
        <v>3.4314285714285719</v>
      </c>
      <c r="R181" s="58">
        <f t="shared" si="36"/>
        <v>1232.1969696969697</v>
      </c>
      <c r="S181" s="58">
        <f t="shared" si="37"/>
        <v>997.19696969696975</v>
      </c>
      <c r="T181" s="58">
        <f t="shared" si="38"/>
        <v>669.69696969696975</v>
      </c>
      <c r="U181" s="60">
        <f t="shared" si="39"/>
        <v>2.3235714285714288</v>
      </c>
      <c r="V181" s="60">
        <f t="shared" si="40"/>
        <v>1.8804285714285718</v>
      </c>
      <c r="W181" s="60">
        <f t="shared" si="41"/>
        <v>1.2628571428571431</v>
      </c>
      <c r="X181" s="61"/>
      <c r="Y181" s="1"/>
      <c r="Z181" s="1"/>
    </row>
    <row r="182" spans="1:26" ht="15.75" customHeight="1">
      <c r="A182" s="54"/>
      <c r="B182" s="161"/>
      <c r="C182" s="33"/>
      <c r="D182" s="55" t="s">
        <v>1296</v>
      </c>
      <c r="E182" s="55" t="s">
        <v>68</v>
      </c>
      <c r="F182" s="56" t="s">
        <v>1121</v>
      </c>
      <c r="G182" s="57" t="s">
        <v>1298</v>
      </c>
      <c r="H182" s="58">
        <v>35000</v>
      </c>
      <c r="I182" s="58">
        <f t="shared" si="28"/>
        <v>24500</v>
      </c>
      <c r="J182" s="58">
        <f t="shared" si="29"/>
        <v>742.42424242424238</v>
      </c>
      <c r="K182" s="58">
        <v>2600</v>
      </c>
      <c r="L182" s="59">
        <f t="shared" si="30"/>
        <v>2550</v>
      </c>
      <c r="M182" s="58">
        <f t="shared" si="31"/>
        <v>1912.5</v>
      </c>
      <c r="N182" s="58">
        <f t="shared" si="32"/>
        <v>1657.5</v>
      </c>
      <c r="O182" s="58">
        <f t="shared" si="33"/>
        <v>1300</v>
      </c>
      <c r="P182" s="58">
        <f t="shared" si="34"/>
        <v>1807.5757575757575</v>
      </c>
      <c r="Q182" s="60">
        <f t="shared" si="35"/>
        <v>2.4346938775510205</v>
      </c>
      <c r="R182" s="58">
        <f t="shared" si="36"/>
        <v>1170.0757575757575</v>
      </c>
      <c r="S182" s="58">
        <f t="shared" si="37"/>
        <v>915.07575757575762</v>
      </c>
      <c r="T182" s="58">
        <f t="shared" si="38"/>
        <v>557.57575757575762</v>
      </c>
      <c r="U182" s="60">
        <f t="shared" si="39"/>
        <v>1.5760204081632654</v>
      </c>
      <c r="V182" s="60">
        <f t="shared" si="40"/>
        <v>1.2325510204081633</v>
      </c>
      <c r="W182" s="60">
        <f t="shared" si="41"/>
        <v>0.75102040816326543</v>
      </c>
      <c r="X182" s="61"/>
      <c r="Y182" s="1"/>
      <c r="Z182" s="1"/>
    </row>
    <row r="183" spans="1:26" ht="15.75" customHeight="1">
      <c r="A183" s="54"/>
      <c r="B183" s="160" t="s">
        <v>66</v>
      </c>
      <c r="C183" s="43"/>
      <c r="D183" s="55" t="s">
        <v>148</v>
      </c>
      <c r="E183" s="55" t="s">
        <v>607</v>
      </c>
      <c r="F183" s="56" t="s">
        <v>1121</v>
      </c>
      <c r="G183" s="57" t="s">
        <v>1299</v>
      </c>
      <c r="H183" s="58">
        <v>20000</v>
      </c>
      <c r="I183" s="58">
        <f t="shared" si="28"/>
        <v>14000</v>
      </c>
      <c r="J183" s="58">
        <f t="shared" si="29"/>
        <v>424.24242424242425</v>
      </c>
      <c r="K183" s="58">
        <v>1550</v>
      </c>
      <c r="L183" s="59">
        <f t="shared" si="30"/>
        <v>1500</v>
      </c>
      <c r="M183" s="58">
        <f t="shared" si="31"/>
        <v>1125</v>
      </c>
      <c r="N183" s="58">
        <f t="shared" si="32"/>
        <v>975</v>
      </c>
      <c r="O183" s="58">
        <f t="shared" si="33"/>
        <v>775</v>
      </c>
      <c r="P183" s="58">
        <f t="shared" si="34"/>
        <v>1075.7575757575758</v>
      </c>
      <c r="Q183" s="60">
        <f t="shared" si="35"/>
        <v>2.5357142857142856</v>
      </c>
      <c r="R183" s="58">
        <f t="shared" si="36"/>
        <v>700.75757575757575</v>
      </c>
      <c r="S183" s="58">
        <f t="shared" si="37"/>
        <v>550.75757575757575</v>
      </c>
      <c r="T183" s="58">
        <f t="shared" si="38"/>
        <v>350.75757575757575</v>
      </c>
      <c r="U183" s="60">
        <f t="shared" si="39"/>
        <v>1.6517857142857142</v>
      </c>
      <c r="V183" s="60">
        <f t="shared" si="40"/>
        <v>1.2982142857142858</v>
      </c>
      <c r="W183" s="60">
        <f t="shared" si="41"/>
        <v>0.82678571428571423</v>
      </c>
      <c r="X183" s="61" t="s">
        <v>175</v>
      </c>
      <c r="Y183" s="1"/>
      <c r="Z183" s="1"/>
    </row>
    <row r="184" spans="1:26" ht="15.75" customHeight="1">
      <c r="A184" s="54"/>
      <c r="B184" s="162"/>
      <c r="C184" s="33"/>
      <c r="D184" s="55" t="s">
        <v>148</v>
      </c>
      <c r="E184" s="55" t="s">
        <v>1300</v>
      </c>
      <c r="F184" s="56" t="s">
        <v>1121</v>
      </c>
      <c r="G184" s="57" t="s">
        <v>1301</v>
      </c>
      <c r="H184" s="58">
        <v>25000</v>
      </c>
      <c r="I184" s="58">
        <f t="shared" si="28"/>
        <v>17500</v>
      </c>
      <c r="J184" s="58">
        <f t="shared" si="29"/>
        <v>530.30303030303025</v>
      </c>
      <c r="K184" s="58">
        <v>2500</v>
      </c>
      <c r="L184" s="59">
        <f t="shared" si="30"/>
        <v>2450</v>
      </c>
      <c r="M184" s="58">
        <f t="shared" si="31"/>
        <v>1837.5</v>
      </c>
      <c r="N184" s="58">
        <f t="shared" si="32"/>
        <v>1592.5</v>
      </c>
      <c r="O184" s="58">
        <f t="shared" si="33"/>
        <v>1250</v>
      </c>
      <c r="P184" s="58">
        <f t="shared" si="34"/>
        <v>1919.6969696969697</v>
      </c>
      <c r="Q184" s="60">
        <f t="shared" si="35"/>
        <v>3.6200000000000006</v>
      </c>
      <c r="R184" s="58">
        <f t="shared" si="36"/>
        <v>1307.1969696969697</v>
      </c>
      <c r="S184" s="58">
        <f t="shared" si="37"/>
        <v>1062.1969696969697</v>
      </c>
      <c r="T184" s="58">
        <f t="shared" si="38"/>
        <v>719.69696969696975</v>
      </c>
      <c r="U184" s="60">
        <f t="shared" si="39"/>
        <v>2.4650000000000003</v>
      </c>
      <c r="V184" s="60">
        <f t="shared" si="40"/>
        <v>2.0030000000000001</v>
      </c>
      <c r="W184" s="60">
        <f t="shared" si="41"/>
        <v>1.3571428571428574</v>
      </c>
      <c r="X184" s="61" t="s">
        <v>175</v>
      </c>
      <c r="Y184" s="1"/>
      <c r="Z184" s="1"/>
    </row>
    <row r="185" spans="1:26" ht="15.75" customHeight="1">
      <c r="A185" s="54"/>
      <c r="B185" s="162"/>
      <c r="C185" s="33"/>
      <c r="D185" s="55" t="s">
        <v>148</v>
      </c>
      <c r="E185" s="55" t="s">
        <v>68</v>
      </c>
      <c r="F185" s="56" t="s">
        <v>1121</v>
      </c>
      <c r="G185" s="57" t="s">
        <v>1302</v>
      </c>
      <c r="H185" s="58">
        <v>25000</v>
      </c>
      <c r="I185" s="58">
        <f t="shared" si="28"/>
        <v>17500</v>
      </c>
      <c r="J185" s="58">
        <f t="shared" si="29"/>
        <v>530.30303030303025</v>
      </c>
      <c r="K185" s="58">
        <v>2500</v>
      </c>
      <c r="L185" s="59">
        <f t="shared" si="30"/>
        <v>2450</v>
      </c>
      <c r="M185" s="58">
        <f t="shared" si="31"/>
        <v>1837.5</v>
      </c>
      <c r="N185" s="58">
        <f t="shared" si="32"/>
        <v>1592.5</v>
      </c>
      <c r="O185" s="58">
        <f t="shared" si="33"/>
        <v>1250</v>
      </c>
      <c r="P185" s="58">
        <f t="shared" si="34"/>
        <v>1919.6969696969697</v>
      </c>
      <c r="Q185" s="60">
        <f t="shared" si="35"/>
        <v>3.6200000000000006</v>
      </c>
      <c r="R185" s="58">
        <f t="shared" si="36"/>
        <v>1307.1969696969697</v>
      </c>
      <c r="S185" s="58">
        <f t="shared" si="37"/>
        <v>1062.1969696969697</v>
      </c>
      <c r="T185" s="58">
        <f t="shared" si="38"/>
        <v>719.69696969696975</v>
      </c>
      <c r="U185" s="60">
        <f t="shared" si="39"/>
        <v>2.4650000000000003</v>
      </c>
      <c r="V185" s="60">
        <f t="shared" si="40"/>
        <v>2.0030000000000001</v>
      </c>
      <c r="W185" s="60">
        <f t="shared" si="41"/>
        <v>1.3571428571428574</v>
      </c>
      <c r="X185" s="61"/>
      <c r="Y185" s="1"/>
      <c r="Z185" s="1"/>
    </row>
    <row r="186" spans="1:26" ht="15.75" customHeight="1">
      <c r="A186" s="54"/>
      <c r="B186" s="162"/>
      <c r="C186" s="33"/>
      <c r="D186" s="55" t="s">
        <v>1303</v>
      </c>
      <c r="E186" s="70" t="s">
        <v>1304</v>
      </c>
      <c r="F186" s="56" t="s">
        <v>1305</v>
      </c>
      <c r="G186" s="57" t="s">
        <v>1306</v>
      </c>
      <c r="H186" s="58">
        <v>55000</v>
      </c>
      <c r="I186" s="58">
        <f t="shared" si="28"/>
        <v>38500</v>
      </c>
      <c r="J186" s="58">
        <f t="shared" si="29"/>
        <v>1166.6666666666667</v>
      </c>
      <c r="K186" s="58">
        <v>4800</v>
      </c>
      <c r="L186" s="59">
        <f t="shared" si="30"/>
        <v>4750</v>
      </c>
      <c r="M186" s="58">
        <f t="shared" si="31"/>
        <v>3562.5</v>
      </c>
      <c r="N186" s="58">
        <f t="shared" si="32"/>
        <v>3087.5</v>
      </c>
      <c r="O186" s="58">
        <f t="shared" si="33"/>
        <v>2400</v>
      </c>
      <c r="P186" s="58">
        <f t="shared" si="34"/>
        <v>3583.333333333333</v>
      </c>
      <c r="Q186" s="60">
        <f t="shared" si="35"/>
        <v>3.0714285714285712</v>
      </c>
      <c r="R186" s="58">
        <f t="shared" si="36"/>
        <v>2395.833333333333</v>
      </c>
      <c r="S186" s="58">
        <f t="shared" si="37"/>
        <v>1920.8333333333333</v>
      </c>
      <c r="T186" s="58">
        <f t="shared" si="38"/>
        <v>1233.3333333333333</v>
      </c>
      <c r="U186" s="60">
        <f t="shared" si="39"/>
        <v>2.0535714285714284</v>
      </c>
      <c r="V186" s="60">
        <f t="shared" si="40"/>
        <v>1.6464285714285714</v>
      </c>
      <c r="W186" s="60">
        <f t="shared" si="41"/>
        <v>1.0571428571428569</v>
      </c>
      <c r="X186" s="61"/>
      <c r="Y186" s="1"/>
      <c r="Z186" s="1"/>
    </row>
    <row r="187" spans="1:26" ht="15.75" customHeight="1">
      <c r="A187" s="54"/>
      <c r="B187" s="162"/>
      <c r="C187" s="33"/>
      <c r="D187" s="55" t="s">
        <v>1303</v>
      </c>
      <c r="E187" s="70" t="s">
        <v>856</v>
      </c>
      <c r="F187" s="56" t="s">
        <v>1305</v>
      </c>
      <c r="G187" s="57" t="s">
        <v>1307</v>
      </c>
      <c r="H187" s="58">
        <v>55000</v>
      </c>
      <c r="I187" s="58">
        <f t="shared" si="28"/>
        <v>38500</v>
      </c>
      <c r="J187" s="58">
        <f t="shared" si="29"/>
        <v>1166.6666666666667</v>
      </c>
      <c r="K187" s="58">
        <v>4800</v>
      </c>
      <c r="L187" s="59">
        <f t="shared" si="30"/>
        <v>4750</v>
      </c>
      <c r="M187" s="58">
        <f t="shared" si="31"/>
        <v>3562.5</v>
      </c>
      <c r="N187" s="58">
        <f t="shared" si="32"/>
        <v>3087.5</v>
      </c>
      <c r="O187" s="58">
        <f t="shared" si="33"/>
        <v>2400</v>
      </c>
      <c r="P187" s="58">
        <f t="shared" si="34"/>
        <v>3583.333333333333</v>
      </c>
      <c r="Q187" s="60">
        <f t="shared" si="35"/>
        <v>3.0714285714285712</v>
      </c>
      <c r="R187" s="58">
        <f t="shared" si="36"/>
        <v>2395.833333333333</v>
      </c>
      <c r="S187" s="58">
        <f t="shared" si="37"/>
        <v>1920.8333333333333</v>
      </c>
      <c r="T187" s="58">
        <f t="shared" si="38"/>
        <v>1233.3333333333333</v>
      </c>
      <c r="U187" s="60">
        <f t="shared" si="39"/>
        <v>2.0535714285714284</v>
      </c>
      <c r="V187" s="60">
        <f t="shared" si="40"/>
        <v>1.6464285714285714</v>
      </c>
      <c r="W187" s="60">
        <f t="shared" si="41"/>
        <v>1.0571428571428569</v>
      </c>
      <c r="X187" s="61"/>
      <c r="Y187" s="1"/>
      <c r="Z187" s="1"/>
    </row>
    <row r="188" spans="1:26" ht="15.75" customHeight="1">
      <c r="A188" s="54"/>
      <c r="B188" s="162"/>
      <c r="C188" s="33"/>
      <c r="D188" s="55" t="s">
        <v>1308</v>
      </c>
      <c r="E188" s="55" t="s">
        <v>607</v>
      </c>
      <c r="F188" s="56" t="s">
        <v>1055</v>
      </c>
      <c r="G188" s="57" t="s">
        <v>1309</v>
      </c>
      <c r="H188" s="58">
        <v>20000</v>
      </c>
      <c r="I188" s="58">
        <f t="shared" si="28"/>
        <v>14000</v>
      </c>
      <c r="J188" s="58">
        <f t="shared" si="29"/>
        <v>424.24242424242425</v>
      </c>
      <c r="K188" s="58">
        <v>1600</v>
      </c>
      <c r="L188" s="59">
        <f t="shared" si="30"/>
        <v>1550</v>
      </c>
      <c r="M188" s="58">
        <f t="shared" si="31"/>
        <v>1162.5</v>
      </c>
      <c r="N188" s="58">
        <f t="shared" si="32"/>
        <v>1007.5</v>
      </c>
      <c r="O188" s="58">
        <f t="shared" si="33"/>
        <v>800</v>
      </c>
      <c r="P188" s="58">
        <f t="shared" si="34"/>
        <v>1125.7575757575758</v>
      </c>
      <c r="Q188" s="60">
        <f t="shared" si="35"/>
        <v>2.6535714285714285</v>
      </c>
      <c r="R188" s="58">
        <f t="shared" si="36"/>
        <v>738.25757575757575</v>
      </c>
      <c r="S188" s="58">
        <f t="shared" si="37"/>
        <v>583.25757575757575</v>
      </c>
      <c r="T188" s="58">
        <f t="shared" si="38"/>
        <v>375.75757575757575</v>
      </c>
      <c r="U188" s="60">
        <f t="shared" si="39"/>
        <v>1.7401785714285714</v>
      </c>
      <c r="V188" s="60">
        <f t="shared" si="40"/>
        <v>1.3748214285714286</v>
      </c>
      <c r="W188" s="60">
        <f t="shared" si="41"/>
        <v>0.88571428571428568</v>
      </c>
      <c r="X188" s="61"/>
      <c r="Y188" s="1"/>
      <c r="Z188" s="1"/>
    </row>
    <row r="189" spans="1:26" ht="15.75" customHeight="1">
      <c r="A189" s="54"/>
      <c r="B189" s="162"/>
      <c r="C189" s="33"/>
      <c r="D189" s="55" t="s">
        <v>1308</v>
      </c>
      <c r="E189" s="55" t="s">
        <v>68</v>
      </c>
      <c r="F189" s="56" t="s">
        <v>1055</v>
      </c>
      <c r="G189" s="57" t="s">
        <v>1310</v>
      </c>
      <c r="H189" s="58">
        <v>25000</v>
      </c>
      <c r="I189" s="58">
        <f t="shared" si="28"/>
        <v>17500</v>
      </c>
      <c r="J189" s="58">
        <f t="shared" si="29"/>
        <v>530.30303030303025</v>
      </c>
      <c r="K189" s="58">
        <v>2200</v>
      </c>
      <c r="L189" s="59">
        <f t="shared" si="30"/>
        <v>2150</v>
      </c>
      <c r="M189" s="58">
        <f t="shared" si="31"/>
        <v>1612.5</v>
      </c>
      <c r="N189" s="58">
        <f t="shared" si="32"/>
        <v>1397.5</v>
      </c>
      <c r="O189" s="58">
        <f t="shared" si="33"/>
        <v>1100</v>
      </c>
      <c r="P189" s="58">
        <f t="shared" si="34"/>
        <v>1619.6969696969697</v>
      </c>
      <c r="Q189" s="60">
        <f t="shared" si="35"/>
        <v>3.0542857142857147</v>
      </c>
      <c r="R189" s="58">
        <f t="shared" si="36"/>
        <v>1082.1969696969697</v>
      </c>
      <c r="S189" s="58">
        <f t="shared" si="37"/>
        <v>867.19696969696975</v>
      </c>
      <c r="T189" s="58">
        <f t="shared" si="38"/>
        <v>569.69696969696975</v>
      </c>
      <c r="U189" s="60">
        <f t="shared" si="39"/>
        <v>2.0407142857142859</v>
      </c>
      <c r="V189" s="60">
        <f t="shared" si="40"/>
        <v>1.6352857142857145</v>
      </c>
      <c r="W189" s="60">
        <f t="shared" si="41"/>
        <v>1.0742857142857145</v>
      </c>
      <c r="X189" s="61"/>
      <c r="Y189" s="1"/>
      <c r="Z189" s="1"/>
    </row>
    <row r="190" spans="1:26" ht="15.75" customHeight="1">
      <c r="A190" s="54"/>
      <c r="B190" s="162"/>
      <c r="C190" s="33"/>
      <c r="D190" s="55" t="s">
        <v>1311</v>
      </c>
      <c r="E190" s="55" t="s">
        <v>131</v>
      </c>
      <c r="F190" s="56" t="s">
        <v>1055</v>
      </c>
      <c r="G190" s="57" t="s">
        <v>1312</v>
      </c>
      <c r="H190" s="58">
        <v>25000</v>
      </c>
      <c r="I190" s="58">
        <f t="shared" si="28"/>
        <v>17500</v>
      </c>
      <c r="J190" s="58">
        <f t="shared" si="29"/>
        <v>530.30303030303025</v>
      </c>
      <c r="K190" s="58">
        <v>2200</v>
      </c>
      <c r="L190" s="59">
        <f t="shared" si="30"/>
        <v>2150</v>
      </c>
      <c r="M190" s="58">
        <f t="shared" si="31"/>
        <v>1612.5</v>
      </c>
      <c r="N190" s="58">
        <f t="shared" si="32"/>
        <v>1397.5</v>
      </c>
      <c r="O190" s="58">
        <f t="shared" si="33"/>
        <v>1100</v>
      </c>
      <c r="P190" s="58">
        <f t="shared" si="34"/>
        <v>1619.6969696969697</v>
      </c>
      <c r="Q190" s="60">
        <f t="shared" si="35"/>
        <v>3.0542857142857147</v>
      </c>
      <c r="R190" s="58">
        <f t="shared" si="36"/>
        <v>1082.1969696969697</v>
      </c>
      <c r="S190" s="58">
        <f t="shared" si="37"/>
        <v>867.19696969696975</v>
      </c>
      <c r="T190" s="58">
        <f t="shared" si="38"/>
        <v>569.69696969696975</v>
      </c>
      <c r="U190" s="60">
        <f t="shared" si="39"/>
        <v>2.0407142857142859</v>
      </c>
      <c r="V190" s="60">
        <f t="shared" si="40"/>
        <v>1.6352857142857145</v>
      </c>
      <c r="W190" s="60">
        <f t="shared" si="41"/>
        <v>1.0742857142857145</v>
      </c>
      <c r="X190" s="61"/>
      <c r="Y190" s="1"/>
      <c r="Z190" s="1"/>
    </row>
    <row r="191" spans="1:26" ht="15.75" customHeight="1">
      <c r="A191" s="54"/>
      <c r="B191" s="162"/>
      <c r="C191" s="33"/>
      <c r="D191" s="55" t="s">
        <v>137</v>
      </c>
      <c r="E191" s="55" t="s">
        <v>1313</v>
      </c>
      <c r="F191" s="56" t="s">
        <v>1055</v>
      </c>
      <c r="G191" s="57" t="s">
        <v>1314</v>
      </c>
      <c r="H191" s="58">
        <v>28000</v>
      </c>
      <c r="I191" s="58">
        <f t="shared" si="28"/>
        <v>19600</v>
      </c>
      <c r="J191" s="58">
        <f t="shared" si="29"/>
        <v>593.93939393939399</v>
      </c>
      <c r="K191" s="58">
        <v>2400</v>
      </c>
      <c r="L191" s="59">
        <f t="shared" si="30"/>
        <v>2350</v>
      </c>
      <c r="M191" s="58">
        <f t="shared" si="31"/>
        <v>1762.5</v>
      </c>
      <c r="N191" s="58">
        <f t="shared" si="32"/>
        <v>1527.5</v>
      </c>
      <c r="O191" s="58">
        <f t="shared" si="33"/>
        <v>1200</v>
      </c>
      <c r="P191" s="58">
        <f t="shared" si="34"/>
        <v>1756.060606060606</v>
      </c>
      <c r="Q191" s="60">
        <f t="shared" si="35"/>
        <v>2.9566326530612241</v>
      </c>
      <c r="R191" s="58">
        <f t="shared" si="36"/>
        <v>1168.560606060606</v>
      </c>
      <c r="S191" s="58">
        <f t="shared" si="37"/>
        <v>933.56060606060601</v>
      </c>
      <c r="T191" s="58">
        <f t="shared" si="38"/>
        <v>606.06060606060601</v>
      </c>
      <c r="U191" s="60">
        <f t="shared" si="39"/>
        <v>1.967474489795918</v>
      </c>
      <c r="V191" s="60">
        <f t="shared" si="40"/>
        <v>1.5718112244897957</v>
      </c>
      <c r="W191" s="60">
        <f t="shared" si="41"/>
        <v>1.0204081632653059</v>
      </c>
      <c r="X191" s="61"/>
      <c r="Y191" s="1"/>
      <c r="Z191" s="1"/>
    </row>
    <row r="192" spans="1:26" ht="15.75" customHeight="1">
      <c r="A192" s="54"/>
      <c r="B192" s="162"/>
      <c r="C192" s="33"/>
      <c r="D192" s="55" t="s">
        <v>1315</v>
      </c>
      <c r="E192" s="55" t="s">
        <v>607</v>
      </c>
      <c r="F192" s="56" t="s">
        <v>1305</v>
      </c>
      <c r="G192" s="57" t="s">
        <v>1316</v>
      </c>
      <c r="H192" s="58">
        <v>28000</v>
      </c>
      <c r="I192" s="58">
        <f t="shared" si="28"/>
        <v>19600</v>
      </c>
      <c r="J192" s="58">
        <f t="shared" si="29"/>
        <v>593.93939393939399</v>
      </c>
      <c r="K192" s="58">
        <v>2400</v>
      </c>
      <c r="L192" s="59">
        <f t="shared" si="30"/>
        <v>2350</v>
      </c>
      <c r="M192" s="58">
        <f t="shared" si="31"/>
        <v>1762.5</v>
      </c>
      <c r="N192" s="58">
        <f t="shared" si="32"/>
        <v>1527.5</v>
      </c>
      <c r="O192" s="58">
        <f t="shared" si="33"/>
        <v>1200</v>
      </c>
      <c r="P192" s="58">
        <f t="shared" si="34"/>
        <v>1756.060606060606</v>
      </c>
      <c r="Q192" s="60">
        <f t="shared" si="35"/>
        <v>2.9566326530612241</v>
      </c>
      <c r="R192" s="58">
        <f t="shared" si="36"/>
        <v>1168.560606060606</v>
      </c>
      <c r="S192" s="58">
        <f t="shared" si="37"/>
        <v>933.56060606060601</v>
      </c>
      <c r="T192" s="58">
        <f t="shared" si="38"/>
        <v>606.06060606060601</v>
      </c>
      <c r="U192" s="60">
        <f t="shared" si="39"/>
        <v>1.967474489795918</v>
      </c>
      <c r="V192" s="60">
        <f t="shared" si="40"/>
        <v>1.5718112244897957</v>
      </c>
      <c r="W192" s="60">
        <f t="shared" si="41"/>
        <v>1.0204081632653059</v>
      </c>
      <c r="X192" s="61"/>
      <c r="Y192" s="1"/>
      <c r="Z192" s="1"/>
    </row>
    <row r="193" spans="1:26" ht="15.75" customHeight="1">
      <c r="A193" s="54"/>
      <c r="B193" s="162"/>
      <c r="C193" s="33"/>
      <c r="D193" s="55" t="s">
        <v>1315</v>
      </c>
      <c r="E193" s="55" t="s">
        <v>207</v>
      </c>
      <c r="F193" s="56" t="s">
        <v>1305</v>
      </c>
      <c r="G193" s="57" t="s">
        <v>1317</v>
      </c>
      <c r="H193" s="58">
        <v>35000</v>
      </c>
      <c r="I193" s="58">
        <f t="shared" si="28"/>
        <v>24500</v>
      </c>
      <c r="J193" s="58">
        <f t="shared" si="29"/>
        <v>742.42424242424238</v>
      </c>
      <c r="K193" s="58">
        <v>5500</v>
      </c>
      <c r="L193" s="59">
        <f t="shared" si="30"/>
        <v>5450</v>
      </c>
      <c r="M193" s="58">
        <f t="shared" si="31"/>
        <v>4087.5</v>
      </c>
      <c r="N193" s="58">
        <f t="shared" si="32"/>
        <v>3542.5</v>
      </c>
      <c r="O193" s="58">
        <f t="shared" si="33"/>
        <v>2750</v>
      </c>
      <c r="P193" s="58">
        <f t="shared" si="34"/>
        <v>4707.575757575758</v>
      </c>
      <c r="Q193" s="60">
        <f t="shared" si="35"/>
        <v>6.3408163265306134</v>
      </c>
      <c r="R193" s="58">
        <f t="shared" si="36"/>
        <v>3345.0757575757575</v>
      </c>
      <c r="S193" s="58">
        <f t="shared" si="37"/>
        <v>2800.0757575757575</v>
      </c>
      <c r="T193" s="58">
        <f t="shared" si="38"/>
        <v>2007.5757575757575</v>
      </c>
      <c r="U193" s="60">
        <f t="shared" si="39"/>
        <v>4.505612244897959</v>
      </c>
      <c r="V193" s="60">
        <f t="shared" si="40"/>
        <v>3.7715306122448982</v>
      </c>
      <c r="W193" s="60">
        <f t="shared" si="41"/>
        <v>2.7040816326530615</v>
      </c>
      <c r="X193" s="61"/>
      <c r="Y193" s="1"/>
      <c r="Z193" s="1"/>
    </row>
    <row r="194" spans="1:26" ht="15.75" customHeight="1">
      <c r="A194" s="54"/>
      <c r="B194" s="162"/>
      <c r="C194" s="33"/>
      <c r="D194" s="81" t="s">
        <v>171</v>
      </c>
      <c r="E194" s="81" t="s">
        <v>207</v>
      </c>
      <c r="F194" s="82" t="s">
        <v>1305</v>
      </c>
      <c r="G194" s="71" t="s">
        <v>1318</v>
      </c>
      <c r="H194" s="72">
        <v>38000</v>
      </c>
      <c r="I194" s="58">
        <f t="shared" si="28"/>
        <v>26600</v>
      </c>
      <c r="J194" s="58">
        <f t="shared" si="29"/>
        <v>806.06060606060601</v>
      </c>
      <c r="K194" s="58">
        <v>5600</v>
      </c>
      <c r="L194" s="59">
        <f t="shared" si="30"/>
        <v>5550</v>
      </c>
      <c r="M194" s="58">
        <f t="shared" si="31"/>
        <v>4162.5</v>
      </c>
      <c r="N194" s="58">
        <f t="shared" si="32"/>
        <v>3607.5</v>
      </c>
      <c r="O194" s="58">
        <f t="shared" si="33"/>
        <v>2800</v>
      </c>
      <c r="P194" s="58">
        <f t="shared" si="34"/>
        <v>4743.939393939394</v>
      </c>
      <c r="Q194" s="60">
        <f t="shared" si="35"/>
        <v>5.8853383458646622</v>
      </c>
      <c r="R194" s="58">
        <f t="shared" si="36"/>
        <v>3356.439393939394</v>
      </c>
      <c r="S194" s="58">
        <f t="shared" si="37"/>
        <v>2801.439393939394</v>
      </c>
      <c r="T194" s="58">
        <f t="shared" si="38"/>
        <v>1993.939393939394</v>
      </c>
      <c r="U194" s="60">
        <f t="shared" si="39"/>
        <v>4.1640037593984962</v>
      </c>
      <c r="V194" s="60">
        <f t="shared" si="40"/>
        <v>3.4754699248120304</v>
      </c>
      <c r="W194" s="60">
        <f t="shared" si="41"/>
        <v>2.4736842105263159</v>
      </c>
      <c r="X194" s="61"/>
      <c r="Y194" s="1"/>
      <c r="Z194" s="1"/>
    </row>
    <row r="195" spans="1:26" ht="15.75" customHeight="1">
      <c r="A195" s="54"/>
      <c r="B195" s="161"/>
      <c r="C195" s="69"/>
      <c r="D195" s="55" t="s">
        <v>130</v>
      </c>
      <c r="E195" s="55" t="s">
        <v>207</v>
      </c>
      <c r="F195" s="56" t="s">
        <v>1055</v>
      </c>
      <c r="G195" s="57" t="s">
        <v>1319</v>
      </c>
      <c r="H195" s="58">
        <v>25000</v>
      </c>
      <c r="I195" s="58">
        <f t="shared" si="28"/>
        <v>17500</v>
      </c>
      <c r="J195" s="58">
        <f t="shared" si="29"/>
        <v>530.30303030303025</v>
      </c>
      <c r="K195" s="58">
        <v>5200</v>
      </c>
      <c r="L195" s="59">
        <f t="shared" si="30"/>
        <v>5150</v>
      </c>
      <c r="M195" s="58">
        <f t="shared" si="31"/>
        <v>3862.5</v>
      </c>
      <c r="N195" s="58">
        <f t="shared" si="32"/>
        <v>3347.5</v>
      </c>
      <c r="O195" s="58">
        <f t="shared" si="33"/>
        <v>2600</v>
      </c>
      <c r="P195" s="58">
        <f t="shared" si="34"/>
        <v>4619.69696969697</v>
      </c>
      <c r="Q195" s="60">
        <f t="shared" si="35"/>
        <v>8.7114285714285735</v>
      </c>
      <c r="R195" s="58">
        <f t="shared" si="36"/>
        <v>3332.19696969697</v>
      </c>
      <c r="S195" s="58">
        <f t="shared" si="37"/>
        <v>2817.19696969697</v>
      </c>
      <c r="T195" s="58">
        <f t="shared" si="38"/>
        <v>2069.69696969697</v>
      </c>
      <c r="U195" s="60">
        <f t="shared" si="39"/>
        <v>6.2835714285714293</v>
      </c>
      <c r="V195" s="60">
        <f t="shared" si="40"/>
        <v>5.3124285714285726</v>
      </c>
      <c r="W195" s="60">
        <f t="shared" si="41"/>
        <v>3.9028571428571439</v>
      </c>
      <c r="X195" s="61" t="s">
        <v>183</v>
      </c>
      <c r="Y195" s="1"/>
      <c r="Z195" s="1"/>
    </row>
    <row r="196" spans="1:26" ht="15.75" customHeight="1">
      <c r="A196" s="54"/>
      <c r="B196" s="160" t="s">
        <v>802</v>
      </c>
      <c r="C196" s="33"/>
      <c r="D196" s="55" t="s">
        <v>1320</v>
      </c>
      <c r="E196" s="55" t="s">
        <v>607</v>
      </c>
      <c r="F196" s="56" t="s">
        <v>1055</v>
      </c>
      <c r="G196" s="57" t="s">
        <v>1321</v>
      </c>
      <c r="H196" s="58">
        <v>25000</v>
      </c>
      <c r="I196" s="58">
        <f t="shared" ref="I196:I259" si="42">H196*0.7</f>
        <v>17500</v>
      </c>
      <c r="J196" s="58">
        <f t="shared" ref="J196:J259" si="43">I196/33</f>
        <v>530.30303030303025</v>
      </c>
      <c r="K196" s="58">
        <v>1400</v>
      </c>
      <c r="L196" s="59">
        <f t="shared" ref="L196:L259" si="44">K196-50</f>
        <v>1350</v>
      </c>
      <c r="M196" s="58">
        <f t="shared" ref="M196:M259" si="45">L196*0.75</f>
        <v>1012.5</v>
      </c>
      <c r="N196" s="58">
        <f t="shared" ref="N196:N259" si="46">L196*0.65</f>
        <v>877.5</v>
      </c>
      <c r="O196" s="58">
        <f t="shared" ref="O196:O259" si="47">K196*0.5</f>
        <v>700</v>
      </c>
      <c r="P196" s="58">
        <f t="shared" ref="P196:P259" si="48">L196-J196</f>
        <v>819.69696969696975</v>
      </c>
      <c r="Q196" s="60">
        <f t="shared" ref="Q196:Q259" si="49">((L196-J196)/J196)</f>
        <v>1.545714285714286</v>
      </c>
      <c r="R196" s="58">
        <f t="shared" ref="R196:R259" si="50">M196-J196</f>
        <v>482.19696969696975</v>
      </c>
      <c r="S196" s="58">
        <f t="shared" ref="S196:S259" si="51">N196-J196</f>
        <v>347.19696969696975</v>
      </c>
      <c r="T196" s="58">
        <f t="shared" ref="T196:T259" si="52">O196-J196</f>
        <v>169.69696969696975</v>
      </c>
      <c r="U196" s="60">
        <f t="shared" ref="U196:U259" si="53">(M196-J196)/J196</f>
        <v>0.90928571428571447</v>
      </c>
      <c r="V196" s="60">
        <f t="shared" ref="V196:V259" si="54">(N196-J196)/J196</f>
        <v>0.65471428571428592</v>
      </c>
      <c r="W196" s="60">
        <f t="shared" ref="W196:W259" si="55">(O196-J196)/J196</f>
        <v>0.32000000000000012</v>
      </c>
      <c r="X196" s="61"/>
      <c r="Y196" s="1"/>
      <c r="Z196" s="1"/>
    </row>
    <row r="197" spans="1:26" ht="15.75" customHeight="1">
      <c r="A197" s="54"/>
      <c r="B197" s="162"/>
      <c r="C197" s="33"/>
      <c r="D197" s="55" t="s">
        <v>1322</v>
      </c>
      <c r="E197" s="55" t="s">
        <v>607</v>
      </c>
      <c r="F197" s="56" t="s">
        <v>1055</v>
      </c>
      <c r="G197" s="57" t="s">
        <v>1323</v>
      </c>
      <c r="H197" s="58">
        <v>25000</v>
      </c>
      <c r="I197" s="58">
        <f t="shared" si="42"/>
        <v>17500</v>
      </c>
      <c r="J197" s="58">
        <f t="shared" si="43"/>
        <v>530.30303030303025</v>
      </c>
      <c r="K197" s="58">
        <v>1400</v>
      </c>
      <c r="L197" s="59">
        <f t="shared" si="44"/>
        <v>1350</v>
      </c>
      <c r="M197" s="58">
        <f t="shared" si="45"/>
        <v>1012.5</v>
      </c>
      <c r="N197" s="58">
        <f t="shared" si="46"/>
        <v>877.5</v>
      </c>
      <c r="O197" s="58">
        <f t="shared" si="47"/>
        <v>700</v>
      </c>
      <c r="P197" s="58">
        <f t="shared" si="48"/>
        <v>819.69696969696975</v>
      </c>
      <c r="Q197" s="60">
        <f t="shared" si="49"/>
        <v>1.545714285714286</v>
      </c>
      <c r="R197" s="58">
        <f t="shared" si="50"/>
        <v>482.19696969696975</v>
      </c>
      <c r="S197" s="58">
        <f t="shared" si="51"/>
        <v>347.19696969696975</v>
      </c>
      <c r="T197" s="58">
        <f t="shared" si="52"/>
        <v>169.69696969696975</v>
      </c>
      <c r="U197" s="60">
        <f t="shared" si="53"/>
        <v>0.90928571428571447</v>
      </c>
      <c r="V197" s="60">
        <f t="shared" si="54"/>
        <v>0.65471428571428592</v>
      </c>
      <c r="W197" s="60">
        <f t="shared" si="55"/>
        <v>0.32000000000000012</v>
      </c>
      <c r="X197" s="61" t="s">
        <v>140</v>
      </c>
      <c r="Y197" s="1"/>
      <c r="Z197" s="1"/>
    </row>
    <row r="198" spans="1:26" ht="15.75" customHeight="1">
      <c r="A198" s="54"/>
      <c r="B198" s="162"/>
      <c r="C198" s="33"/>
      <c r="D198" s="55" t="s">
        <v>1322</v>
      </c>
      <c r="E198" s="55" t="s">
        <v>1324</v>
      </c>
      <c r="F198" s="56" t="s">
        <v>1055</v>
      </c>
      <c r="G198" s="57" t="s">
        <v>1325</v>
      </c>
      <c r="H198" s="58">
        <v>25000</v>
      </c>
      <c r="I198" s="58">
        <f t="shared" si="42"/>
        <v>17500</v>
      </c>
      <c r="J198" s="58">
        <f t="shared" si="43"/>
        <v>530.30303030303025</v>
      </c>
      <c r="K198" s="58">
        <v>1500</v>
      </c>
      <c r="L198" s="59">
        <f t="shared" si="44"/>
        <v>1450</v>
      </c>
      <c r="M198" s="58">
        <f t="shared" si="45"/>
        <v>1087.5</v>
      </c>
      <c r="N198" s="58">
        <f t="shared" si="46"/>
        <v>942.5</v>
      </c>
      <c r="O198" s="58">
        <f t="shared" si="47"/>
        <v>750</v>
      </c>
      <c r="P198" s="58">
        <f t="shared" si="48"/>
        <v>919.69696969696975</v>
      </c>
      <c r="Q198" s="60">
        <f t="shared" si="49"/>
        <v>1.7342857142857144</v>
      </c>
      <c r="R198" s="58">
        <f t="shared" si="50"/>
        <v>557.19696969696975</v>
      </c>
      <c r="S198" s="58">
        <f t="shared" si="51"/>
        <v>412.19696969696975</v>
      </c>
      <c r="T198" s="58">
        <f t="shared" si="52"/>
        <v>219.69696969696975</v>
      </c>
      <c r="U198" s="60">
        <f t="shared" si="53"/>
        <v>1.0507142857142859</v>
      </c>
      <c r="V198" s="60">
        <f t="shared" si="54"/>
        <v>0.77728571428571447</v>
      </c>
      <c r="W198" s="60">
        <f t="shared" si="55"/>
        <v>0.41428571428571442</v>
      </c>
      <c r="X198" s="61" t="s">
        <v>141</v>
      </c>
      <c r="Y198" s="1"/>
      <c r="Z198" s="1"/>
    </row>
    <row r="199" spans="1:26" ht="15.75" customHeight="1">
      <c r="A199" s="54"/>
      <c r="B199" s="162"/>
      <c r="C199" s="33"/>
      <c r="D199" s="55" t="s">
        <v>1322</v>
      </c>
      <c r="E199" s="55" t="s">
        <v>1326</v>
      </c>
      <c r="F199" s="56" t="s">
        <v>1055</v>
      </c>
      <c r="G199" s="57" t="s">
        <v>1327</v>
      </c>
      <c r="H199" s="58">
        <v>25000</v>
      </c>
      <c r="I199" s="58">
        <f t="shared" si="42"/>
        <v>17500</v>
      </c>
      <c r="J199" s="58">
        <f t="shared" si="43"/>
        <v>530.30303030303025</v>
      </c>
      <c r="K199" s="58">
        <v>1500</v>
      </c>
      <c r="L199" s="59">
        <f t="shared" si="44"/>
        <v>1450</v>
      </c>
      <c r="M199" s="58">
        <f t="shared" si="45"/>
        <v>1087.5</v>
      </c>
      <c r="N199" s="58">
        <f t="shared" si="46"/>
        <v>942.5</v>
      </c>
      <c r="O199" s="58">
        <f t="shared" si="47"/>
        <v>750</v>
      </c>
      <c r="P199" s="58">
        <f t="shared" si="48"/>
        <v>919.69696969696975</v>
      </c>
      <c r="Q199" s="60">
        <f t="shared" si="49"/>
        <v>1.7342857142857144</v>
      </c>
      <c r="R199" s="58">
        <f t="shared" si="50"/>
        <v>557.19696969696975</v>
      </c>
      <c r="S199" s="58">
        <f t="shared" si="51"/>
        <v>412.19696969696975</v>
      </c>
      <c r="T199" s="58">
        <f t="shared" si="52"/>
        <v>219.69696969696975</v>
      </c>
      <c r="U199" s="60">
        <f t="shared" si="53"/>
        <v>1.0507142857142859</v>
      </c>
      <c r="V199" s="60">
        <f t="shared" si="54"/>
        <v>0.77728571428571447</v>
      </c>
      <c r="W199" s="60">
        <f t="shared" si="55"/>
        <v>0.41428571428571442</v>
      </c>
      <c r="X199" s="61" t="s">
        <v>141</v>
      </c>
      <c r="Y199" s="1"/>
      <c r="Z199" s="1"/>
    </row>
    <row r="200" spans="1:26" ht="15.75" customHeight="1">
      <c r="A200" s="54"/>
      <c r="B200" s="162"/>
      <c r="C200" s="33"/>
      <c r="D200" s="55" t="s">
        <v>1328</v>
      </c>
      <c r="E200" s="55" t="s">
        <v>68</v>
      </c>
      <c r="F200" s="56" t="s">
        <v>1055</v>
      </c>
      <c r="G200" s="57" t="s">
        <v>1329</v>
      </c>
      <c r="H200" s="58">
        <v>25000</v>
      </c>
      <c r="I200" s="58">
        <f t="shared" si="42"/>
        <v>17500</v>
      </c>
      <c r="J200" s="58">
        <f t="shared" si="43"/>
        <v>530.30303030303025</v>
      </c>
      <c r="K200" s="58">
        <v>1500</v>
      </c>
      <c r="L200" s="59">
        <f t="shared" si="44"/>
        <v>1450</v>
      </c>
      <c r="M200" s="58">
        <f t="shared" si="45"/>
        <v>1087.5</v>
      </c>
      <c r="N200" s="58">
        <f t="shared" si="46"/>
        <v>942.5</v>
      </c>
      <c r="O200" s="58">
        <f t="shared" si="47"/>
        <v>750</v>
      </c>
      <c r="P200" s="58">
        <f t="shared" si="48"/>
        <v>919.69696969696975</v>
      </c>
      <c r="Q200" s="60">
        <f t="shared" si="49"/>
        <v>1.7342857142857144</v>
      </c>
      <c r="R200" s="58">
        <f t="shared" si="50"/>
        <v>557.19696969696975</v>
      </c>
      <c r="S200" s="58">
        <f t="shared" si="51"/>
        <v>412.19696969696975</v>
      </c>
      <c r="T200" s="58">
        <f t="shared" si="52"/>
        <v>219.69696969696975</v>
      </c>
      <c r="U200" s="60">
        <f t="shared" si="53"/>
        <v>1.0507142857142859</v>
      </c>
      <c r="V200" s="60">
        <f t="shared" si="54"/>
        <v>0.77728571428571447</v>
      </c>
      <c r="W200" s="60">
        <f t="shared" si="55"/>
        <v>0.41428571428571442</v>
      </c>
      <c r="X200" s="61" t="s">
        <v>187</v>
      </c>
      <c r="Y200" s="1"/>
      <c r="Z200" s="1"/>
    </row>
    <row r="201" spans="1:26" ht="15.75" customHeight="1">
      <c r="A201" s="54"/>
      <c r="B201" s="162"/>
      <c r="C201" s="33"/>
      <c r="D201" s="55" t="s">
        <v>1328</v>
      </c>
      <c r="E201" s="55" t="s">
        <v>248</v>
      </c>
      <c r="F201" s="56" t="s">
        <v>1055</v>
      </c>
      <c r="G201" s="57" t="s">
        <v>1330</v>
      </c>
      <c r="H201" s="58">
        <v>25000</v>
      </c>
      <c r="I201" s="58">
        <f t="shared" si="42"/>
        <v>17500</v>
      </c>
      <c r="J201" s="58">
        <f t="shared" si="43"/>
        <v>530.30303030303025</v>
      </c>
      <c r="K201" s="58">
        <v>1500</v>
      </c>
      <c r="L201" s="59">
        <f t="shared" si="44"/>
        <v>1450</v>
      </c>
      <c r="M201" s="58">
        <f t="shared" si="45"/>
        <v>1087.5</v>
      </c>
      <c r="N201" s="58">
        <f t="shared" si="46"/>
        <v>942.5</v>
      </c>
      <c r="O201" s="58">
        <f t="shared" si="47"/>
        <v>750</v>
      </c>
      <c r="P201" s="58">
        <f t="shared" si="48"/>
        <v>919.69696969696975</v>
      </c>
      <c r="Q201" s="60">
        <f t="shared" si="49"/>
        <v>1.7342857142857144</v>
      </c>
      <c r="R201" s="58">
        <f t="shared" si="50"/>
        <v>557.19696969696975</v>
      </c>
      <c r="S201" s="58">
        <f t="shared" si="51"/>
        <v>412.19696969696975</v>
      </c>
      <c r="T201" s="58">
        <f t="shared" si="52"/>
        <v>219.69696969696975</v>
      </c>
      <c r="U201" s="60">
        <f t="shared" si="53"/>
        <v>1.0507142857142859</v>
      </c>
      <c r="V201" s="60">
        <f t="shared" si="54"/>
        <v>0.77728571428571447</v>
      </c>
      <c r="W201" s="60">
        <f t="shared" si="55"/>
        <v>0.41428571428571442</v>
      </c>
      <c r="X201" s="61" t="s">
        <v>23</v>
      </c>
      <c r="Y201" s="1"/>
      <c r="Z201" s="1"/>
    </row>
    <row r="202" spans="1:26" ht="15.75" customHeight="1">
      <c r="A202" s="54"/>
      <c r="B202" s="162"/>
      <c r="C202" s="33"/>
      <c r="D202" s="55" t="s">
        <v>1328</v>
      </c>
      <c r="E202" s="55" t="s">
        <v>386</v>
      </c>
      <c r="F202" s="56" t="s">
        <v>1055</v>
      </c>
      <c r="G202" s="57" t="s">
        <v>1331</v>
      </c>
      <c r="H202" s="58">
        <v>25000</v>
      </c>
      <c r="I202" s="58">
        <f t="shared" si="42"/>
        <v>17500</v>
      </c>
      <c r="J202" s="58">
        <f t="shared" si="43"/>
        <v>530.30303030303025</v>
      </c>
      <c r="K202" s="58">
        <v>1600</v>
      </c>
      <c r="L202" s="59">
        <f t="shared" si="44"/>
        <v>1550</v>
      </c>
      <c r="M202" s="58">
        <f t="shared" si="45"/>
        <v>1162.5</v>
      </c>
      <c r="N202" s="58">
        <f t="shared" si="46"/>
        <v>1007.5</v>
      </c>
      <c r="O202" s="58">
        <f t="shared" si="47"/>
        <v>800</v>
      </c>
      <c r="P202" s="58">
        <f t="shared" si="48"/>
        <v>1019.6969696969697</v>
      </c>
      <c r="Q202" s="60">
        <f t="shared" si="49"/>
        <v>1.922857142857143</v>
      </c>
      <c r="R202" s="58">
        <f t="shared" si="50"/>
        <v>632.19696969696975</v>
      </c>
      <c r="S202" s="58">
        <f t="shared" si="51"/>
        <v>477.19696969696975</v>
      </c>
      <c r="T202" s="58">
        <f t="shared" si="52"/>
        <v>269.69696969696975</v>
      </c>
      <c r="U202" s="60">
        <f t="shared" si="53"/>
        <v>1.1921428571428574</v>
      </c>
      <c r="V202" s="60">
        <f t="shared" si="54"/>
        <v>0.89985714285714302</v>
      </c>
      <c r="W202" s="60">
        <f t="shared" si="55"/>
        <v>0.50857142857142867</v>
      </c>
      <c r="X202" s="61"/>
      <c r="Y202" s="1"/>
      <c r="Z202" s="1"/>
    </row>
    <row r="203" spans="1:26" ht="15.75" customHeight="1">
      <c r="A203" s="54"/>
      <c r="B203" s="162"/>
      <c r="C203" s="33"/>
      <c r="D203" s="55" t="s">
        <v>1328</v>
      </c>
      <c r="E203" s="55" t="s">
        <v>1152</v>
      </c>
      <c r="F203" s="56"/>
      <c r="G203" s="74" t="s">
        <v>1332</v>
      </c>
      <c r="H203" s="58">
        <v>4000</v>
      </c>
      <c r="I203" s="58">
        <f t="shared" si="42"/>
        <v>2800</v>
      </c>
      <c r="J203" s="58">
        <f t="shared" si="43"/>
        <v>84.848484848484844</v>
      </c>
      <c r="K203" s="58">
        <v>400</v>
      </c>
      <c r="L203" s="59">
        <f t="shared" si="44"/>
        <v>350</v>
      </c>
      <c r="M203" s="58">
        <f t="shared" si="45"/>
        <v>262.5</v>
      </c>
      <c r="N203" s="58">
        <f t="shared" si="46"/>
        <v>227.5</v>
      </c>
      <c r="O203" s="58">
        <f t="shared" si="47"/>
        <v>200</v>
      </c>
      <c r="P203" s="58">
        <f t="shared" si="48"/>
        <v>265.15151515151513</v>
      </c>
      <c r="Q203" s="60">
        <f t="shared" si="49"/>
        <v>3.125</v>
      </c>
      <c r="R203" s="58">
        <f t="shared" si="50"/>
        <v>177.65151515151516</v>
      </c>
      <c r="S203" s="58">
        <f t="shared" si="51"/>
        <v>142.65151515151516</v>
      </c>
      <c r="T203" s="58">
        <f t="shared" si="52"/>
        <v>115.15151515151516</v>
      </c>
      <c r="U203" s="60">
        <f t="shared" si="53"/>
        <v>2.09375</v>
      </c>
      <c r="V203" s="60">
        <f t="shared" si="54"/>
        <v>1.6812500000000001</v>
      </c>
      <c r="W203" s="60">
        <f t="shared" si="55"/>
        <v>1.3571428571428572</v>
      </c>
      <c r="X203" s="61"/>
      <c r="Y203" s="1"/>
      <c r="Z203" s="1"/>
    </row>
    <row r="204" spans="1:26" ht="15.75" customHeight="1">
      <c r="A204" s="54"/>
      <c r="B204" s="162"/>
      <c r="C204" s="33"/>
      <c r="D204" s="55" t="s">
        <v>1333</v>
      </c>
      <c r="E204" s="55" t="s">
        <v>820</v>
      </c>
      <c r="F204" s="56" t="s">
        <v>1055</v>
      </c>
      <c r="G204" s="57" t="s">
        <v>1334</v>
      </c>
      <c r="H204" s="58">
        <v>22000</v>
      </c>
      <c r="I204" s="58">
        <f t="shared" si="42"/>
        <v>15399.999999999998</v>
      </c>
      <c r="J204" s="58">
        <f t="shared" si="43"/>
        <v>466.66666666666663</v>
      </c>
      <c r="K204" s="58">
        <v>1400</v>
      </c>
      <c r="L204" s="59">
        <f t="shared" si="44"/>
        <v>1350</v>
      </c>
      <c r="M204" s="58">
        <f t="shared" si="45"/>
        <v>1012.5</v>
      </c>
      <c r="N204" s="58">
        <f t="shared" si="46"/>
        <v>877.5</v>
      </c>
      <c r="O204" s="58">
        <f t="shared" si="47"/>
        <v>700</v>
      </c>
      <c r="P204" s="58">
        <f t="shared" si="48"/>
        <v>883.33333333333337</v>
      </c>
      <c r="Q204" s="60">
        <f t="shared" si="49"/>
        <v>1.892857142857143</v>
      </c>
      <c r="R204" s="58">
        <f t="shared" si="50"/>
        <v>545.83333333333337</v>
      </c>
      <c r="S204" s="58">
        <f t="shared" si="51"/>
        <v>410.83333333333337</v>
      </c>
      <c r="T204" s="58">
        <f t="shared" si="52"/>
        <v>233.33333333333337</v>
      </c>
      <c r="U204" s="60">
        <f t="shared" si="53"/>
        <v>1.1696428571428574</v>
      </c>
      <c r="V204" s="60">
        <f t="shared" si="54"/>
        <v>0.88035714285714306</v>
      </c>
      <c r="W204" s="60">
        <f t="shared" si="55"/>
        <v>0.50000000000000011</v>
      </c>
      <c r="X204" s="61" t="s">
        <v>160</v>
      </c>
      <c r="Y204" s="1"/>
      <c r="Z204" s="1"/>
    </row>
    <row r="205" spans="1:26" ht="15.75" customHeight="1">
      <c r="A205" s="54"/>
      <c r="B205" s="161"/>
      <c r="C205" s="69"/>
      <c r="D205" s="55" t="s">
        <v>1333</v>
      </c>
      <c r="E205" s="55" t="s">
        <v>386</v>
      </c>
      <c r="F205" s="56" t="s">
        <v>1055</v>
      </c>
      <c r="G205" s="57" t="s">
        <v>1335</v>
      </c>
      <c r="H205" s="58">
        <v>25000</v>
      </c>
      <c r="I205" s="58">
        <f t="shared" si="42"/>
        <v>17500</v>
      </c>
      <c r="J205" s="58">
        <f t="shared" si="43"/>
        <v>530.30303030303025</v>
      </c>
      <c r="K205" s="58">
        <v>1500</v>
      </c>
      <c r="L205" s="59">
        <f t="shared" si="44"/>
        <v>1450</v>
      </c>
      <c r="M205" s="58">
        <f t="shared" si="45"/>
        <v>1087.5</v>
      </c>
      <c r="N205" s="58">
        <f t="shared" si="46"/>
        <v>942.5</v>
      </c>
      <c r="O205" s="58">
        <f t="shared" si="47"/>
        <v>750</v>
      </c>
      <c r="P205" s="58">
        <f t="shared" si="48"/>
        <v>919.69696969696975</v>
      </c>
      <c r="Q205" s="60">
        <f t="shared" si="49"/>
        <v>1.7342857142857144</v>
      </c>
      <c r="R205" s="58">
        <f t="shared" si="50"/>
        <v>557.19696969696975</v>
      </c>
      <c r="S205" s="58">
        <f t="shared" si="51"/>
        <v>412.19696969696975</v>
      </c>
      <c r="T205" s="58">
        <f t="shared" si="52"/>
        <v>219.69696969696975</v>
      </c>
      <c r="U205" s="60">
        <f t="shared" si="53"/>
        <v>1.0507142857142859</v>
      </c>
      <c r="V205" s="60">
        <f t="shared" si="54"/>
        <v>0.77728571428571447</v>
      </c>
      <c r="W205" s="60">
        <f t="shared" si="55"/>
        <v>0.41428571428571442</v>
      </c>
      <c r="X205" s="61" t="s">
        <v>191</v>
      </c>
      <c r="Y205" s="1"/>
      <c r="Z205" s="1"/>
    </row>
    <row r="206" spans="1:26" ht="15.75" customHeight="1">
      <c r="A206" s="54"/>
      <c r="B206" s="160" t="s">
        <v>1336</v>
      </c>
      <c r="C206" s="33"/>
      <c r="D206" s="55" t="s">
        <v>1337</v>
      </c>
      <c r="E206" s="55" t="s">
        <v>607</v>
      </c>
      <c r="F206" s="56" t="s">
        <v>1055</v>
      </c>
      <c r="G206" s="57" t="s">
        <v>1338</v>
      </c>
      <c r="H206" s="58">
        <v>15000</v>
      </c>
      <c r="I206" s="58">
        <f t="shared" si="42"/>
        <v>10500</v>
      </c>
      <c r="J206" s="58">
        <f t="shared" si="43"/>
        <v>318.18181818181819</v>
      </c>
      <c r="K206" s="58">
        <v>1500</v>
      </c>
      <c r="L206" s="59">
        <f t="shared" si="44"/>
        <v>1450</v>
      </c>
      <c r="M206" s="58">
        <f t="shared" si="45"/>
        <v>1087.5</v>
      </c>
      <c r="N206" s="58">
        <f t="shared" si="46"/>
        <v>942.5</v>
      </c>
      <c r="O206" s="58">
        <f t="shared" si="47"/>
        <v>750</v>
      </c>
      <c r="P206" s="58">
        <f t="shared" si="48"/>
        <v>1131.8181818181818</v>
      </c>
      <c r="Q206" s="60">
        <f t="shared" si="49"/>
        <v>3.5571428571428569</v>
      </c>
      <c r="R206" s="58">
        <f t="shared" si="50"/>
        <v>769.31818181818176</v>
      </c>
      <c r="S206" s="58">
        <f t="shared" si="51"/>
        <v>624.31818181818176</v>
      </c>
      <c r="T206" s="58">
        <f t="shared" si="52"/>
        <v>431.81818181818181</v>
      </c>
      <c r="U206" s="60">
        <f t="shared" si="53"/>
        <v>2.4178571428571427</v>
      </c>
      <c r="V206" s="60">
        <f t="shared" si="54"/>
        <v>1.962142857142857</v>
      </c>
      <c r="W206" s="60">
        <f t="shared" si="55"/>
        <v>1.3571428571428572</v>
      </c>
      <c r="X206" s="61"/>
      <c r="Y206" s="1"/>
      <c r="Z206" s="1"/>
    </row>
    <row r="207" spans="1:26" ht="15.75" customHeight="1">
      <c r="A207" s="54"/>
      <c r="B207" s="162"/>
      <c r="C207" s="33"/>
      <c r="D207" s="55" t="s">
        <v>1337</v>
      </c>
      <c r="E207" s="55" t="s">
        <v>68</v>
      </c>
      <c r="F207" s="56" t="s">
        <v>1055</v>
      </c>
      <c r="G207" s="57" t="s">
        <v>1339</v>
      </c>
      <c r="H207" s="58">
        <v>18000</v>
      </c>
      <c r="I207" s="58">
        <f t="shared" si="42"/>
        <v>12600</v>
      </c>
      <c r="J207" s="58">
        <f t="shared" si="43"/>
        <v>381.81818181818181</v>
      </c>
      <c r="K207" s="58">
        <v>1600</v>
      </c>
      <c r="L207" s="59">
        <f t="shared" si="44"/>
        <v>1550</v>
      </c>
      <c r="M207" s="58">
        <f t="shared" si="45"/>
        <v>1162.5</v>
      </c>
      <c r="N207" s="58">
        <f t="shared" si="46"/>
        <v>1007.5</v>
      </c>
      <c r="O207" s="58">
        <f t="shared" si="47"/>
        <v>800</v>
      </c>
      <c r="P207" s="58">
        <f t="shared" si="48"/>
        <v>1168.1818181818182</v>
      </c>
      <c r="Q207" s="60">
        <f t="shared" si="49"/>
        <v>3.0595238095238098</v>
      </c>
      <c r="R207" s="58">
        <f t="shared" si="50"/>
        <v>780.68181818181824</v>
      </c>
      <c r="S207" s="58">
        <f t="shared" si="51"/>
        <v>625.68181818181824</v>
      </c>
      <c r="T207" s="58">
        <f t="shared" si="52"/>
        <v>418.18181818181819</v>
      </c>
      <c r="U207" s="60">
        <f t="shared" si="53"/>
        <v>2.0446428571428572</v>
      </c>
      <c r="V207" s="60">
        <f t="shared" si="54"/>
        <v>1.6386904761904764</v>
      </c>
      <c r="W207" s="60">
        <f t="shared" si="55"/>
        <v>1.0952380952380953</v>
      </c>
      <c r="X207" s="61"/>
      <c r="Y207" s="1"/>
      <c r="Z207" s="1"/>
    </row>
    <row r="208" spans="1:26" ht="15.75" customHeight="1">
      <c r="A208" s="54"/>
      <c r="B208" s="162"/>
      <c r="C208" s="33"/>
      <c r="D208" s="55" t="s">
        <v>1340</v>
      </c>
      <c r="E208" s="55" t="s">
        <v>607</v>
      </c>
      <c r="F208" s="56" t="s">
        <v>1055</v>
      </c>
      <c r="G208" s="57" t="s">
        <v>1341</v>
      </c>
      <c r="H208" s="58">
        <v>15000</v>
      </c>
      <c r="I208" s="58">
        <f t="shared" si="42"/>
        <v>10500</v>
      </c>
      <c r="J208" s="58">
        <f t="shared" si="43"/>
        <v>318.18181818181819</v>
      </c>
      <c r="K208" s="58">
        <v>1500</v>
      </c>
      <c r="L208" s="59">
        <f t="shared" si="44"/>
        <v>1450</v>
      </c>
      <c r="M208" s="58">
        <f t="shared" si="45"/>
        <v>1087.5</v>
      </c>
      <c r="N208" s="58">
        <f t="shared" si="46"/>
        <v>942.5</v>
      </c>
      <c r="O208" s="58">
        <f t="shared" si="47"/>
        <v>750</v>
      </c>
      <c r="P208" s="58">
        <f t="shared" si="48"/>
        <v>1131.8181818181818</v>
      </c>
      <c r="Q208" s="60">
        <f t="shared" si="49"/>
        <v>3.5571428571428569</v>
      </c>
      <c r="R208" s="58">
        <f t="shared" si="50"/>
        <v>769.31818181818176</v>
      </c>
      <c r="S208" s="58">
        <f t="shared" si="51"/>
        <v>624.31818181818176</v>
      </c>
      <c r="T208" s="58">
        <f t="shared" si="52"/>
        <v>431.81818181818181</v>
      </c>
      <c r="U208" s="60">
        <f t="shared" si="53"/>
        <v>2.4178571428571427</v>
      </c>
      <c r="V208" s="60">
        <f t="shared" si="54"/>
        <v>1.962142857142857</v>
      </c>
      <c r="W208" s="60">
        <f t="shared" si="55"/>
        <v>1.3571428571428572</v>
      </c>
      <c r="X208" s="61" t="s">
        <v>47</v>
      </c>
      <c r="Y208" s="1"/>
      <c r="Z208" s="1"/>
    </row>
    <row r="209" spans="1:26" ht="15.75" customHeight="1">
      <c r="A209" s="54"/>
      <c r="B209" s="162"/>
      <c r="C209" s="33"/>
      <c r="D209" s="65" t="s">
        <v>1340</v>
      </c>
      <c r="E209" s="65" t="s">
        <v>68</v>
      </c>
      <c r="F209" s="66" t="s">
        <v>1055</v>
      </c>
      <c r="G209" s="67" t="s">
        <v>1342</v>
      </c>
      <c r="H209" s="68">
        <v>18000</v>
      </c>
      <c r="I209" s="58">
        <f t="shared" si="42"/>
        <v>12600</v>
      </c>
      <c r="J209" s="58">
        <f t="shared" si="43"/>
        <v>381.81818181818181</v>
      </c>
      <c r="K209" s="58">
        <v>1600</v>
      </c>
      <c r="L209" s="59">
        <f t="shared" si="44"/>
        <v>1550</v>
      </c>
      <c r="M209" s="58">
        <f t="shared" si="45"/>
        <v>1162.5</v>
      </c>
      <c r="N209" s="58">
        <f t="shared" si="46"/>
        <v>1007.5</v>
      </c>
      <c r="O209" s="58">
        <f t="shared" si="47"/>
        <v>800</v>
      </c>
      <c r="P209" s="58">
        <f t="shared" si="48"/>
        <v>1168.1818181818182</v>
      </c>
      <c r="Q209" s="60">
        <f t="shared" si="49"/>
        <v>3.0595238095238098</v>
      </c>
      <c r="R209" s="58">
        <f t="shared" si="50"/>
        <v>780.68181818181824</v>
      </c>
      <c r="S209" s="58">
        <f t="shared" si="51"/>
        <v>625.68181818181824</v>
      </c>
      <c r="T209" s="58">
        <f t="shared" si="52"/>
        <v>418.18181818181819</v>
      </c>
      <c r="U209" s="60">
        <f t="shared" si="53"/>
        <v>2.0446428571428572</v>
      </c>
      <c r="V209" s="60">
        <f t="shared" si="54"/>
        <v>1.6386904761904764</v>
      </c>
      <c r="W209" s="60">
        <f t="shared" si="55"/>
        <v>1.0952380952380953</v>
      </c>
      <c r="X209" s="61"/>
      <c r="Y209" s="1"/>
      <c r="Z209" s="1"/>
    </row>
    <row r="210" spans="1:26" ht="15.75" customHeight="1">
      <c r="A210" s="54"/>
      <c r="B210" s="162"/>
      <c r="C210" s="33"/>
      <c r="D210" s="65" t="s">
        <v>1343</v>
      </c>
      <c r="E210" s="65" t="s">
        <v>607</v>
      </c>
      <c r="F210" s="66" t="s">
        <v>1055</v>
      </c>
      <c r="G210" s="57" t="s">
        <v>1344</v>
      </c>
      <c r="H210" s="58">
        <v>18000</v>
      </c>
      <c r="I210" s="58">
        <f t="shared" si="42"/>
        <v>12600</v>
      </c>
      <c r="J210" s="58">
        <f t="shared" si="43"/>
        <v>381.81818181818181</v>
      </c>
      <c r="K210" s="58">
        <v>1500</v>
      </c>
      <c r="L210" s="59">
        <f t="shared" si="44"/>
        <v>1450</v>
      </c>
      <c r="M210" s="58">
        <f t="shared" si="45"/>
        <v>1087.5</v>
      </c>
      <c r="N210" s="58">
        <f t="shared" si="46"/>
        <v>942.5</v>
      </c>
      <c r="O210" s="58">
        <f t="shared" si="47"/>
        <v>750</v>
      </c>
      <c r="P210" s="58">
        <f t="shared" si="48"/>
        <v>1068.1818181818182</v>
      </c>
      <c r="Q210" s="60">
        <f t="shared" si="49"/>
        <v>2.7976190476190479</v>
      </c>
      <c r="R210" s="58">
        <f t="shared" si="50"/>
        <v>705.68181818181824</v>
      </c>
      <c r="S210" s="58">
        <f t="shared" si="51"/>
        <v>560.68181818181824</v>
      </c>
      <c r="T210" s="58">
        <f t="shared" si="52"/>
        <v>368.18181818181819</v>
      </c>
      <c r="U210" s="60">
        <f t="shared" si="53"/>
        <v>1.8482142857142858</v>
      </c>
      <c r="V210" s="60">
        <f t="shared" si="54"/>
        <v>1.4684523809523811</v>
      </c>
      <c r="W210" s="60">
        <f t="shared" si="55"/>
        <v>0.9642857142857143</v>
      </c>
      <c r="X210" s="83">
        <v>44258</v>
      </c>
      <c r="Y210" s="1"/>
      <c r="Z210" s="1"/>
    </row>
    <row r="211" spans="1:26" ht="15.75" customHeight="1">
      <c r="A211" s="54"/>
      <c r="B211" s="162"/>
      <c r="C211" s="33"/>
      <c r="D211" s="65" t="s">
        <v>1345</v>
      </c>
      <c r="E211" s="65" t="s">
        <v>607</v>
      </c>
      <c r="F211" s="66" t="s">
        <v>1055</v>
      </c>
      <c r="G211" s="57" t="s">
        <v>1346</v>
      </c>
      <c r="H211" s="58">
        <v>18000</v>
      </c>
      <c r="I211" s="58">
        <f t="shared" si="42"/>
        <v>12600</v>
      </c>
      <c r="J211" s="58">
        <f t="shared" si="43"/>
        <v>381.81818181818181</v>
      </c>
      <c r="K211" s="58">
        <v>1500</v>
      </c>
      <c r="L211" s="59">
        <f t="shared" si="44"/>
        <v>1450</v>
      </c>
      <c r="M211" s="58">
        <f t="shared" si="45"/>
        <v>1087.5</v>
      </c>
      <c r="N211" s="58">
        <f t="shared" si="46"/>
        <v>942.5</v>
      </c>
      <c r="O211" s="58">
        <f t="shared" si="47"/>
        <v>750</v>
      </c>
      <c r="P211" s="58">
        <f t="shared" si="48"/>
        <v>1068.1818181818182</v>
      </c>
      <c r="Q211" s="60">
        <f t="shared" si="49"/>
        <v>2.7976190476190479</v>
      </c>
      <c r="R211" s="58">
        <f t="shared" si="50"/>
        <v>705.68181818181824</v>
      </c>
      <c r="S211" s="58">
        <f t="shared" si="51"/>
        <v>560.68181818181824</v>
      </c>
      <c r="T211" s="58">
        <f t="shared" si="52"/>
        <v>368.18181818181819</v>
      </c>
      <c r="U211" s="60">
        <f t="shared" si="53"/>
        <v>1.8482142857142858</v>
      </c>
      <c r="V211" s="60">
        <f t="shared" si="54"/>
        <v>1.4684523809523811</v>
      </c>
      <c r="W211" s="60">
        <f t="shared" si="55"/>
        <v>0.9642857142857143</v>
      </c>
      <c r="X211" s="83">
        <v>44396</v>
      </c>
      <c r="Y211" s="1"/>
      <c r="Z211" s="1"/>
    </row>
    <row r="212" spans="1:26" ht="15.75" customHeight="1">
      <c r="A212" s="54"/>
      <c r="B212" s="161"/>
      <c r="C212" s="33"/>
      <c r="D212" s="65" t="s">
        <v>1345</v>
      </c>
      <c r="E212" s="65" t="s">
        <v>68</v>
      </c>
      <c r="F212" s="66" t="s">
        <v>1055</v>
      </c>
      <c r="G212" s="57" t="s">
        <v>1347</v>
      </c>
      <c r="H212" s="58">
        <v>22000</v>
      </c>
      <c r="I212" s="58">
        <f t="shared" si="42"/>
        <v>15399.999999999998</v>
      </c>
      <c r="J212" s="58">
        <f t="shared" si="43"/>
        <v>466.66666666666663</v>
      </c>
      <c r="K212" s="58">
        <v>1600</v>
      </c>
      <c r="L212" s="59">
        <f t="shared" si="44"/>
        <v>1550</v>
      </c>
      <c r="M212" s="58">
        <f t="shared" si="45"/>
        <v>1162.5</v>
      </c>
      <c r="N212" s="58">
        <f t="shared" si="46"/>
        <v>1007.5</v>
      </c>
      <c r="O212" s="58">
        <f t="shared" si="47"/>
        <v>800</v>
      </c>
      <c r="P212" s="58">
        <f t="shared" si="48"/>
        <v>1083.3333333333335</v>
      </c>
      <c r="Q212" s="60">
        <f t="shared" si="49"/>
        <v>2.3214285714285721</v>
      </c>
      <c r="R212" s="58">
        <f t="shared" si="50"/>
        <v>695.83333333333337</v>
      </c>
      <c r="S212" s="58">
        <f t="shared" si="51"/>
        <v>540.83333333333337</v>
      </c>
      <c r="T212" s="58">
        <f t="shared" si="52"/>
        <v>333.33333333333337</v>
      </c>
      <c r="U212" s="60">
        <f t="shared" si="53"/>
        <v>1.4910714285714288</v>
      </c>
      <c r="V212" s="60">
        <f t="shared" si="54"/>
        <v>1.1589285714285715</v>
      </c>
      <c r="W212" s="60">
        <f t="shared" si="55"/>
        <v>0.71428571428571441</v>
      </c>
      <c r="X212" s="83"/>
      <c r="Y212" s="1"/>
      <c r="Z212" s="1"/>
    </row>
    <row r="213" spans="1:26" ht="15.75" customHeight="1">
      <c r="A213" s="54"/>
      <c r="B213" s="160" t="s">
        <v>1348</v>
      </c>
      <c r="C213" s="33"/>
      <c r="D213" s="55" t="s">
        <v>1349</v>
      </c>
      <c r="E213" s="55" t="s">
        <v>607</v>
      </c>
      <c r="F213" s="56" t="s">
        <v>1007</v>
      </c>
      <c r="G213" s="57" t="s">
        <v>1350</v>
      </c>
      <c r="H213" s="58">
        <v>16000</v>
      </c>
      <c r="I213" s="58">
        <f t="shared" si="42"/>
        <v>11200</v>
      </c>
      <c r="J213" s="58">
        <f t="shared" si="43"/>
        <v>339.39393939393938</v>
      </c>
      <c r="K213" s="58">
        <v>1500</v>
      </c>
      <c r="L213" s="59">
        <f t="shared" si="44"/>
        <v>1450</v>
      </c>
      <c r="M213" s="58">
        <f t="shared" si="45"/>
        <v>1087.5</v>
      </c>
      <c r="N213" s="58">
        <f t="shared" si="46"/>
        <v>942.5</v>
      </c>
      <c r="O213" s="58">
        <f t="shared" si="47"/>
        <v>750</v>
      </c>
      <c r="P213" s="58">
        <f t="shared" si="48"/>
        <v>1110.6060606060605</v>
      </c>
      <c r="Q213" s="60">
        <f t="shared" si="49"/>
        <v>3.2723214285714284</v>
      </c>
      <c r="R213" s="58">
        <f t="shared" si="50"/>
        <v>748.10606060606062</v>
      </c>
      <c r="S213" s="58">
        <f t="shared" si="51"/>
        <v>603.10606060606062</v>
      </c>
      <c r="T213" s="58">
        <f t="shared" si="52"/>
        <v>410.60606060606062</v>
      </c>
      <c r="U213" s="60">
        <f t="shared" si="53"/>
        <v>2.2042410714285716</v>
      </c>
      <c r="V213" s="60">
        <f t="shared" si="54"/>
        <v>1.7770089285714288</v>
      </c>
      <c r="W213" s="60">
        <f t="shared" si="55"/>
        <v>1.2098214285714286</v>
      </c>
      <c r="X213" s="61" t="s">
        <v>39</v>
      </c>
      <c r="Y213" s="1"/>
      <c r="Z213" s="1"/>
    </row>
    <row r="214" spans="1:26" ht="15.75" customHeight="1">
      <c r="A214" s="54"/>
      <c r="B214" s="162"/>
      <c r="C214" s="33"/>
      <c r="D214" s="55" t="s">
        <v>1349</v>
      </c>
      <c r="E214" s="55" t="s">
        <v>68</v>
      </c>
      <c r="F214" s="56" t="s">
        <v>1007</v>
      </c>
      <c r="G214" s="57" t="s">
        <v>1351</v>
      </c>
      <c r="H214" s="58">
        <v>18000</v>
      </c>
      <c r="I214" s="58">
        <f t="shared" si="42"/>
        <v>12600</v>
      </c>
      <c r="J214" s="58">
        <f t="shared" si="43"/>
        <v>381.81818181818181</v>
      </c>
      <c r="K214" s="58">
        <v>1600</v>
      </c>
      <c r="L214" s="59">
        <f t="shared" si="44"/>
        <v>1550</v>
      </c>
      <c r="M214" s="58">
        <f t="shared" si="45"/>
        <v>1162.5</v>
      </c>
      <c r="N214" s="58">
        <f t="shared" si="46"/>
        <v>1007.5</v>
      </c>
      <c r="O214" s="58">
        <f t="shared" si="47"/>
        <v>800</v>
      </c>
      <c r="P214" s="58">
        <f t="shared" si="48"/>
        <v>1168.1818181818182</v>
      </c>
      <c r="Q214" s="60">
        <f t="shared" si="49"/>
        <v>3.0595238095238098</v>
      </c>
      <c r="R214" s="58">
        <f t="shared" si="50"/>
        <v>780.68181818181824</v>
      </c>
      <c r="S214" s="58">
        <f t="shared" si="51"/>
        <v>625.68181818181824</v>
      </c>
      <c r="T214" s="58">
        <f t="shared" si="52"/>
        <v>418.18181818181819</v>
      </c>
      <c r="U214" s="60">
        <f t="shared" si="53"/>
        <v>2.0446428571428572</v>
      </c>
      <c r="V214" s="60">
        <f t="shared" si="54"/>
        <v>1.6386904761904764</v>
      </c>
      <c r="W214" s="60">
        <f t="shared" si="55"/>
        <v>1.0952380952380953</v>
      </c>
      <c r="X214" s="61" t="s">
        <v>39</v>
      </c>
      <c r="Y214" s="1"/>
      <c r="Z214" s="1"/>
    </row>
    <row r="215" spans="1:26" ht="15.75" customHeight="1">
      <c r="A215" s="54"/>
      <c r="B215" s="161"/>
      <c r="C215" s="33"/>
      <c r="D215" s="55" t="s">
        <v>1352</v>
      </c>
      <c r="E215" s="55" t="s">
        <v>607</v>
      </c>
      <c r="F215" s="56" t="s">
        <v>1007</v>
      </c>
      <c r="G215" s="57" t="s">
        <v>1353</v>
      </c>
      <c r="H215" s="58">
        <v>12000</v>
      </c>
      <c r="I215" s="58">
        <f t="shared" si="42"/>
        <v>8400</v>
      </c>
      <c r="J215" s="58">
        <f t="shared" si="43"/>
        <v>254.54545454545453</v>
      </c>
      <c r="K215" s="58">
        <v>1500</v>
      </c>
      <c r="L215" s="59">
        <f t="shared" si="44"/>
        <v>1450</v>
      </c>
      <c r="M215" s="58">
        <f t="shared" si="45"/>
        <v>1087.5</v>
      </c>
      <c r="N215" s="58">
        <f t="shared" si="46"/>
        <v>942.5</v>
      </c>
      <c r="O215" s="58">
        <f t="shared" si="47"/>
        <v>750</v>
      </c>
      <c r="P215" s="58">
        <f t="shared" si="48"/>
        <v>1195.4545454545455</v>
      </c>
      <c r="Q215" s="60">
        <f t="shared" si="49"/>
        <v>4.6964285714285721</v>
      </c>
      <c r="R215" s="58">
        <f t="shared" si="50"/>
        <v>832.9545454545455</v>
      </c>
      <c r="S215" s="58">
        <f t="shared" si="51"/>
        <v>687.9545454545455</v>
      </c>
      <c r="T215" s="58">
        <f t="shared" si="52"/>
        <v>495.4545454545455</v>
      </c>
      <c r="U215" s="60">
        <f t="shared" si="53"/>
        <v>3.2723214285714288</v>
      </c>
      <c r="V215" s="60">
        <f t="shared" si="54"/>
        <v>2.7026785714285717</v>
      </c>
      <c r="W215" s="60">
        <f t="shared" si="55"/>
        <v>1.9464285714285716</v>
      </c>
      <c r="X215" s="61"/>
      <c r="Y215" s="1"/>
      <c r="Z215" s="1"/>
    </row>
    <row r="216" spans="1:26" ht="15.75" customHeight="1">
      <c r="A216" s="54"/>
      <c r="B216" s="75" t="s">
        <v>1354</v>
      </c>
      <c r="C216" s="84"/>
      <c r="D216" s="55" t="s">
        <v>1355</v>
      </c>
      <c r="E216" s="55" t="s">
        <v>1026</v>
      </c>
      <c r="F216" s="56" t="s">
        <v>1007</v>
      </c>
      <c r="G216" s="57" t="s">
        <v>1356</v>
      </c>
      <c r="H216" s="58">
        <v>16000</v>
      </c>
      <c r="I216" s="58">
        <f t="shared" si="42"/>
        <v>11200</v>
      </c>
      <c r="J216" s="58">
        <f t="shared" si="43"/>
        <v>339.39393939393938</v>
      </c>
      <c r="K216" s="58">
        <v>1400</v>
      </c>
      <c r="L216" s="59">
        <f t="shared" si="44"/>
        <v>1350</v>
      </c>
      <c r="M216" s="58">
        <f t="shared" si="45"/>
        <v>1012.5</v>
      </c>
      <c r="N216" s="58">
        <f t="shared" si="46"/>
        <v>877.5</v>
      </c>
      <c r="O216" s="58">
        <f t="shared" si="47"/>
        <v>700</v>
      </c>
      <c r="P216" s="58">
        <f t="shared" si="48"/>
        <v>1010.6060606060606</v>
      </c>
      <c r="Q216" s="60">
        <f t="shared" si="49"/>
        <v>2.9776785714285716</v>
      </c>
      <c r="R216" s="58">
        <f t="shared" si="50"/>
        <v>673.10606060606062</v>
      </c>
      <c r="S216" s="58">
        <f t="shared" si="51"/>
        <v>538.10606060606062</v>
      </c>
      <c r="T216" s="58">
        <f t="shared" si="52"/>
        <v>360.60606060606062</v>
      </c>
      <c r="U216" s="60">
        <f t="shared" si="53"/>
        <v>1.9832589285714288</v>
      </c>
      <c r="V216" s="60">
        <f t="shared" si="54"/>
        <v>1.5854910714285715</v>
      </c>
      <c r="W216" s="60">
        <f t="shared" si="55"/>
        <v>1.0625</v>
      </c>
      <c r="X216" s="61" t="s">
        <v>198</v>
      </c>
      <c r="Y216" s="1"/>
      <c r="Z216" s="1"/>
    </row>
    <row r="217" spans="1:26" ht="15.75" customHeight="1">
      <c r="A217" s="54"/>
      <c r="B217" s="75" t="s">
        <v>1357</v>
      </c>
      <c r="C217" s="69"/>
      <c r="D217" s="55" t="s">
        <v>1358</v>
      </c>
      <c r="E217" s="55" t="s">
        <v>1359</v>
      </c>
      <c r="F217" s="56" t="s">
        <v>1014</v>
      </c>
      <c r="G217" s="57" t="s">
        <v>1360</v>
      </c>
      <c r="H217" s="58">
        <v>25000</v>
      </c>
      <c r="I217" s="58">
        <f t="shared" si="42"/>
        <v>17500</v>
      </c>
      <c r="J217" s="58">
        <f t="shared" si="43"/>
        <v>530.30303030303025</v>
      </c>
      <c r="K217" s="58">
        <v>2200</v>
      </c>
      <c r="L217" s="59">
        <f t="shared" si="44"/>
        <v>2150</v>
      </c>
      <c r="M217" s="58">
        <f t="shared" si="45"/>
        <v>1612.5</v>
      </c>
      <c r="N217" s="58">
        <f t="shared" si="46"/>
        <v>1397.5</v>
      </c>
      <c r="O217" s="58">
        <f t="shared" si="47"/>
        <v>1100</v>
      </c>
      <c r="P217" s="58">
        <f t="shared" si="48"/>
        <v>1619.6969696969697</v>
      </c>
      <c r="Q217" s="60">
        <f t="shared" si="49"/>
        <v>3.0542857142857147</v>
      </c>
      <c r="R217" s="58">
        <f t="shared" si="50"/>
        <v>1082.1969696969697</v>
      </c>
      <c r="S217" s="58">
        <f t="shared" si="51"/>
        <v>867.19696969696975</v>
      </c>
      <c r="T217" s="58">
        <f t="shared" si="52"/>
        <v>569.69696969696975</v>
      </c>
      <c r="U217" s="60">
        <f t="shared" si="53"/>
        <v>2.0407142857142859</v>
      </c>
      <c r="V217" s="60">
        <f t="shared" si="54"/>
        <v>1.6352857142857145</v>
      </c>
      <c r="W217" s="60">
        <f t="shared" si="55"/>
        <v>1.0742857142857145</v>
      </c>
      <c r="X217" s="61" t="s">
        <v>199</v>
      </c>
      <c r="Y217" s="1"/>
      <c r="Z217" s="1"/>
    </row>
    <row r="218" spans="1:26" ht="15.75" customHeight="1">
      <c r="A218" s="54"/>
      <c r="B218" s="75" t="s">
        <v>916</v>
      </c>
      <c r="C218" s="84"/>
      <c r="D218" s="55" t="s">
        <v>1361</v>
      </c>
      <c r="E218" s="55" t="s">
        <v>607</v>
      </c>
      <c r="F218" s="56" t="s">
        <v>1055</v>
      </c>
      <c r="G218" s="57" t="s">
        <v>1362</v>
      </c>
      <c r="H218" s="58">
        <v>38000</v>
      </c>
      <c r="I218" s="58">
        <f t="shared" si="42"/>
        <v>26600</v>
      </c>
      <c r="J218" s="58">
        <f t="shared" si="43"/>
        <v>806.06060606060601</v>
      </c>
      <c r="K218" s="58">
        <v>5200</v>
      </c>
      <c r="L218" s="59">
        <f t="shared" si="44"/>
        <v>5150</v>
      </c>
      <c r="M218" s="58">
        <f t="shared" si="45"/>
        <v>3862.5</v>
      </c>
      <c r="N218" s="58">
        <f t="shared" si="46"/>
        <v>3347.5</v>
      </c>
      <c r="O218" s="58">
        <f t="shared" si="47"/>
        <v>2600</v>
      </c>
      <c r="P218" s="58">
        <f t="shared" si="48"/>
        <v>4343.939393939394</v>
      </c>
      <c r="Q218" s="60">
        <f t="shared" si="49"/>
        <v>5.3890977443609023</v>
      </c>
      <c r="R218" s="58">
        <f t="shared" si="50"/>
        <v>3056.439393939394</v>
      </c>
      <c r="S218" s="58">
        <f t="shared" si="51"/>
        <v>2541.439393939394</v>
      </c>
      <c r="T218" s="58">
        <f t="shared" si="52"/>
        <v>1793.939393939394</v>
      </c>
      <c r="U218" s="60">
        <f t="shared" si="53"/>
        <v>3.7918233082706769</v>
      </c>
      <c r="V218" s="60">
        <f t="shared" si="54"/>
        <v>3.1529135338345866</v>
      </c>
      <c r="W218" s="60">
        <f t="shared" si="55"/>
        <v>2.2255639097744364</v>
      </c>
      <c r="X218" s="61"/>
      <c r="Y218" s="1"/>
      <c r="Z218" s="1"/>
    </row>
    <row r="219" spans="1:26" ht="15.75" customHeight="1">
      <c r="A219" s="54"/>
      <c r="B219" s="160" t="s">
        <v>1363</v>
      </c>
      <c r="C219" s="43"/>
      <c r="D219" s="55" t="s">
        <v>1361</v>
      </c>
      <c r="E219" s="55" t="s">
        <v>68</v>
      </c>
      <c r="F219" s="56"/>
      <c r="G219" s="57"/>
      <c r="H219" s="58">
        <v>45000</v>
      </c>
      <c r="I219" s="58">
        <f t="shared" si="42"/>
        <v>31499.999999999996</v>
      </c>
      <c r="J219" s="58">
        <f t="shared" si="43"/>
        <v>954.54545454545439</v>
      </c>
      <c r="K219" s="58">
        <v>6500</v>
      </c>
      <c r="L219" s="59">
        <f t="shared" si="44"/>
        <v>6450</v>
      </c>
      <c r="M219" s="58">
        <f t="shared" si="45"/>
        <v>4837.5</v>
      </c>
      <c r="N219" s="58">
        <f t="shared" si="46"/>
        <v>4192.5</v>
      </c>
      <c r="O219" s="58">
        <f t="shared" si="47"/>
        <v>3250</v>
      </c>
      <c r="P219" s="58">
        <f t="shared" si="48"/>
        <v>5495.454545454546</v>
      </c>
      <c r="Q219" s="60">
        <f t="shared" si="49"/>
        <v>5.7571428571428589</v>
      </c>
      <c r="R219" s="58">
        <f t="shared" si="50"/>
        <v>3882.9545454545455</v>
      </c>
      <c r="S219" s="58">
        <f t="shared" si="51"/>
        <v>3237.9545454545455</v>
      </c>
      <c r="T219" s="58">
        <f t="shared" si="52"/>
        <v>2295.4545454545455</v>
      </c>
      <c r="U219" s="60">
        <f t="shared" si="53"/>
        <v>4.0678571428571439</v>
      </c>
      <c r="V219" s="60">
        <f t="shared" si="54"/>
        <v>3.3921428571428578</v>
      </c>
      <c r="W219" s="60">
        <f t="shared" si="55"/>
        <v>2.4047619047619051</v>
      </c>
      <c r="X219" s="61"/>
      <c r="Y219" s="1"/>
      <c r="Z219" s="1"/>
    </row>
    <row r="220" spans="1:26" ht="15.75" customHeight="1">
      <c r="A220" s="54"/>
      <c r="B220" s="162"/>
      <c r="C220" s="33"/>
      <c r="D220" s="55" t="s">
        <v>1361</v>
      </c>
      <c r="E220" s="55" t="s">
        <v>1364</v>
      </c>
      <c r="F220" s="56"/>
      <c r="G220" s="57"/>
      <c r="H220" s="58">
        <v>55000</v>
      </c>
      <c r="I220" s="58">
        <f t="shared" si="42"/>
        <v>38500</v>
      </c>
      <c r="J220" s="58">
        <f t="shared" si="43"/>
        <v>1166.6666666666667</v>
      </c>
      <c r="K220" s="58">
        <v>6500</v>
      </c>
      <c r="L220" s="59">
        <f t="shared" si="44"/>
        <v>6450</v>
      </c>
      <c r="M220" s="58">
        <f t="shared" si="45"/>
        <v>4837.5</v>
      </c>
      <c r="N220" s="58">
        <f t="shared" si="46"/>
        <v>4192.5</v>
      </c>
      <c r="O220" s="58">
        <f t="shared" si="47"/>
        <v>3250</v>
      </c>
      <c r="P220" s="58">
        <f t="shared" si="48"/>
        <v>5283.333333333333</v>
      </c>
      <c r="Q220" s="60">
        <f t="shared" si="49"/>
        <v>4.5285714285714276</v>
      </c>
      <c r="R220" s="58">
        <f t="shared" si="50"/>
        <v>3670.833333333333</v>
      </c>
      <c r="S220" s="58">
        <f t="shared" si="51"/>
        <v>3025.833333333333</v>
      </c>
      <c r="T220" s="58">
        <f t="shared" si="52"/>
        <v>2083.333333333333</v>
      </c>
      <c r="U220" s="60">
        <f t="shared" si="53"/>
        <v>3.1464285714285709</v>
      </c>
      <c r="V220" s="60">
        <f t="shared" si="54"/>
        <v>2.593571428571428</v>
      </c>
      <c r="W220" s="60">
        <f t="shared" si="55"/>
        <v>1.7857142857142854</v>
      </c>
      <c r="X220" s="61"/>
      <c r="Y220" s="1"/>
      <c r="Z220" s="1"/>
    </row>
    <row r="221" spans="1:26" ht="15.75" customHeight="1">
      <c r="A221" s="54"/>
      <c r="B221" s="162"/>
      <c r="C221" s="33"/>
      <c r="D221" s="55" t="s">
        <v>926</v>
      </c>
      <c r="E221" s="55" t="s">
        <v>929</v>
      </c>
      <c r="F221" s="56" t="s">
        <v>1055</v>
      </c>
      <c r="G221" s="57"/>
      <c r="H221" s="58">
        <v>65000</v>
      </c>
      <c r="I221" s="58">
        <f t="shared" si="42"/>
        <v>45500</v>
      </c>
      <c r="J221" s="58">
        <f t="shared" si="43"/>
        <v>1378.7878787878788</v>
      </c>
      <c r="K221" s="58">
        <v>5500</v>
      </c>
      <c r="L221" s="59">
        <f t="shared" si="44"/>
        <v>5450</v>
      </c>
      <c r="M221" s="58">
        <f t="shared" si="45"/>
        <v>4087.5</v>
      </c>
      <c r="N221" s="58">
        <f t="shared" si="46"/>
        <v>3542.5</v>
      </c>
      <c r="O221" s="58">
        <f t="shared" si="47"/>
        <v>2750</v>
      </c>
      <c r="P221" s="58">
        <f t="shared" si="48"/>
        <v>4071.212121212121</v>
      </c>
      <c r="Q221" s="60">
        <f t="shared" si="49"/>
        <v>2.9527472527472525</v>
      </c>
      <c r="R221" s="58">
        <f t="shared" si="50"/>
        <v>2708.712121212121</v>
      </c>
      <c r="S221" s="58">
        <f t="shared" si="51"/>
        <v>2163.712121212121</v>
      </c>
      <c r="T221" s="58">
        <f t="shared" si="52"/>
        <v>1371.2121212121212</v>
      </c>
      <c r="U221" s="60">
        <f t="shared" si="53"/>
        <v>1.9645604395604395</v>
      </c>
      <c r="V221" s="60">
        <f t="shared" si="54"/>
        <v>1.5692857142857142</v>
      </c>
      <c r="W221" s="60">
        <f t="shared" si="55"/>
        <v>0.99450549450549453</v>
      </c>
      <c r="X221" s="61"/>
      <c r="Y221" s="1"/>
      <c r="Z221" s="1"/>
    </row>
    <row r="222" spans="1:26" ht="15.75" customHeight="1">
      <c r="A222" s="54"/>
      <c r="B222" s="162"/>
      <c r="C222" s="33"/>
      <c r="D222" s="55" t="s">
        <v>1365</v>
      </c>
      <c r="E222" s="55" t="s">
        <v>929</v>
      </c>
      <c r="F222" s="56" t="s">
        <v>1055</v>
      </c>
      <c r="G222" s="71" t="s">
        <v>1366</v>
      </c>
      <c r="H222" s="58">
        <v>65000</v>
      </c>
      <c r="I222" s="58">
        <f t="shared" si="42"/>
        <v>45500</v>
      </c>
      <c r="J222" s="58">
        <f t="shared" si="43"/>
        <v>1378.7878787878788</v>
      </c>
      <c r="K222" s="58">
        <v>5500</v>
      </c>
      <c r="L222" s="59">
        <f t="shared" si="44"/>
        <v>5450</v>
      </c>
      <c r="M222" s="58">
        <f t="shared" si="45"/>
        <v>4087.5</v>
      </c>
      <c r="N222" s="58">
        <f t="shared" si="46"/>
        <v>3542.5</v>
      </c>
      <c r="O222" s="58">
        <f t="shared" si="47"/>
        <v>2750</v>
      </c>
      <c r="P222" s="58">
        <f t="shared" si="48"/>
        <v>4071.212121212121</v>
      </c>
      <c r="Q222" s="60">
        <f t="shared" si="49"/>
        <v>2.9527472527472525</v>
      </c>
      <c r="R222" s="58">
        <f t="shared" si="50"/>
        <v>2708.712121212121</v>
      </c>
      <c r="S222" s="58">
        <f t="shared" si="51"/>
        <v>2163.712121212121</v>
      </c>
      <c r="T222" s="58">
        <f t="shared" si="52"/>
        <v>1371.2121212121212</v>
      </c>
      <c r="U222" s="60">
        <f t="shared" si="53"/>
        <v>1.9645604395604395</v>
      </c>
      <c r="V222" s="60">
        <f t="shared" si="54"/>
        <v>1.5692857142857142</v>
      </c>
      <c r="W222" s="60">
        <f t="shared" si="55"/>
        <v>0.99450549450549453</v>
      </c>
      <c r="X222" s="83">
        <v>44001</v>
      </c>
      <c r="Y222" s="1"/>
      <c r="Z222" s="1"/>
    </row>
    <row r="223" spans="1:26" ht="15.75" customHeight="1">
      <c r="A223" s="54"/>
      <c r="B223" s="162"/>
      <c r="C223" s="33"/>
      <c r="D223" s="55" t="s">
        <v>1367</v>
      </c>
      <c r="E223" s="55" t="s">
        <v>607</v>
      </c>
      <c r="F223" s="56" t="s">
        <v>1014</v>
      </c>
      <c r="G223" s="57" t="s">
        <v>1368</v>
      </c>
      <c r="H223" s="58">
        <v>22000</v>
      </c>
      <c r="I223" s="58">
        <f t="shared" si="42"/>
        <v>15399.999999999998</v>
      </c>
      <c r="J223" s="58">
        <f t="shared" si="43"/>
        <v>466.66666666666663</v>
      </c>
      <c r="K223" s="58">
        <v>7000</v>
      </c>
      <c r="L223" s="59">
        <f t="shared" si="44"/>
        <v>6950</v>
      </c>
      <c r="M223" s="58">
        <f t="shared" si="45"/>
        <v>5212.5</v>
      </c>
      <c r="N223" s="58">
        <f t="shared" si="46"/>
        <v>4517.5</v>
      </c>
      <c r="O223" s="58">
        <f t="shared" si="47"/>
        <v>3500</v>
      </c>
      <c r="P223" s="58">
        <f t="shared" si="48"/>
        <v>6483.333333333333</v>
      </c>
      <c r="Q223" s="60">
        <f t="shared" si="49"/>
        <v>13.892857142857144</v>
      </c>
      <c r="R223" s="58">
        <f t="shared" si="50"/>
        <v>4745.833333333333</v>
      </c>
      <c r="S223" s="58">
        <f t="shared" si="51"/>
        <v>4050.8333333333335</v>
      </c>
      <c r="T223" s="58">
        <f t="shared" si="52"/>
        <v>3033.3333333333335</v>
      </c>
      <c r="U223" s="60">
        <f t="shared" si="53"/>
        <v>10.169642857142858</v>
      </c>
      <c r="V223" s="60">
        <f t="shared" si="54"/>
        <v>8.6803571428571438</v>
      </c>
      <c r="W223" s="60">
        <f t="shared" si="55"/>
        <v>6.5000000000000009</v>
      </c>
      <c r="X223" s="61"/>
      <c r="Y223" s="1"/>
      <c r="Z223" s="1"/>
    </row>
    <row r="224" spans="1:26" ht="15.75" customHeight="1">
      <c r="A224" s="54"/>
      <c r="B224" s="162"/>
      <c r="C224" s="33"/>
      <c r="D224" s="55">
        <v>991</v>
      </c>
      <c r="E224" s="55" t="s">
        <v>607</v>
      </c>
      <c r="F224" s="56"/>
      <c r="G224" s="57" t="s">
        <v>1369</v>
      </c>
      <c r="H224" s="85"/>
      <c r="I224" s="85">
        <f t="shared" si="42"/>
        <v>0</v>
      </c>
      <c r="J224" s="58">
        <f t="shared" si="43"/>
        <v>0</v>
      </c>
      <c r="K224" s="58"/>
      <c r="L224" s="59">
        <f t="shared" si="44"/>
        <v>-50</v>
      </c>
      <c r="M224" s="58">
        <f t="shared" si="45"/>
        <v>-37.5</v>
      </c>
      <c r="N224" s="58">
        <f t="shared" si="46"/>
        <v>-32.5</v>
      </c>
      <c r="O224" s="58">
        <f t="shared" si="47"/>
        <v>0</v>
      </c>
      <c r="P224" s="58">
        <f t="shared" si="48"/>
        <v>-50</v>
      </c>
      <c r="Q224" s="60" t="e">
        <f t="shared" si="49"/>
        <v>#DIV/0!</v>
      </c>
      <c r="R224" s="58">
        <f t="shared" si="50"/>
        <v>-37.5</v>
      </c>
      <c r="S224" s="58">
        <f t="shared" si="51"/>
        <v>-32.5</v>
      </c>
      <c r="T224" s="58">
        <f t="shared" si="52"/>
        <v>0</v>
      </c>
      <c r="U224" s="60" t="e">
        <f t="shared" si="53"/>
        <v>#DIV/0!</v>
      </c>
      <c r="V224" s="60" t="e">
        <f t="shared" si="54"/>
        <v>#DIV/0!</v>
      </c>
      <c r="W224" s="60" t="e">
        <f t="shared" si="55"/>
        <v>#DIV/0!</v>
      </c>
      <c r="X224" s="61"/>
      <c r="Y224" s="1"/>
      <c r="Z224" s="1"/>
    </row>
    <row r="225" spans="1:26" ht="15.75" customHeight="1">
      <c r="A225" s="54"/>
      <c r="B225" s="162"/>
      <c r="C225" s="33"/>
      <c r="D225" s="55" t="s">
        <v>1370</v>
      </c>
      <c r="E225" s="55" t="s">
        <v>607</v>
      </c>
      <c r="F225" s="56" t="s">
        <v>1121</v>
      </c>
      <c r="G225" s="57" t="s">
        <v>1371</v>
      </c>
      <c r="H225" s="58">
        <v>30000</v>
      </c>
      <c r="I225" s="58">
        <f t="shared" si="42"/>
        <v>21000</v>
      </c>
      <c r="J225" s="58">
        <f t="shared" si="43"/>
        <v>636.36363636363637</v>
      </c>
      <c r="K225" s="58">
        <v>7500</v>
      </c>
      <c r="L225" s="59">
        <f t="shared" si="44"/>
        <v>7450</v>
      </c>
      <c r="M225" s="58">
        <f t="shared" si="45"/>
        <v>5587.5</v>
      </c>
      <c r="N225" s="58">
        <f t="shared" si="46"/>
        <v>4842.5</v>
      </c>
      <c r="O225" s="58">
        <f t="shared" si="47"/>
        <v>3750</v>
      </c>
      <c r="P225" s="58">
        <f t="shared" si="48"/>
        <v>6813.636363636364</v>
      </c>
      <c r="Q225" s="60">
        <f t="shared" si="49"/>
        <v>10.707142857142857</v>
      </c>
      <c r="R225" s="58">
        <f t="shared" si="50"/>
        <v>4951.136363636364</v>
      </c>
      <c r="S225" s="58">
        <f t="shared" si="51"/>
        <v>4206.136363636364</v>
      </c>
      <c r="T225" s="58">
        <f t="shared" si="52"/>
        <v>3113.6363636363635</v>
      </c>
      <c r="U225" s="60">
        <f t="shared" si="53"/>
        <v>7.7803571428571434</v>
      </c>
      <c r="V225" s="60">
        <f t="shared" si="54"/>
        <v>6.6096428571428572</v>
      </c>
      <c r="W225" s="60">
        <f t="shared" si="55"/>
        <v>4.8928571428571423</v>
      </c>
      <c r="X225" s="61"/>
      <c r="Y225" s="1"/>
      <c r="Z225" s="1"/>
    </row>
    <row r="226" spans="1:26" ht="15.75" customHeight="1">
      <c r="A226" s="54"/>
      <c r="B226" s="161"/>
      <c r="C226" s="33"/>
      <c r="D226" s="55" t="s">
        <v>1370</v>
      </c>
      <c r="E226" s="55" t="s">
        <v>1372</v>
      </c>
      <c r="F226" s="56" t="s">
        <v>1121</v>
      </c>
      <c r="G226" s="57" t="s">
        <v>1373</v>
      </c>
      <c r="H226" s="58">
        <v>40000</v>
      </c>
      <c r="I226" s="58">
        <f t="shared" si="42"/>
        <v>28000</v>
      </c>
      <c r="J226" s="58">
        <f t="shared" si="43"/>
        <v>848.4848484848485</v>
      </c>
      <c r="K226" s="58">
        <v>8700</v>
      </c>
      <c r="L226" s="59">
        <f t="shared" si="44"/>
        <v>8650</v>
      </c>
      <c r="M226" s="58">
        <f t="shared" si="45"/>
        <v>6487.5</v>
      </c>
      <c r="N226" s="58">
        <f t="shared" si="46"/>
        <v>5622.5</v>
      </c>
      <c r="O226" s="58">
        <f t="shared" si="47"/>
        <v>4350</v>
      </c>
      <c r="P226" s="58">
        <f t="shared" si="48"/>
        <v>7801.515151515152</v>
      </c>
      <c r="Q226" s="60">
        <f t="shared" si="49"/>
        <v>9.194642857142858</v>
      </c>
      <c r="R226" s="58">
        <f t="shared" si="50"/>
        <v>5639.015151515152</v>
      </c>
      <c r="S226" s="58">
        <f t="shared" si="51"/>
        <v>4774.015151515152</v>
      </c>
      <c r="T226" s="58">
        <f t="shared" si="52"/>
        <v>3501.5151515151515</v>
      </c>
      <c r="U226" s="60">
        <f t="shared" si="53"/>
        <v>6.6459821428571431</v>
      </c>
      <c r="V226" s="60">
        <f t="shared" si="54"/>
        <v>5.6265178571428578</v>
      </c>
      <c r="W226" s="60">
        <f t="shared" si="55"/>
        <v>4.1267857142857141</v>
      </c>
      <c r="X226" s="61"/>
      <c r="Y226" s="1"/>
      <c r="Z226" s="1"/>
    </row>
    <row r="227" spans="1:26" ht="15.75" customHeight="1">
      <c r="A227" s="54"/>
      <c r="B227" s="160" t="s">
        <v>1374</v>
      </c>
      <c r="C227" s="43"/>
      <c r="D227" s="55" t="s">
        <v>1375</v>
      </c>
      <c r="E227" s="55" t="s">
        <v>607</v>
      </c>
      <c r="F227" s="56" t="s">
        <v>1007</v>
      </c>
      <c r="G227" s="57" t="s">
        <v>1376</v>
      </c>
      <c r="H227" s="58">
        <v>15000</v>
      </c>
      <c r="I227" s="58">
        <f t="shared" si="42"/>
        <v>10500</v>
      </c>
      <c r="J227" s="58">
        <f t="shared" si="43"/>
        <v>318.18181818181819</v>
      </c>
      <c r="K227" s="58">
        <v>1300</v>
      </c>
      <c r="L227" s="59">
        <f t="shared" si="44"/>
        <v>1250</v>
      </c>
      <c r="M227" s="58">
        <f t="shared" si="45"/>
        <v>937.5</v>
      </c>
      <c r="N227" s="58">
        <f t="shared" si="46"/>
        <v>812.5</v>
      </c>
      <c r="O227" s="58">
        <f t="shared" si="47"/>
        <v>650</v>
      </c>
      <c r="P227" s="58">
        <f t="shared" si="48"/>
        <v>931.81818181818176</v>
      </c>
      <c r="Q227" s="60">
        <f t="shared" si="49"/>
        <v>2.9285714285714284</v>
      </c>
      <c r="R227" s="58">
        <f t="shared" si="50"/>
        <v>619.31818181818176</v>
      </c>
      <c r="S227" s="58">
        <f t="shared" si="51"/>
        <v>494.31818181818181</v>
      </c>
      <c r="T227" s="58">
        <f t="shared" si="52"/>
        <v>331.81818181818181</v>
      </c>
      <c r="U227" s="60">
        <f t="shared" si="53"/>
        <v>1.9464285714285712</v>
      </c>
      <c r="V227" s="60">
        <f t="shared" si="54"/>
        <v>1.5535714285714286</v>
      </c>
      <c r="W227" s="60">
        <f t="shared" si="55"/>
        <v>1.0428571428571429</v>
      </c>
      <c r="X227" s="61" t="s">
        <v>44</v>
      </c>
      <c r="Y227" s="1"/>
      <c r="Z227" s="1"/>
    </row>
    <row r="228" spans="1:26" ht="15.75" customHeight="1">
      <c r="A228" s="54"/>
      <c r="B228" s="162"/>
      <c r="C228" s="33"/>
      <c r="D228" s="55" t="s">
        <v>1375</v>
      </c>
      <c r="E228" s="55" t="s">
        <v>68</v>
      </c>
      <c r="F228" s="56" t="s">
        <v>1007</v>
      </c>
      <c r="G228" s="57" t="s">
        <v>1377</v>
      </c>
      <c r="H228" s="58">
        <v>18000</v>
      </c>
      <c r="I228" s="58">
        <f t="shared" si="42"/>
        <v>12600</v>
      </c>
      <c r="J228" s="58">
        <f t="shared" si="43"/>
        <v>381.81818181818181</v>
      </c>
      <c r="K228" s="58">
        <v>1500</v>
      </c>
      <c r="L228" s="59">
        <f t="shared" si="44"/>
        <v>1450</v>
      </c>
      <c r="M228" s="58">
        <f t="shared" si="45"/>
        <v>1087.5</v>
      </c>
      <c r="N228" s="58">
        <f t="shared" si="46"/>
        <v>942.5</v>
      </c>
      <c r="O228" s="58">
        <f t="shared" si="47"/>
        <v>750</v>
      </c>
      <c r="P228" s="58">
        <f t="shared" si="48"/>
        <v>1068.1818181818182</v>
      </c>
      <c r="Q228" s="60">
        <f t="shared" si="49"/>
        <v>2.7976190476190479</v>
      </c>
      <c r="R228" s="58">
        <f t="shared" si="50"/>
        <v>705.68181818181824</v>
      </c>
      <c r="S228" s="58">
        <f t="shared" si="51"/>
        <v>560.68181818181824</v>
      </c>
      <c r="T228" s="58">
        <f t="shared" si="52"/>
        <v>368.18181818181819</v>
      </c>
      <c r="U228" s="60">
        <f t="shared" si="53"/>
        <v>1.8482142857142858</v>
      </c>
      <c r="V228" s="60">
        <f t="shared" si="54"/>
        <v>1.4684523809523811</v>
      </c>
      <c r="W228" s="60">
        <f t="shared" si="55"/>
        <v>0.9642857142857143</v>
      </c>
      <c r="X228" s="61" t="s">
        <v>44</v>
      </c>
      <c r="Y228" s="1"/>
      <c r="Z228" s="1"/>
    </row>
    <row r="229" spans="1:26" ht="15.75" customHeight="1">
      <c r="A229" s="54"/>
      <c r="B229" s="162"/>
      <c r="C229" s="33"/>
      <c r="D229" s="55" t="s">
        <v>972</v>
      </c>
      <c r="E229" s="55" t="s">
        <v>607</v>
      </c>
      <c r="F229" s="56" t="s">
        <v>1055</v>
      </c>
      <c r="G229" s="57" t="s">
        <v>1378</v>
      </c>
      <c r="H229" s="58">
        <v>22000</v>
      </c>
      <c r="I229" s="58">
        <f t="shared" si="42"/>
        <v>15399.999999999998</v>
      </c>
      <c r="J229" s="58">
        <f t="shared" si="43"/>
        <v>466.66666666666663</v>
      </c>
      <c r="K229" s="58">
        <v>1300</v>
      </c>
      <c r="L229" s="59">
        <f t="shared" si="44"/>
        <v>1250</v>
      </c>
      <c r="M229" s="58">
        <f t="shared" si="45"/>
        <v>937.5</v>
      </c>
      <c r="N229" s="58">
        <f t="shared" si="46"/>
        <v>812.5</v>
      </c>
      <c r="O229" s="58">
        <f t="shared" si="47"/>
        <v>650</v>
      </c>
      <c r="P229" s="58">
        <f t="shared" si="48"/>
        <v>783.33333333333337</v>
      </c>
      <c r="Q229" s="60">
        <f t="shared" si="49"/>
        <v>1.6785714285714288</v>
      </c>
      <c r="R229" s="58">
        <f t="shared" si="50"/>
        <v>470.83333333333337</v>
      </c>
      <c r="S229" s="58">
        <f t="shared" si="51"/>
        <v>345.83333333333337</v>
      </c>
      <c r="T229" s="58">
        <f t="shared" si="52"/>
        <v>183.33333333333337</v>
      </c>
      <c r="U229" s="60">
        <f t="shared" si="53"/>
        <v>1.0089285714285716</v>
      </c>
      <c r="V229" s="60">
        <f t="shared" si="54"/>
        <v>0.74107142857142871</v>
      </c>
      <c r="W229" s="60">
        <f t="shared" si="55"/>
        <v>0.39285714285714296</v>
      </c>
      <c r="X229" s="61" t="s">
        <v>59</v>
      </c>
      <c r="Y229" s="1"/>
      <c r="Z229" s="1"/>
    </row>
    <row r="230" spans="1:26" ht="15.75" customHeight="1">
      <c r="A230" s="54"/>
      <c r="B230" s="161"/>
      <c r="C230" s="69"/>
      <c r="D230" s="55" t="s">
        <v>972</v>
      </c>
      <c r="E230" s="55" t="s">
        <v>68</v>
      </c>
      <c r="F230" s="56" t="s">
        <v>1055</v>
      </c>
      <c r="G230" s="57" t="s">
        <v>1379</v>
      </c>
      <c r="H230" s="58">
        <v>25000</v>
      </c>
      <c r="I230" s="58">
        <f t="shared" si="42"/>
        <v>17500</v>
      </c>
      <c r="J230" s="58">
        <f t="shared" si="43"/>
        <v>530.30303030303025</v>
      </c>
      <c r="K230" s="58">
        <v>1500</v>
      </c>
      <c r="L230" s="59">
        <f t="shared" si="44"/>
        <v>1450</v>
      </c>
      <c r="M230" s="58">
        <f t="shared" si="45"/>
        <v>1087.5</v>
      </c>
      <c r="N230" s="58">
        <f t="shared" si="46"/>
        <v>942.5</v>
      </c>
      <c r="O230" s="58">
        <f t="shared" si="47"/>
        <v>750</v>
      </c>
      <c r="P230" s="58">
        <f t="shared" si="48"/>
        <v>919.69696969696975</v>
      </c>
      <c r="Q230" s="60">
        <f t="shared" si="49"/>
        <v>1.7342857142857144</v>
      </c>
      <c r="R230" s="58">
        <f t="shared" si="50"/>
        <v>557.19696969696975</v>
      </c>
      <c r="S230" s="58">
        <f t="shared" si="51"/>
        <v>412.19696969696975</v>
      </c>
      <c r="T230" s="58">
        <f t="shared" si="52"/>
        <v>219.69696969696975</v>
      </c>
      <c r="U230" s="60">
        <f t="shared" si="53"/>
        <v>1.0507142857142859</v>
      </c>
      <c r="V230" s="60">
        <f t="shared" si="54"/>
        <v>0.77728571428571447</v>
      </c>
      <c r="W230" s="60">
        <f t="shared" si="55"/>
        <v>0.41428571428571442</v>
      </c>
      <c r="X230" s="61" t="s">
        <v>59</v>
      </c>
      <c r="Y230" s="1"/>
      <c r="Z230" s="1"/>
    </row>
    <row r="231" spans="1:26" ht="15.75" customHeight="1">
      <c r="A231" s="54"/>
      <c r="B231" s="160" t="s">
        <v>1380</v>
      </c>
      <c r="C231" s="43"/>
      <c r="D231" s="55" t="s">
        <v>1381</v>
      </c>
      <c r="E231" s="55" t="s">
        <v>68</v>
      </c>
      <c r="F231" s="56" t="s">
        <v>1014</v>
      </c>
      <c r="G231" s="57" t="s">
        <v>1382</v>
      </c>
      <c r="H231" s="58">
        <v>20000</v>
      </c>
      <c r="I231" s="58">
        <f t="shared" si="42"/>
        <v>14000</v>
      </c>
      <c r="J231" s="58">
        <f t="shared" si="43"/>
        <v>424.24242424242425</v>
      </c>
      <c r="K231" s="58">
        <v>1500</v>
      </c>
      <c r="L231" s="59">
        <f t="shared" si="44"/>
        <v>1450</v>
      </c>
      <c r="M231" s="58">
        <f t="shared" si="45"/>
        <v>1087.5</v>
      </c>
      <c r="N231" s="58">
        <f t="shared" si="46"/>
        <v>942.5</v>
      </c>
      <c r="O231" s="58">
        <f t="shared" si="47"/>
        <v>750</v>
      </c>
      <c r="P231" s="58">
        <f t="shared" si="48"/>
        <v>1025.7575757575758</v>
      </c>
      <c r="Q231" s="60">
        <f t="shared" si="49"/>
        <v>2.4178571428571427</v>
      </c>
      <c r="R231" s="58">
        <f t="shared" si="50"/>
        <v>663.25757575757575</v>
      </c>
      <c r="S231" s="58">
        <f t="shared" si="51"/>
        <v>518.25757575757575</v>
      </c>
      <c r="T231" s="58">
        <f t="shared" si="52"/>
        <v>325.75757575757575</v>
      </c>
      <c r="U231" s="60">
        <f t="shared" si="53"/>
        <v>1.563392857142857</v>
      </c>
      <c r="V231" s="60">
        <f t="shared" si="54"/>
        <v>1.2216071428571429</v>
      </c>
      <c r="W231" s="60">
        <f t="shared" si="55"/>
        <v>0.76785714285714279</v>
      </c>
      <c r="X231" s="61" t="s">
        <v>204</v>
      </c>
      <c r="Y231" s="1"/>
      <c r="Z231" s="1"/>
    </row>
    <row r="232" spans="1:26" ht="15.75" customHeight="1">
      <c r="A232" s="54"/>
      <c r="B232" s="162"/>
      <c r="C232" s="33"/>
      <c r="D232" s="55" t="s">
        <v>1381</v>
      </c>
      <c r="E232" s="55" t="s">
        <v>1026</v>
      </c>
      <c r="F232" s="56" t="s">
        <v>1014</v>
      </c>
      <c r="G232" s="57" t="s">
        <v>1383</v>
      </c>
      <c r="H232" s="58">
        <v>20000</v>
      </c>
      <c r="I232" s="58">
        <f t="shared" si="42"/>
        <v>14000</v>
      </c>
      <c r="J232" s="58">
        <f t="shared" si="43"/>
        <v>424.24242424242425</v>
      </c>
      <c r="K232" s="58">
        <v>1500</v>
      </c>
      <c r="L232" s="59">
        <f t="shared" si="44"/>
        <v>1450</v>
      </c>
      <c r="M232" s="58">
        <f t="shared" si="45"/>
        <v>1087.5</v>
      </c>
      <c r="N232" s="58">
        <f t="shared" si="46"/>
        <v>942.5</v>
      </c>
      <c r="O232" s="58">
        <f t="shared" si="47"/>
        <v>750</v>
      </c>
      <c r="P232" s="58">
        <f t="shared" si="48"/>
        <v>1025.7575757575758</v>
      </c>
      <c r="Q232" s="60">
        <f t="shared" si="49"/>
        <v>2.4178571428571427</v>
      </c>
      <c r="R232" s="58">
        <f t="shared" si="50"/>
        <v>663.25757575757575</v>
      </c>
      <c r="S232" s="58">
        <f t="shared" si="51"/>
        <v>518.25757575757575</v>
      </c>
      <c r="T232" s="58">
        <f t="shared" si="52"/>
        <v>325.75757575757575</v>
      </c>
      <c r="U232" s="60">
        <f t="shared" si="53"/>
        <v>1.563392857142857</v>
      </c>
      <c r="V232" s="60">
        <f t="shared" si="54"/>
        <v>1.2216071428571429</v>
      </c>
      <c r="W232" s="60">
        <f t="shared" si="55"/>
        <v>0.76785714285714279</v>
      </c>
      <c r="X232" s="61" t="s">
        <v>204</v>
      </c>
      <c r="Y232" s="1"/>
      <c r="Z232" s="1"/>
    </row>
    <row r="233" spans="1:26" ht="15.75" customHeight="1">
      <c r="A233" s="54"/>
      <c r="B233" s="162"/>
      <c r="C233" s="33"/>
      <c r="D233" s="55" t="s">
        <v>1381</v>
      </c>
      <c r="E233" s="55" t="s">
        <v>1166</v>
      </c>
      <c r="F233" s="56" t="s">
        <v>1014</v>
      </c>
      <c r="G233" s="57" t="s">
        <v>1384</v>
      </c>
      <c r="H233" s="58">
        <v>20000</v>
      </c>
      <c r="I233" s="58">
        <f t="shared" si="42"/>
        <v>14000</v>
      </c>
      <c r="J233" s="58">
        <f t="shared" si="43"/>
        <v>424.24242424242425</v>
      </c>
      <c r="K233" s="58">
        <v>1500</v>
      </c>
      <c r="L233" s="59">
        <f t="shared" si="44"/>
        <v>1450</v>
      </c>
      <c r="M233" s="58">
        <f t="shared" si="45"/>
        <v>1087.5</v>
      </c>
      <c r="N233" s="58">
        <f t="shared" si="46"/>
        <v>942.5</v>
      </c>
      <c r="O233" s="58">
        <f t="shared" si="47"/>
        <v>750</v>
      </c>
      <c r="P233" s="58">
        <f t="shared" si="48"/>
        <v>1025.7575757575758</v>
      </c>
      <c r="Q233" s="60">
        <f t="shared" si="49"/>
        <v>2.4178571428571427</v>
      </c>
      <c r="R233" s="58">
        <f t="shared" si="50"/>
        <v>663.25757575757575</v>
      </c>
      <c r="S233" s="58">
        <f t="shared" si="51"/>
        <v>518.25757575757575</v>
      </c>
      <c r="T233" s="58">
        <f t="shared" si="52"/>
        <v>325.75757575757575</v>
      </c>
      <c r="U233" s="60">
        <f t="shared" si="53"/>
        <v>1.563392857142857</v>
      </c>
      <c r="V233" s="60">
        <f t="shared" si="54"/>
        <v>1.2216071428571429</v>
      </c>
      <c r="W233" s="60">
        <f t="shared" si="55"/>
        <v>0.76785714285714279</v>
      </c>
      <c r="X233" s="61" t="s">
        <v>204</v>
      </c>
      <c r="Y233" s="1"/>
      <c r="Z233" s="1"/>
    </row>
    <row r="234" spans="1:26" ht="15.75" customHeight="1">
      <c r="A234" s="54"/>
      <c r="B234" s="161"/>
      <c r="C234" s="33"/>
      <c r="D234" s="55" t="s">
        <v>1385</v>
      </c>
      <c r="E234" s="55" t="s">
        <v>68</v>
      </c>
      <c r="F234" s="56" t="s">
        <v>1007</v>
      </c>
      <c r="G234" s="57" t="s">
        <v>1386</v>
      </c>
      <c r="H234" s="58">
        <v>16000</v>
      </c>
      <c r="I234" s="58">
        <f t="shared" si="42"/>
        <v>11200</v>
      </c>
      <c r="J234" s="58">
        <f t="shared" si="43"/>
        <v>339.39393939393938</v>
      </c>
      <c r="K234" s="58">
        <v>1300</v>
      </c>
      <c r="L234" s="59">
        <f t="shared" si="44"/>
        <v>1250</v>
      </c>
      <c r="M234" s="58">
        <f t="shared" si="45"/>
        <v>937.5</v>
      </c>
      <c r="N234" s="58">
        <f t="shared" si="46"/>
        <v>812.5</v>
      </c>
      <c r="O234" s="58">
        <f t="shared" si="47"/>
        <v>650</v>
      </c>
      <c r="P234" s="58">
        <f t="shared" si="48"/>
        <v>910.60606060606062</v>
      </c>
      <c r="Q234" s="60">
        <f t="shared" si="49"/>
        <v>2.6830357142857144</v>
      </c>
      <c r="R234" s="58">
        <f t="shared" si="50"/>
        <v>598.10606060606062</v>
      </c>
      <c r="S234" s="58">
        <f t="shared" si="51"/>
        <v>473.10606060606062</v>
      </c>
      <c r="T234" s="58">
        <f t="shared" si="52"/>
        <v>310.60606060606062</v>
      </c>
      <c r="U234" s="60">
        <f t="shared" si="53"/>
        <v>1.7622767857142858</v>
      </c>
      <c r="V234" s="60">
        <f t="shared" si="54"/>
        <v>1.3939732142857144</v>
      </c>
      <c r="W234" s="60">
        <f t="shared" si="55"/>
        <v>0.91517857142857151</v>
      </c>
      <c r="X234" s="61"/>
      <c r="Y234" s="1"/>
      <c r="Z234" s="1"/>
    </row>
    <row r="235" spans="1:26" ht="15.75" customHeight="1">
      <c r="A235" s="54"/>
      <c r="B235" s="75" t="s">
        <v>1387</v>
      </c>
      <c r="C235" s="84"/>
      <c r="D235" s="55" t="s">
        <v>1388</v>
      </c>
      <c r="E235" s="55" t="s">
        <v>68</v>
      </c>
      <c r="F235" s="56" t="s">
        <v>1007</v>
      </c>
      <c r="G235" s="57" t="s">
        <v>1389</v>
      </c>
      <c r="H235" s="58">
        <v>16000</v>
      </c>
      <c r="I235" s="58">
        <f t="shared" si="42"/>
        <v>11200</v>
      </c>
      <c r="J235" s="58">
        <f t="shared" si="43"/>
        <v>339.39393939393938</v>
      </c>
      <c r="K235" s="58">
        <v>1500</v>
      </c>
      <c r="L235" s="59">
        <f t="shared" si="44"/>
        <v>1450</v>
      </c>
      <c r="M235" s="58">
        <f t="shared" si="45"/>
        <v>1087.5</v>
      </c>
      <c r="N235" s="58">
        <f t="shared" si="46"/>
        <v>942.5</v>
      </c>
      <c r="O235" s="58">
        <f t="shared" si="47"/>
        <v>750</v>
      </c>
      <c r="P235" s="58">
        <f t="shared" si="48"/>
        <v>1110.6060606060605</v>
      </c>
      <c r="Q235" s="60">
        <f t="shared" si="49"/>
        <v>3.2723214285714284</v>
      </c>
      <c r="R235" s="58">
        <f t="shared" si="50"/>
        <v>748.10606060606062</v>
      </c>
      <c r="S235" s="58">
        <f t="shared" si="51"/>
        <v>603.10606060606062</v>
      </c>
      <c r="T235" s="58">
        <f t="shared" si="52"/>
        <v>410.60606060606062</v>
      </c>
      <c r="U235" s="60">
        <f t="shared" si="53"/>
        <v>2.2042410714285716</v>
      </c>
      <c r="V235" s="60">
        <f t="shared" si="54"/>
        <v>1.7770089285714288</v>
      </c>
      <c r="W235" s="60">
        <f t="shared" si="55"/>
        <v>1.2098214285714286</v>
      </c>
      <c r="X235" s="61" t="s">
        <v>39</v>
      </c>
      <c r="Y235" s="1"/>
      <c r="Z235" s="1"/>
    </row>
    <row r="236" spans="1:26" ht="15.75" customHeight="1">
      <c r="A236" s="54"/>
      <c r="B236" s="160" t="s">
        <v>1390</v>
      </c>
      <c r="C236" s="43"/>
      <c r="D236" s="55" t="s">
        <v>1391</v>
      </c>
      <c r="E236" s="55" t="s">
        <v>607</v>
      </c>
      <c r="F236" s="56" t="s">
        <v>1007</v>
      </c>
      <c r="G236" s="57" t="s">
        <v>1392</v>
      </c>
      <c r="H236" s="58">
        <v>15000</v>
      </c>
      <c r="I236" s="58">
        <f t="shared" si="42"/>
        <v>10500</v>
      </c>
      <c r="J236" s="58">
        <f t="shared" si="43"/>
        <v>318.18181818181819</v>
      </c>
      <c r="K236" s="58">
        <v>1300</v>
      </c>
      <c r="L236" s="59">
        <f t="shared" si="44"/>
        <v>1250</v>
      </c>
      <c r="M236" s="58">
        <f t="shared" si="45"/>
        <v>937.5</v>
      </c>
      <c r="N236" s="58">
        <f t="shared" si="46"/>
        <v>812.5</v>
      </c>
      <c r="O236" s="58">
        <f t="shared" si="47"/>
        <v>650</v>
      </c>
      <c r="P236" s="58">
        <f t="shared" si="48"/>
        <v>931.81818181818176</v>
      </c>
      <c r="Q236" s="60">
        <f t="shared" si="49"/>
        <v>2.9285714285714284</v>
      </c>
      <c r="R236" s="58">
        <f t="shared" si="50"/>
        <v>619.31818181818176</v>
      </c>
      <c r="S236" s="58">
        <f t="shared" si="51"/>
        <v>494.31818181818181</v>
      </c>
      <c r="T236" s="58">
        <f t="shared" si="52"/>
        <v>331.81818181818181</v>
      </c>
      <c r="U236" s="60">
        <f t="shared" si="53"/>
        <v>1.9464285714285712</v>
      </c>
      <c r="V236" s="60">
        <f t="shared" si="54"/>
        <v>1.5535714285714286</v>
      </c>
      <c r="W236" s="60">
        <f t="shared" si="55"/>
        <v>1.0428571428571429</v>
      </c>
      <c r="X236" s="61"/>
      <c r="Y236" s="1"/>
      <c r="Z236" s="1"/>
    </row>
    <row r="237" spans="1:26" ht="15.75" customHeight="1">
      <c r="A237" s="54"/>
      <c r="B237" s="162"/>
      <c r="C237" s="33"/>
      <c r="D237" s="55" t="s">
        <v>1391</v>
      </c>
      <c r="E237" s="55" t="s">
        <v>68</v>
      </c>
      <c r="F237" s="56" t="s">
        <v>1007</v>
      </c>
      <c r="G237" s="57" t="s">
        <v>1393</v>
      </c>
      <c r="H237" s="58">
        <v>18000</v>
      </c>
      <c r="I237" s="58">
        <f t="shared" si="42"/>
        <v>12600</v>
      </c>
      <c r="J237" s="58">
        <f t="shared" si="43"/>
        <v>381.81818181818181</v>
      </c>
      <c r="K237" s="58">
        <v>1500</v>
      </c>
      <c r="L237" s="59">
        <f t="shared" si="44"/>
        <v>1450</v>
      </c>
      <c r="M237" s="58">
        <f t="shared" si="45"/>
        <v>1087.5</v>
      </c>
      <c r="N237" s="58">
        <f t="shared" si="46"/>
        <v>942.5</v>
      </c>
      <c r="O237" s="58">
        <f t="shared" si="47"/>
        <v>750</v>
      </c>
      <c r="P237" s="58">
        <f t="shared" si="48"/>
        <v>1068.1818181818182</v>
      </c>
      <c r="Q237" s="60">
        <f t="shared" si="49"/>
        <v>2.7976190476190479</v>
      </c>
      <c r="R237" s="58">
        <f t="shared" si="50"/>
        <v>705.68181818181824</v>
      </c>
      <c r="S237" s="58">
        <f t="shared" si="51"/>
        <v>560.68181818181824</v>
      </c>
      <c r="T237" s="58">
        <f t="shared" si="52"/>
        <v>368.18181818181819</v>
      </c>
      <c r="U237" s="60">
        <f t="shared" si="53"/>
        <v>1.8482142857142858</v>
      </c>
      <c r="V237" s="60">
        <f t="shared" si="54"/>
        <v>1.4684523809523811</v>
      </c>
      <c r="W237" s="60">
        <f t="shared" si="55"/>
        <v>0.9642857142857143</v>
      </c>
      <c r="X237" s="61"/>
      <c r="Y237" s="1"/>
      <c r="Z237" s="1"/>
    </row>
    <row r="238" spans="1:26" ht="15.75" customHeight="1">
      <c r="A238" s="54"/>
      <c r="B238" s="162"/>
      <c r="C238" s="33"/>
      <c r="D238" s="55" t="s">
        <v>1394</v>
      </c>
      <c r="E238" s="55" t="s">
        <v>1395</v>
      </c>
      <c r="F238" s="56" t="s">
        <v>1055</v>
      </c>
      <c r="G238" s="57" t="s">
        <v>1396</v>
      </c>
      <c r="H238" s="58">
        <v>15000</v>
      </c>
      <c r="I238" s="58">
        <f t="shared" si="42"/>
        <v>10500</v>
      </c>
      <c r="J238" s="58">
        <f t="shared" si="43"/>
        <v>318.18181818181819</v>
      </c>
      <c r="K238" s="58">
        <v>1300</v>
      </c>
      <c r="L238" s="59">
        <f t="shared" si="44"/>
        <v>1250</v>
      </c>
      <c r="M238" s="58">
        <f t="shared" si="45"/>
        <v>937.5</v>
      </c>
      <c r="N238" s="58">
        <f t="shared" si="46"/>
        <v>812.5</v>
      </c>
      <c r="O238" s="58">
        <f t="shared" si="47"/>
        <v>650</v>
      </c>
      <c r="P238" s="58">
        <f t="shared" si="48"/>
        <v>931.81818181818176</v>
      </c>
      <c r="Q238" s="60">
        <f t="shared" si="49"/>
        <v>2.9285714285714284</v>
      </c>
      <c r="R238" s="58">
        <f t="shared" si="50"/>
        <v>619.31818181818176</v>
      </c>
      <c r="S238" s="58">
        <f t="shared" si="51"/>
        <v>494.31818181818181</v>
      </c>
      <c r="T238" s="58">
        <f t="shared" si="52"/>
        <v>331.81818181818181</v>
      </c>
      <c r="U238" s="60">
        <f t="shared" si="53"/>
        <v>1.9464285714285712</v>
      </c>
      <c r="V238" s="60">
        <f t="shared" si="54"/>
        <v>1.5535714285714286</v>
      </c>
      <c r="W238" s="60">
        <f t="shared" si="55"/>
        <v>1.0428571428571429</v>
      </c>
      <c r="X238" s="61"/>
      <c r="Y238" s="1"/>
      <c r="Z238" s="1"/>
    </row>
    <row r="239" spans="1:26" ht="15.75" customHeight="1">
      <c r="A239" s="54"/>
      <c r="B239" s="162"/>
      <c r="C239" s="33"/>
      <c r="D239" s="55" t="s">
        <v>1394</v>
      </c>
      <c r="E239" s="55" t="s">
        <v>68</v>
      </c>
      <c r="F239" s="56" t="s">
        <v>1055</v>
      </c>
      <c r="G239" s="57" t="s">
        <v>1397</v>
      </c>
      <c r="H239" s="58">
        <v>18000</v>
      </c>
      <c r="I239" s="58">
        <f t="shared" si="42"/>
        <v>12600</v>
      </c>
      <c r="J239" s="58">
        <f t="shared" si="43"/>
        <v>381.81818181818181</v>
      </c>
      <c r="K239" s="58">
        <v>1500</v>
      </c>
      <c r="L239" s="59">
        <f t="shared" si="44"/>
        <v>1450</v>
      </c>
      <c r="M239" s="58">
        <f t="shared" si="45"/>
        <v>1087.5</v>
      </c>
      <c r="N239" s="58">
        <f t="shared" si="46"/>
        <v>942.5</v>
      </c>
      <c r="O239" s="58">
        <f t="shared" si="47"/>
        <v>750</v>
      </c>
      <c r="P239" s="58">
        <f t="shared" si="48"/>
        <v>1068.1818181818182</v>
      </c>
      <c r="Q239" s="60">
        <f t="shared" si="49"/>
        <v>2.7976190476190479</v>
      </c>
      <c r="R239" s="58">
        <f t="shared" si="50"/>
        <v>705.68181818181824</v>
      </c>
      <c r="S239" s="58">
        <f t="shared" si="51"/>
        <v>560.68181818181824</v>
      </c>
      <c r="T239" s="58">
        <f t="shared" si="52"/>
        <v>368.18181818181819</v>
      </c>
      <c r="U239" s="60">
        <f t="shared" si="53"/>
        <v>1.8482142857142858</v>
      </c>
      <c r="V239" s="60">
        <f t="shared" si="54"/>
        <v>1.4684523809523811</v>
      </c>
      <c r="W239" s="60">
        <f t="shared" si="55"/>
        <v>0.9642857142857143</v>
      </c>
      <c r="X239" s="61"/>
      <c r="Y239" s="1"/>
      <c r="Z239" s="1"/>
    </row>
    <row r="240" spans="1:26" ht="15.75" customHeight="1">
      <c r="A240" s="54"/>
      <c r="B240" s="162"/>
      <c r="C240" s="33"/>
      <c r="D240" s="55" t="s">
        <v>1398</v>
      </c>
      <c r="E240" s="55" t="s">
        <v>607</v>
      </c>
      <c r="F240" s="56" t="s">
        <v>1055</v>
      </c>
      <c r="G240" s="57" t="s">
        <v>1399</v>
      </c>
      <c r="H240" s="58">
        <v>17000</v>
      </c>
      <c r="I240" s="58">
        <f t="shared" si="42"/>
        <v>11900</v>
      </c>
      <c r="J240" s="58">
        <f t="shared" si="43"/>
        <v>360.60606060606062</v>
      </c>
      <c r="K240" s="58">
        <v>1300</v>
      </c>
      <c r="L240" s="59">
        <f t="shared" si="44"/>
        <v>1250</v>
      </c>
      <c r="M240" s="58">
        <f t="shared" si="45"/>
        <v>937.5</v>
      </c>
      <c r="N240" s="58">
        <f t="shared" si="46"/>
        <v>812.5</v>
      </c>
      <c r="O240" s="58">
        <f t="shared" si="47"/>
        <v>650</v>
      </c>
      <c r="P240" s="58">
        <f t="shared" si="48"/>
        <v>889.39393939393938</v>
      </c>
      <c r="Q240" s="60">
        <f t="shared" si="49"/>
        <v>2.4663865546218484</v>
      </c>
      <c r="R240" s="58">
        <f t="shared" si="50"/>
        <v>576.89393939393938</v>
      </c>
      <c r="S240" s="58">
        <f t="shared" si="51"/>
        <v>451.89393939393938</v>
      </c>
      <c r="T240" s="58">
        <f t="shared" si="52"/>
        <v>289.39393939393938</v>
      </c>
      <c r="U240" s="60">
        <f t="shared" si="53"/>
        <v>1.5997899159663864</v>
      </c>
      <c r="V240" s="60">
        <f t="shared" si="54"/>
        <v>1.2531512605042017</v>
      </c>
      <c r="W240" s="60">
        <f t="shared" si="55"/>
        <v>0.80252100840336127</v>
      </c>
      <c r="X240" s="61"/>
      <c r="Y240" s="1"/>
      <c r="Z240" s="1"/>
    </row>
    <row r="241" spans="1:26" ht="15.75" customHeight="1">
      <c r="A241" s="54"/>
      <c r="B241" s="162"/>
      <c r="C241" s="33"/>
      <c r="D241" s="55" t="s">
        <v>1398</v>
      </c>
      <c r="E241" s="55" t="s">
        <v>68</v>
      </c>
      <c r="F241" s="56" t="s">
        <v>1055</v>
      </c>
      <c r="G241" s="57" t="s">
        <v>1400</v>
      </c>
      <c r="H241" s="58">
        <v>20000</v>
      </c>
      <c r="I241" s="58">
        <f t="shared" si="42"/>
        <v>14000</v>
      </c>
      <c r="J241" s="58">
        <f t="shared" si="43"/>
        <v>424.24242424242425</v>
      </c>
      <c r="K241" s="58">
        <v>1500</v>
      </c>
      <c r="L241" s="59">
        <f t="shared" si="44"/>
        <v>1450</v>
      </c>
      <c r="M241" s="58">
        <f t="shared" si="45"/>
        <v>1087.5</v>
      </c>
      <c r="N241" s="58">
        <f t="shared" si="46"/>
        <v>942.5</v>
      </c>
      <c r="O241" s="58">
        <f t="shared" si="47"/>
        <v>750</v>
      </c>
      <c r="P241" s="58">
        <f t="shared" si="48"/>
        <v>1025.7575757575758</v>
      </c>
      <c r="Q241" s="60">
        <f t="shared" si="49"/>
        <v>2.4178571428571427</v>
      </c>
      <c r="R241" s="58">
        <f t="shared" si="50"/>
        <v>663.25757575757575</v>
      </c>
      <c r="S241" s="58">
        <f t="shared" si="51"/>
        <v>518.25757575757575</v>
      </c>
      <c r="T241" s="58">
        <f t="shared" si="52"/>
        <v>325.75757575757575</v>
      </c>
      <c r="U241" s="60">
        <f t="shared" si="53"/>
        <v>1.563392857142857</v>
      </c>
      <c r="V241" s="60">
        <f t="shared" si="54"/>
        <v>1.2216071428571429</v>
      </c>
      <c r="W241" s="60">
        <f t="shared" si="55"/>
        <v>0.76785714285714279</v>
      </c>
      <c r="X241" s="61"/>
      <c r="Y241" s="1"/>
      <c r="Z241" s="1"/>
    </row>
    <row r="242" spans="1:26" ht="15.75" customHeight="1">
      <c r="A242" s="54"/>
      <c r="B242" s="161"/>
      <c r="C242" s="69"/>
      <c r="D242" s="55" t="s">
        <v>1391</v>
      </c>
      <c r="E242" s="55" t="s">
        <v>68</v>
      </c>
      <c r="F242" s="56" t="s">
        <v>1007</v>
      </c>
      <c r="G242" s="57" t="s">
        <v>1393</v>
      </c>
      <c r="H242" s="58">
        <v>18000</v>
      </c>
      <c r="I242" s="58">
        <f t="shared" si="42"/>
        <v>12600</v>
      </c>
      <c r="J242" s="58">
        <f t="shared" si="43"/>
        <v>381.81818181818181</v>
      </c>
      <c r="K242" s="58">
        <v>1500</v>
      </c>
      <c r="L242" s="59">
        <f t="shared" si="44"/>
        <v>1450</v>
      </c>
      <c r="M242" s="58">
        <f t="shared" si="45"/>
        <v>1087.5</v>
      </c>
      <c r="N242" s="58">
        <f t="shared" si="46"/>
        <v>942.5</v>
      </c>
      <c r="O242" s="58">
        <f t="shared" si="47"/>
        <v>750</v>
      </c>
      <c r="P242" s="58">
        <f t="shared" si="48"/>
        <v>1068.1818181818182</v>
      </c>
      <c r="Q242" s="60">
        <f t="shared" si="49"/>
        <v>2.7976190476190479</v>
      </c>
      <c r="R242" s="58">
        <f t="shared" si="50"/>
        <v>705.68181818181824</v>
      </c>
      <c r="S242" s="58">
        <f t="shared" si="51"/>
        <v>560.68181818181824</v>
      </c>
      <c r="T242" s="58">
        <f t="shared" si="52"/>
        <v>368.18181818181819</v>
      </c>
      <c r="U242" s="60">
        <f t="shared" si="53"/>
        <v>1.8482142857142858</v>
      </c>
      <c r="V242" s="60">
        <f t="shared" si="54"/>
        <v>1.4684523809523811</v>
      </c>
      <c r="W242" s="60">
        <f t="shared" si="55"/>
        <v>0.9642857142857143</v>
      </c>
      <c r="X242" s="61"/>
      <c r="Y242" s="1"/>
      <c r="Z242" s="1"/>
    </row>
    <row r="243" spans="1:26" ht="15.75" customHeight="1">
      <c r="A243" s="54"/>
      <c r="B243" s="160" t="s">
        <v>1401</v>
      </c>
      <c r="C243" s="33"/>
      <c r="D243" s="55" t="s">
        <v>1402</v>
      </c>
      <c r="E243" s="55" t="s">
        <v>607</v>
      </c>
      <c r="F243" s="56" t="s">
        <v>1014</v>
      </c>
      <c r="G243" s="57" t="s">
        <v>1403</v>
      </c>
      <c r="H243" s="58">
        <v>20000</v>
      </c>
      <c r="I243" s="58">
        <f t="shared" si="42"/>
        <v>14000</v>
      </c>
      <c r="J243" s="58">
        <f t="shared" si="43"/>
        <v>424.24242424242425</v>
      </c>
      <c r="K243" s="58">
        <v>1300</v>
      </c>
      <c r="L243" s="59">
        <f t="shared" si="44"/>
        <v>1250</v>
      </c>
      <c r="M243" s="58">
        <f t="shared" si="45"/>
        <v>937.5</v>
      </c>
      <c r="N243" s="58">
        <f t="shared" si="46"/>
        <v>812.5</v>
      </c>
      <c r="O243" s="58">
        <f t="shared" si="47"/>
        <v>650</v>
      </c>
      <c r="P243" s="58">
        <f t="shared" si="48"/>
        <v>825.75757575757575</v>
      </c>
      <c r="Q243" s="60">
        <f t="shared" si="49"/>
        <v>1.9464285714285714</v>
      </c>
      <c r="R243" s="58">
        <f t="shared" si="50"/>
        <v>513.25757575757575</v>
      </c>
      <c r="S243" s="58">
        <f t="shared" si="51"/>
        <v>388.25757575757575</v>
      </c>
      <c r="T243" s="58">
        <f t="shared" si="52"/>
        <v>225.75757575757575</v>
      </c>
      <c r="U243" s="60">
        <f t="shared" si="53"/>
        <v>1.2098214285714286</v>
      </c>
      <c r="V243" s="60">
        <f t="shared" si="54"/>
        <v>0.9151785714285714</v>
      </c>
      <c r="W243" s="60">
        <f t="shared" si="55"/>
        <v>0.53214285714285714</v>
      </c>
      <c r="X243" s="61" t="s">
        <v>21</v>
      </c>
      <c r="Y243" s="1"/>
      <c r="Z243" s="1"/>
    </row>
    <row r="244" spans="1:26" ht="15.75" customHeight="1">
      <c r="A244" s="54"/>
      <c r="B244" s="161"/>
      <c r="C244" s="33"/>
      <c r="D244" s="55" t="s">
        <v>1402</v>
      </c>
      <c r="E244" s="55" t="s">
        <v>68</v>
      </c>
      <c r="F244" s="56" t="s">
        <v>1014</v>
      </c>
      <c r="G244" s="57" t="s">
        <v>1404</v>
      </c>
      <c r="H244" s="58">
        <v>22000</v>
      </c>
      <c r="I244" s="58">
        <f t="shared" si="42"/>
        <v>15399.999999999998</v>
      </c>
      <c r="J244" s="58">
        <f t="shared" si="43"/>
        <v>466.66666666666663</v>
      </c>
      <c r="K244" s="58">
        <v>1500</v>
      </c>
      <c r="L244" s="59">
        <f t="shared" si="44"/>
        <v>1450</v>
      </c>
      <c r="M244" s="58">
        <f t="shared" si="45"/>
        <v>1087.5</v>
      </c>
      <c r="N244" s="58">
        <f t="shared" si="46"/>
        <v>942.5</v>
      </c>
      <c r="O244" s="58">
        <f t="shared" si="47"/>
        <v>750</v>
      </c>
      <c r="P244" s="58">
        <f t="shared" si="48"/>
        <v>983.33333333333337</v>
      </c>
      <c r="Q244" s="60">
        <f t="shared" si="49"/>
        <v>2.1071428571428572</v>
      </c>
      <c r="R244" s="58">
        <f t="shared" si="50"/>
        <v>620.83333333333337</v>
      </c>
      <c r="S244" s="58">
        <f t="shared" si="51"/>
        <v>475.83333333333337</v>
      </c>
      <c r="T244" s="58">
        <f t="shared" si="52"/>
        <v>283.33333333333337</v>
      </c>
      <c r="U244" s="60">
        <f t="shared" si="53"/>
        <v>1.330357142857143</v>
      </c>
      <c r="V244" s="60">
        <f t="shared" si="54"/>
        <v>1.0196428571428573</v>
      </c>
      <c r="W244" s="60">
        <f t="shared" si="55"/>
        <v>0.60714285714285732</v>
      </c>
      <c r="X244" s="61" t="s">
        <v>1405</v>
      </c>
      <c r="Y244" s="1"/>
      <c r="Z244" s="1"/>
    </row>
    <row r="245" spans="1:26" ht="15.75" customHeight="1">
      <c r="A245" s="54"/>
      <c r="B245" s="75" t="s">
        <v>1406</v>
      </c>
      <c r="C245" s="84"/>
      <c r="D245" s="55" t="s">
        <v>1407</v>
      </c>
      <c r="E245" s="55" t="s">
        <v>607</v>
      </c>
      <c r="F245" s="56" t="s">
        <v>1014</v>
      </c>
      <c r="G245" s="57" t="s">
        <v>1408</v>
      </c>
      <c r="H245" s="58">
        <v>15000</v>
      </c>
      <c r="I245" s="58">
        <f t="shared" si="42"/>
        <v>10500</v>
      </c>
      <c r="J245" s="58">
        <f t="shared" si="43"/>
        <v>318.18181818181819</v>
      </c>
      <c r="K245" s="58">
        <v>1300</v>
      </c>
      <c r="L245" s="59">
        <f t="shared" si="44"/>
        <v>1250</v>
      </c>
      <c r="M245" s="58">
        <f t="shared" si="45"/>
        <v>937.5</v>
      </c>
      <c r="N245" s="58">
        <f t="shared" si="46"/>
        <v>812.5</v>
      </c>
      <c r="O245" s="58">
        <f t="shared" si="47"/>
        <v>650</v>
      </c>
      <c r="P245" s="58">
        <f t="shared" si="48"/>
        <v>931.81818181818176</v>
      </c>
      <c r="Q245" s="60">
        <f t="shared" si="49"/>
        <v>2.9285714285714284</v>
      </c>
      <c r="R245" s="58">
        <f t="shared" si="50"/>
        <v>619.31818181818176</v>
      </c>
      <c r="S245" s="58">
        <f t="shared" si="51"/>
        <v>494.31818181818181</v>
      </c>
      <c r="T245" s="58">
        <f t="shared" si="52"/>
        <v>331.81818181818181</v>
      </c>
      <c r="U245" s="60">
        <f t="shared" si="53"/>
        <v>1.9464285714285712</v>
      </c>
      <c r="V245" s="60">
        <f t="shared" si="54"/>
        <v>1.5535714285714286</v>
      </c>
      <c r="W245" s="60">
        <f t="shared" si="55"/>
        <v>1.0428571428571429</v>
      </c>
      <c r="X245" s="61"/>
      <c r="Y245" s="1"/>
      <c r="Z245" s="1"/>
    </row>
    <row r="246" spans="1:26" ht="15.75" customHeight="1">
      <c r="A246" s="54"/>
      <c r="B246" s="75" t="s">
        <v>1409</v>
      </c>
      <c r="C246" s="33"/>
      <c r="D246" s="55" t="s">
        <v>1410</v>
      </c>
      <c r="E246" s="55" t="s">
        <v>68</v>
      </c>
      <c r="F246" s="56" t="s">
        <v>1014</v>
      </c>
      <c r="G246" s="57" t="s">
        <v>1411</v>
      </c>
      <c r="H246" s="58">
        <v>28000</v>
      </c>
      <c r="I246" s="58">
        <f t="shared" si="42"/>
        <v>19600</v>
      </c>
      <c r="J246" s="58">
        <f t="shared" si="43"/>
        <v>593.93939393939399</v>
      </c>
      <c r="K246" s="58">
        <v>1500</v>
      </c>
      <c r="L246" s="59">
        <f t="shared" si="44"/>
        <v>1450</v>
      </c>
      <c r="M246" s="58">
        <f t="shared" si="45"/>
        <v>1087.5</v>
      </c>
      <c r="N246" s="58">
        <f t="shared" si="46"/>
        <v>942.5</v>
      </c>
      <c r="O246" s="58">
        <f t="shared" si="47"/>
        <v>750</v>
      </c>
      <c r="P246" s="58">
        <f t="shared" si="48"/>
        <v>856.06060606060601</v>
      </c>
      <c r="Q246" s="60">
        <f t="shared" si="49"/>
        <v>1.4413265306122447</v>
      </c>
      <c r="R246" s="58">
        <f t="shared" si="50"/>
        <v>493.56060606060601</v>
      </c>
      <c r="S246" s="58">
        <f t="shared" si="51"/>
        <v>348.56060606060601</v>
      </c>
      <c r="T246" s="58">
        <f t="shared" si="52"/>
        <v>156.06060606060601</v>
      </c>
      <c r="U246" s="60">
        <f t="shared" si="53"/>
        <v>0.83099489795918347</v>
      </c>
      <c r="V246" s="60">
        <f t="shared" si="54"/>
        <v>0.58686224489795902</v>
      </c>
      <c r="W246" s="60">
        <f t="shared" si="55"/>
        <v>0.2627551020408162</v>
      </c>
      <c r="X246" s="83"/>
      <c r="Y246" s="1"/>
      <c r="Z246" s="1"/>
    </row>
    <row r="247" spans="1:26" ht="15.75" customHeight="1">
      <c r="A247" s="54"/>
      <c r="B247" s="75" t="s">
        <v>1412</v>
      </c>
      <c r="C247" s="84"/>
      <c r="D247" s="55" t="s">
        <v>1409</v>
      </c>
      <c r="E247" s="55" t="s">
        <v>607</v>
      </c>
      <c r="F247" s="56" t="s">
        <v>1007</v>
      </c>
      <c r="G247" s="57" t="s">
        <v>1413</v>
      </c>
      <c r="H247" s="58">
        <v>15000</v>
      </c>
      <c r="I247" s="58">
        <f t="shared" si="42"/>
        <v>10500</v>
      </c>
      <c r="J247" s="58">
        <f t="shared" si="43"/>
        <v>318.18181818181819</v>
      </c>
      <c r="K247" s="58">
        <v>1300</v>
      </c>
      <c r="L247" s="59">
        <f t="shared" si="44"/>
        <v>1250</v>
      </c>
      <c r="M247" s="58">
        <f t="shared" si="45"/>
        <v>937.5</v>
      </c>
      <c r="N247" s="58">
        <f t="shared" si="46"/>
        <v>812.5</v>
      </c>
      <c r="O247" s="58">
        <f t="shared" si="47"/>
        <v>650</v>
      </c>
      <c r="P247" s="58">
        <f t="shared" si="48"/>
        <v>931.81818181818176</v>
      </c>
      <c r="Q247" s="60">
        <f t="shared" si="49"/>
        <v>2.9285714285714284</v>
      </c>
      <c r="R247" s="58">
        <f t="shared" si="50"/>
        <v>619.31818181818176</v>
      </c>
      <c r="S247" s="58">
        <f t="shared" si="51"/>
        <v>494.31818181818181</v>
      </c>
      <c r="T247" s="58">
        <f t="shared" si="52"/>
        <v>331.81818181818181</v>
      </c>
      <c r="U247" s="60">
        <f t="shared" si="53"/>
        <v>1.9464285714285712</v>
      </c>
      <c r="V247" s="60">
        <f t="shared" si="54"/>
        <v>1.5535714285714286</v>
      </c>
      <c r="W247" s="60">
        <f t="shared" si="55"/>
        <v>1.0428571428571429</v>
      </c>
      <c r="X247" s="61" t="s">
        <v>210</v>
      </c>
      <c r="Y247" s="1"/>
      <c r="Z247" s="1"/>
    </row>
    <row r="248" spans="1:26" ht="15.75" customHeight="1">
      <c r="A248" s="54"/>
      <c r="B248" s="75" t="s">
        <v>1414</v>
      </c>
      <c r="C248" s="84"/>
      <c r="D248" s="55" t="s">
        <v>1415</v>
      </c>
      <c r="E248" s="55" t="s">
        <v>607</v>
      </c>
      <c r="F248" s="56" t="s">
        <v>1121</v>
      </c>
      <c r="G248" s="57" t="s">
        <v>1416</v>
      </c>
      <c r="H248" s="58">
        <v>20000</v>
      </c>
      <c r="I248" s="58">
        <f t="shared" si="42"/>
        <v>14000</v>
      </c>
      <c r="J248" s="58">
        <f t="shared" si="43"/>
        <v>424.24242424242425</v>
      </c>
      <c r="K248" s="58">
        <v>1300</v>
      </c>
      <c r="L248" s="59">
        <f t="shared" si="44"/>
        <v>1250</v>
      </c>
      <c r="M248" s="58">
        <f t="shared" si="45"/>
        <v>937.5</v>
      </c>
      <c r="N248" s="58">
        <f t="shared" si="46"/>
        <v>812.5</v>
      </c>
      <c r="O248" s="58">
        <f t="shared" si="47"/>
        <v>650</v>
      </c>
      <c r="P248" s="58">
        <f t="shared" si="48"/>
        <v>825.75757575757575</v>
      </c>
      <c r="Q248" s="60">
        <f t="shared" si="49"/>
        <v>1.9464285714285714</v>
      </c>
      <c r="R248" s="58">
        <f t="shared" si="50"/>
        <v>513.25757575757575</v>
      </c>
      <c r="S248" s="58">
        <f t="shared" si="51"/>
        <v>388.25757575757575</v>
      </c>
      <c r="T248" s="58">
        <f t="shared" si="52"/>
        <v>225.75757575757575</v>
      </c>
      <c r="U248" s="60">
        <f t="shared" si="53"/>
        <v>1.2098214285714286</v>
      </c>
      <c r="V248" s="60">
        <f t="shared" si="54"/>
        <v>0.9151785714285714</v>
      </c>
      <c r="W248" s="60">
        <f t="shared" si="55"/>
        <v>0.53214285714285714</v>
      </c>
      <c r="X248" s="61"/>
      <c r="Y248" s="1"/>
      <c r="Z248" s="1"/>
    </row>
    <row r="249" spans="1:26" ht="15.75" customHeight="1">
      <c r="A249" s="54"/>
      <c r="B249" s="75"/>
      <c r="C249" s="84"/>
      <c r="D249" s="55" t="s">
        <v>1415</v>
      </c>
      <c r="E249" s="55" t="s">
        <v>68</v>
      </c>
      <c r="F249" s="56" t="s">
        <v>1121</v>
      </c>
      <c r="G249" s="57" t="s">
        <v>1417</v>
      </c>
      <c r="H249" s="58">
        <v>30000</v>
      </c>
      <c r="I249" s="58">
        <f t="shared" si="42"/>
        <v>21000</v>
      </c>
      <c r="J249" s="58">
        <f t="shared" si="43"/>
        <v>636.36363636363637</v>
      </c>
      <c r="K249" s="58">
        <v>1900</v>
      </c>
      <c r="L249" s="59">
        <f t="shared" si="44"/>
        <v>1850</v>
      </c>
      <c r="M249" s="58">
        <f t="shared" si="45"/>
        <v>1387.5</v>
      </c>
      <c r="N249" s="58">
        <f t="shared" si="46"/>
        <v>1202.5</v>
      </c>
      <c r="O249" s="58">
        <f t="shared" si="47"/>
        <v>950</v>
      </c>
      <c r="P249" s="58">
        <f t="shared" si="48"/>
        <v>1213.6363636363635</v>
      </c>
      <c r="Q249" s="60">
        <f t="shared" si="49"/>
        <v>1.9071428571428568</v>
      </c>
      <c r="R249" s="58">
        <f t="shared" si="50"/>
        <v>751.13636363636363</v>
      </c>
      <c r="S249" s="58">
        <f t="shared" si="51"/>
        <v>566.13636363636363</v>
      </c>
      <c r="T249" s="58">
        <f t="shared" si="52"/>
        <v>313.63636363636363</v>
      </c>
      <c r="U249" s="60">
        <f t="shared" si="53"/>
        <v>1.1803571428571429</v>
      </c>
      <c r="V249" s="60">
        <f t="shared" si="54"/>
        <v>0.88964285714285707</v>
      </c>
      <c r="W249" s="60">
        <f t="shared" si="55"/>
        <v>0.49285714285714283</v>
      </c>
      <c r="X249" s="61"/>
      <c r="Y249" s="1"/>
      <c r="Z249" s="1"/>
    </row>
    <row r="250" spans="1:26" ht="15.75" customHeight="1">
      <c r="A250" s="54"/>
      <c r="B250" s="75" t="s">
        <v>1418</v>
      </c>
      <c r="C250" s="84"/>
      <c r="D250" s="55" t="s">
        <v>1419</v>
      </c>
      <c r="E250" s="55" t="s">
        <v>607</v>
      </c>
      <c r="F250" s="56" t="s">
        <v>1014</v>
      </c>
      <c r="G250" s="57" t="s">
        <v>1420</v>
      </c>
      <c r="H250" s="58">
        <v>18000</v>
      </c>
      <c r="I250" s="58">
        <f t="shared" si="42"/>
        <v>12600</v>
      </c>
      <c r="J250" s="58">
        <f t="shared" si="43"/>
        <v>381.81818181818181</v>
      </c>
      <c r="K250" s="58">
        <v>1300</v>
      </c>
      <c r="L250" s="59">
        <f t="shared" si="44"/>
        <v>1250</v>
      </c>
      <c r="M250" s="58">
        <f t="shared" si="45"/>
        <v>937.5</v>
      </c>
      <c r="N250" s="58">
        <f t="shared" si="46"/>
        <v>812.5</v>
      </c>
      <c r="O250" s="58">
        <f t="shared" si="47"/>
        <v>650</v>
      </c>
      <c r="P250" s="58">
        <f t="shared" si="48"/>
        <v>868.18181818181824</v>
      </c>
      <c r="Q250" s="60">
        <f t="shared" si="49"/>
        <v>2.2738095238095242</v>
      </c>
      <c r="R250" s="58">
        <f t="shared" si="50"/>
        <v>555.68181818181824</v>
      </c>
      <c r="S250" s="58">
        <f t="shared" si="51"/>
        <v>430.68181818181819</v>
      </c>
      <c r="T250" s="58">
        <f t="shared" si="52"/>
        <v>268.18181818181819</v>
      </c>
      <c r="U250" s="60">
        <f t="shared" si="53"/>
        <v>1.455357142857143</v>
      </c>
      <c r="V250" s="60">
        <f t="shared" si="54"/>
        <v>1.1279761904761905</v>
      </c>
      <c r="W250" s="60">
        <f t="shared" si="55"/>
        <v>0.70238095238095244</v>
      </c>
      <c r="X250" s="61"/>
      <c r="Y250" s="1"/>
      <c r="Z250" s="1"/>
    </row>
    <row r="251" spans="1:26" ht="15.75" customHeight="1">
      <c r="A251" s="86"/>
      <c r="B251" s="75" t="s">
        <v>15</v>
      </c>
      <c r="C251" s="84"/>
      <c r="D251" s="55" t="s">
        <v>1421</v>
      </c>
      <c r="E251" s="55" t="s">
        <v>68</v>
      </c>
      <c r="F251" s="56" t="s">
        <v>1121</v>
      </c>
      <c r="G251" s="57" t="s">
        <v>1422</v>
      </c>
      <c r="H251" s="58">
        <v>25000</v>
      </c>
      <c r="I251" s="58">
        <f t="shared" si="42"/>
        <v>17500</v>
      </c>
      <c r="J251" s="58">
        <f t="shared" si="43"/>
        <v>530.30303030303025</v>
      </c>
      <c r="K251" s="58">
        <v>1500</v>
      </c>
      <c r="L251" s="59">
        <f t="shared" si="44"/>
        <v>1450</v>
      </c>
      <c r="M251" s="58">
        <f t="shared" si="45"/>
        <v>1087.5</v>
      </c>
      <c r="N251" s="58">
        <f t="shared" si="46"/>
        <v>942.5</v>
      </c>
      <c r="O251" s="58">
        <f t="shared" si="47"/>
        <v>750</v>
      </c>
      <c r="P251" s="58">
        <f t="shared" si="48"/>
        <v>919.69696969696975</v>
      </c>
      <c r="Q251" s="60">
        <f t="shared" si="49"/>
        <v>1.7342857142857144</v>
      </c>
      <c r="R251" s="58">
        <f t="shared" si="50"/>
        <v>557.19696969696975</v>
      </c>
      <c r="S251" s="58">
        <f t="shared" si="51"/>
        <v>412.19696969696975</v>
      </c>
      <c r="T251" s="58">
        <f t="shared" si="52"/>
        <v>219.69696969696975</v>
      </c>
      <c r="U251" s="60">
        <f t="shared" si="53"/>
        <v>1.0507142857142859</v>
      </c>
      <c r="V251" s="60">
        <f t="shared" si="54"/>
        <v>0.77728571428571447</v>
      </c>
      <c r="W251" s="60">
        <f t="shared" si="55"/>
        <v>0.41428571428571442</v>
      </c>
      <c r="X251" s="61"/>
      <c r="Y251" s="1"/>
      <c r="Z251" s="1"/>
    </row>
    <row r="252" spans="1:26" ht="15.75" customHeight="1">
      <c r="A252" s="51" t="s">
        <v>1423</v>
      </c>
      <c r="B252" s="160" t="s">
        <v>217</v>
      </c>
      <c r="C252" s="43"/>
      <c r="D252" s="55" t="s">
        <v>1424</v>
      </c>
      <c r="E252" s="55"/>
      <c r="F252" s="56" t="s">
        <v>1425</v>
      </c>
      <c r="G252" s="57" t="s">
        <v>1426</v>
      </c>
      <c r="H252" s="58">
        <v>28000</v>
      </c>
      <c r="I252" s="58">
        <f t="shared" si="42"/>
        <v>19600</v>
      </c>
      <c r="J252" s="58">
        <f t="shared" si="43"/>
        <v>593.93939393939399</v>
      </c>
      <c r="K252" s="58">
        <v>3800</v>
      </c>
      <c r="L252" s="59">
        <f t="shared" si="44"/>
        <v>3750</v>
      </c>
      <c r="M252" s="58">
        <f t="shared" si="45"/>
        <v>2812.5</v>
      </c>
      <c r="N252" s="58">
        <f t="shared" si="46"/>
        <v>2437.5</v>
      </c>
      <c r="O252" s="58">
        <f t="shared" si="47"/>
        <v>1900</v>
      </c>
      <c r="P252" s="58">
        <f t="shared" si="48"/>
        <v>3156.060606060606</v>
      </c>
      <c r="Q252" s="60">
        <f t="shared" si="49"/>
        <v>5.3137755102040813</v>
      </c>
      <c r="R252" s="58">
        <f t="shared" si="50"/>
        <v>2218.560606060606</v>
      </c>
      <c r="S252" s="58">
        <f t="shared" si="51"/>
        <v>1843.560606060606</v>
      </c>
      <c r="T252" s="58">
        <f t="shared" si="52"/>
        <v>1306.060606060606</v>
      </c>
      <c r="U252" s="60">
        <f t="shared" si="53"/>
        <v>3.735331632653061</v>
      </c>
      <c r="V252" s="60">
        <f t="shared" si="54"/>
        <v>3.1039540816326525</v>
      </c>
      <c r="W252" s="60">
        <f t="shared" si="55"/>
        <v>2.1989795918367343</v>
      </c>
      <c r="X252" s="61"/>
      <c r="Y252" s="1"/>
      <c r="Z252" s="1"/>
    </row>
    <row r="253" spans="1:26" ht="15.75" customHeight="1">
      <c r="A253" s="54"/>
      <c r="B253" s="162"/>
      <c r="C253" s="33"/>
      <c r="D253" s="55" t="s">
        <v>232</v>
      </c>
      <c r="E253" s="55"/>
      <c r="F253" s="56" t="s">
        <v>1425</v>
      </c>
      <c r="G253" s="57" t="s">
        <v>1427</v>
      </c>
      <c r="H253" s="58">
        <v>28000</v>
      </c>
      <c r="I253" s="58">
        <f t="shared" si="42"/>
        <v>19600</v>
      </c>
      <c r="J253" s="58">
        <f t="shared" si="43"/>
        <v>593.93939393939399</v>
      </c>
      <c r="K253" s="58">
        <v>3800</v>
      </c>
      <c r="L253" s="59">
        <f t="shared" si="44"/>
        <v>3750</v>
      </c>
      <c r="M253" s="58">
        <f t="shared" si="45"/>
        <v>2812.5</v>
      </c>
      <c r="N253" s="58">
        <f t="shared" si="46"/>
        <v>2437.5</v>
      </c>
      <c r="O253" s="58">
        <f t="shared" si="47"/>
        <v>1900</v>
      </c>
      <c r="P253" s="58">
        <f t="shared" si="48"/>
        <v>3156.060606060606</v>
      </c>
      <c r="Q253" s="60">
        <f t="shared" si="49"/>
        <v>5.3137755102040813</v>
      </c>
      <c r="R253" s="58">
        <f t="shared" si="50"/>
        <v>2218.560606060606</v>
      </c>
      <c r="S253" s="58">
        <f t="shared" si="51"/>
        <v>1843.560606060606</v>
      </c>
      <c r="T253" s="58">
        <f t="shared" si="52"/>
        <v>1306.060606060606</v>
      </c>
      <c r="U253" s="60">
        <f t="shared" si="53"/>
        <v>3.735331632653061</v>
      </c>
      <c r="V253" s="60">
        <f t="shared" si="54"/>
        <v>3.1039540816326525</v>
      </c>
      <c r="W253" s="60">
        <f t="shared" si="55"/>
        <v>2.1989795918367343</v>
      </c>
      <c r="X253" s="61"/>
      <c r="Y253" s="1"/>
      <c r="Z253" s="1"/>
    </row>
    <row r="254" spans="1:26" ht="15.75" customHeight="1">
      <c r="A254" s="54"/>
      <c r="B254" s="162"/>
      <c r="C254" s="33"/>
      <c r="D254" s="55" t="s">
        <v>1428</v>
      </c>
      <c r="E254" s="55"/>
      <c r="F254" s="56" t="s">
        <v>1425</v>
      </c>
      <c r="G254" s="57" t="s">
        <v>1429</v>
      </c>
      <c r="H254" s="58">
        <v>30000</v>
      </c>
      <c r="I254" s="58">
        <f t="shared" si="42"/>
        <v>21000</v>
      </c>
      <c r="J254" s="58">
        <f t="shared" si="43"/>
        <v>636.36363636363637</v>
      </c>
      <c r="K254" s="58">
        <v>3800</v>
      </c>
      <c r="L254" s="59">
        <f t="shared" si="44"/>
        <v>3750</v>
      </c>
      <c r="M254" s="58">
        <f t="shared" si="45"/>
        <v>2812.5</v>
      </c>
      <c r="N254" s="58">
        <f t="shared" si="46"/>
        <v>2437.5</v>
      </c>
      <c r="O254" s="58">
        <f t="shared" si="47"/>
        <v>1900</v>
      </c>
      <c r="P254" s="58">
        <f t="shared" si="48"/>
        <v>3113.6363636363635</v>
      </c>
      <c r="Q254" s="60">
        <f t="shared" si="49"/>
        <v>4.8928571428571423</v>
      </c>
      <c r="R254" s="58">
        <f t="shared" si="50"/>
        <v>2176.1363636363635</v>
      </c>
      <c r="S254" s="58">
        <f t="shared" si="51"/>
        <v>1801.1363636363635</v>
      </c>
      <c r="T254" s="58">
        <f t="shared" si="52"/>
        <v>1263.6363636363635</v>
      </c>
      <c r="U254" s="60">
        <f t="shared" si="53"/>
        <v>3.4196428571428568</v>
      </c>
      <c r="V254" s="60">
        <f t="shared" si="54"/>
        <v>2.8303571428571428</v>
      </c>
      <c r="W254" s="60">
        <f t="shared" si="55"/>
        <v>1.9857142857142855</v>
      </c>
      <c r="X254" s="61" t="s">
        <v>214</v>
      </c>
      <c r="Y254" s="1"/>
      <c r="Z254" s="1"/>
    </row>
    <row r="255" spans="1:26" ht="15.75" customHeight="1">
      <c r="A255" s="54"/>
      <c r="B255" s="162"/>
      <c r="C255" s="33"/>
      <c r="D255" s="55" t="s">
        <v>1428</v>
      </c>
      <c r="E255" s="55" t="s">
        <v>1430</v>
      </c>
      <c r="F255" s="56" t="s">
        <v>1425</v>
      </c>
      <c r="G255" s="57" t="s">
        <v>1431</v>
      </c>
      <c r="H255" s="58">
        <v>20000</v>
      </c>
      <c r="I255" s="58">
        <f t="shared" si="42"/>
        <v>14000</v>
      </c>
      <c r="J255" s="58">
        <f t="shared" si="43"/>
        <v>424.24242424242425</v>
      </c>
      <c r="K255" s="58">
        <v>3800</v>
      </c>
      <c r="L255" s="59">
        <f t="shared" si="44"/>
        <v>3750</v>
      </c>
      <c r="M255" s="58">
        <f t="shared" si="45"/>
        <v>2812.5</v>
      </c>
      <c r="N255" s="58">
        <f t="shared" si="46"/>
        <v>2437.5</v>
      </c>
      <c r="O255" s="58">
        <f t="shared" si="47"/>
        <v>1900</v>
      </c>
      <c r="P255" s="58">
        <f t="shared" si="48"/>
        <v>3325.757575757576</v>
      </c>
      <c r="Q255" s="60">
        <f t="shared" si="49"/>
        <v>7.8392857142857144</v>
      </c>
      <c r="R255" s="58">
        <f t="shared" si="50"/>
        <v>2388.257575757576</v>
      </c>
      <c r="S255" s="58">
        <f t="shared" si="51"/>
        <v>2013.2575757575758</v>
      </c>
      <c r="T255" s="58">
        <f t="shared" si="52"/>
        <v>1475.7575757575758</v>
      </c>
      <c r="U255" s="60">
        <f t="shared" si="53"/>
        <v>5.6294642857142865</v>
      </c>
      <c r="V255" s="60">
        <f t="shared" si="54"/>
        <v>4.7455357142857144</v>
      </c>
      <c r="W255" s="60">
        <f t="shared" si="55"/>
        <v>3.4785714285714286</v>
      </c>
      <c r="X255" s="61" t="s">
        <v>1432</v>
      </c>
      <c r="Y255" s="1"/>
      <c r="Z255" s="1"/>
    </row>
    <row r="256" spans="1:26" ht="15.75" customHeight="1">
      <c r="A256" s="54"/>
      <c r="B256" s="161"/>
      <c r="C256" s="33"/>
      <c r="D256" s="55" t="s">
        <v>1078</v>
      </c>
      <c r="E256" s="55"/>
      <c r="F256" s="56" t="s">
        <v>1425</v>
      </c>
      <c r="G256" s="57" t="s">
        <v>1433</v>
      </c>
      <c r="H256" s="58">
        <v>28000</v>
      </c>
      <c r="I256" s="58">
        <f t="shared" si="42"/>
        <v>19600</v>
      </c>
      <c r="J256" s="58">
        <f t="shared" si="43"/>
        <v>593.93939393939399</v>
      </c>
      <c r="K256" s="58">
        <v>3800</v>
      </c>
      <c r="L256" s="59">
        <f t="shared" si="44"/>
        <v>3750</v>
      </c>
      <c r="M256" s="58">
        <f t="shared" si="45"/>
        <v>2812.5</v>
      </c>
      <c r="N256" s="58">
        <f t="shared" si="46"/>
        <v>2437.5</v>
      </c>
      <c r="O256" s="58">
        <f t="shared" si="47"/>
        <v>1900</v>
      </c>
      <c r="P256" s="58">
        <f t="shared" si="48"/>
        <v>3156.060606060606</v>
      </c>
      <c r="Q256" s="60">
        <f t="shared" si="49"/>
        <v>5.3137755102040813</v>
      </c>
      <c r="R256" s="58">
        <f t="shared" si="50"/>
        <v>2218.560606060606</v>
      </c>
      <c r="S256" s="58">
        <f t="shared" si="51"/>
        <v>1843.560606060606</v>
      </c>
      <c r="T256" s="58">
        <f t="shared" si="52"/>
        <v>1306.060606060606</v>
      </c>
      <c r="U256" s="60">
        <f t="shared" si="53"/>
        <v>3.735331632653061</v>
      </c>
      <c r="V256" s="60">
        <f t="shared" si="54"/>
        <v>3.1039540816326525</v>
      </c>
      <c r="W256" s="60">
        <f t="shared" si="55"/>
        <v>2.1989795918367343</v>
      </c>
      <c r="X256" s="61" t="s">
        <v>216</v>
      </c>
      <c r="Y256" s="1"/>
      <c r="Z256" s="1"/>
    </row>
    <row r="257" spans="1:26" ht="15.75" customHeight="1">
      <c r="A257" s="54"/>
      <c r="B257" s="160" t="s">
        <v>446</v>
      </c>
      <c r="C257" s="33"/>
      <c r="D257" s="55" t="s">
        <v>450</v>
      </c>
      <c r="E257" s="55" t="s">
        <v>1434</v>
      </c>
      <c r="F257" s="56" t="s">
        <v>1425</v>
      </c>
      <c r="G257" s="74" t="s">
        <v>1435</v>
      </c>
      <c r="H257" s="58">
        <v>6500</v>
      </c>
      <c r="I257" s="58">
        <f t="shared" si="42"/>
        <v>4550</v>
      </c>
      <c r="J257" s="58">
        <f t="shared" si="43"/>
        <v>137.87878787878788</v>
      </c>
      <c r="K257" s="58">
        <v>3800</v>
      </c>
      <c r="L257" s="59">
        <f t="shared" si="44"/>
        <v>3750</v>
      </c>
      <c r="M257" s="58">
        <f t="shared" si="45"/>
        <v>2812.5</v>
      </c>
      <c r="N257" s="58">
        <f t="shared" si="46"/>
        <v>2437.5</v>
      </c>
      <c r="O257" s="58">
        <f t="shared" si="47"/>
        <v>1900</v>
      </c>
      <c r="P257" s="58">
        <f t="shared" si="48"/>
        <v>3612.121212121212</v>
      </c>
      <c r="Q257" s="60">
        <f t="shared" si="49"/>
        <v>26.197802197802197</v>
      </c>
      <c r="R257" s="58">
        <f t="shared" si="50"/>
        <v>2674.621212121212</v>
      </c>
      <c r="S257" s="58">
        <f t="shared" si="51"/>
        <v>2299.621212121212</v>
      </c>
      <c r="T257" s="58">
        <f t="shared" si="52"/>
        <v>1762.121212121212</v>
      </c>
      <c r="U257" s="60">
        <f t="shared" si="53"/>
        <v>19.39835164835165</v>
      </c>
      <c r="V257" s="60">
        <f t="shared" si="54"/>
        <v>16.678571428571427</v>
      </c>
      <c r="W257" s="60">
        <f t="shared" si="55"/>
        <v>12.780219780219779</v>
      </c>
      <c r="X257" s="61"/>
      <c r="Y257" s="1"/>
      <c r="Z257" s="1"/>
    </row>
    <row r="258" spans="1:26" ht="15.75" customHeight="1">
      <c r="A258" s="54"/>
      <c r="B258" s="162"/>
      <c r="C258" s="33"/>
      <c r="D258" s="55" t="s">
        <v>1436</v>
      </c>
      <c r="E258" s="55"/>
      <c r="F258" s="56" t="s">
        <v>1425</v>
      </c>
      <c r="G258" s="57" t="s">
        <v>1437</v>
      </c>
      <c r="H258" s="58">
        <v>28000</v>
      </c>
      <c r="I258" s="58">
        <f t="shared" si="42"/>
        <v>19600</v>
      </c>
      <c r="J258" s="58">
        <f t="shared" si="43"/>
        <v>593.93939393939399</v>
      </c>
      <c r="K258" s="58">
        <v>3800</v>
      </c>
      <c r="L258" s="59">
        <f t="shared" si="44"/>
        <v>3750</v>
      </c>
      <c r="M258" s="58">
        <f t="shared" si="45"/>
        <v>2812.5</v>
      </c>
      <c r="N258" s="58">
        <f t="shared" si="46"/>
        <v>2437.5</v>
      </c>
      <c r="O258" s="58">
        <f t="shared" si="47"/>
        <v>1900</v>
      </c>
      <c r="P258" s="58">
        <f t="shared" si="48"/>
        <v>3156.060606060606</v>
      </c>
      <c r="Q258" s="60">
        <f t="shared" si="49"/>
        <v>5.3137755102040813</v>
      </c>
      <c r="R258" s="58">
        <f t="shared" si="50"/>
        <v>2218.560606060606</v>
      </c>
      <c r="S258" s="58">
        <f t="shared" si="51"/>
        <v>1843.560606060606</v>
      </c>
      <c r="T258" s="58">
        <f t="shared" si="52"/>
        <v>1306.060606060606</v>
      </c>
      <c r="U258" s="60">
        <f t="shared" si="53"/>
        <v>3.735331632653061</v>
      </c>
      <c r="V258" s="60">
        <f t="shared" si="54"/>
        <v>3.1039540816326525</v>
      </c>
      <c r="W258" s="60">
        <f t="shared" si="55"/>
        <v>2.1989795918367343</v>
      </c>
      <c r="X258" s="61"/>
      <c r="Y258" s="1"/>
      <c r="Z258" s="1"/>
    </row>
    <row r="259" spans="1:26" ht="15.75" customHeight="1">
      <c r="A259" s="54"/>
      <c r="B259" s="162"/>
      <c r="C259" s="33"/>
      <c r="D259" s="55" t="s">
        <v>501</v>
      </c>
      <c r="E259" s="55"/>
      <c r="F259" s="56" t="s">
        <v>1425</v>
      </c>
      <c r="G259" s="57" t="s">
        <v>1438</v>
      </c>
      <c r="H259" s="58">
        <v>30000</v>
      </c>
      <c r="I259" s="58">
        <f t="shared" si="42"/>
        <v>21000</v>
      </c>
      <c r="J259" s="58">
        <f t="shared" si="43"/>
        <v>636.36363636363637</v>
      </c>
      <c r="K259" s="58">
        <v>3800</v>
      </c>
      <c r="L259" s="59">
        <f t="shared" si="44"/>
        <v>3750</v>
      </c>
      <c r="M259" s="58">
        <f t="shared" si="45"/>
        <v>2812.5</v>
      </c>
      <c r="N259" s="58">
        <f t="shared" si="46"/>
        <v>2437.5</v>
      </c>
      <c r="O259" s="58">
        <f t="shared" si="47"/>
        <v>1900</v>
      </c>
      <c r="P259" s="58">
        <f t="shared" si="48"/>
        <v>3113.6363636363635</v>
      </c>
      <c r="Q259" s="60">
        <f t="shared" si="49"/>
        <v>4.8928571428571423</v>
      </c>
      <c r="R259" s="58">
        <f t="shared" si="50"/>
        <v>2176.1363636363635</v>
      </c>
      <c r="S259" s="58">
        <f t="shared" si="51"/>
        <v>1801.1363636363635</v>
      </c>
      <c r="T259" s="58">
        <f t="shared" si="52"/>
        <v>1263.6363636363635</v>
      </c>
      <c r="U259" s="60">
        <f t="shared" si="53"/>
        <v>3.4196428571428568</v>
      </c>
      <c r="V259" s="60">
        <f t="shared" si="54"/>
        <v>2.8303571428571428</v>
      </c>
      <c r="W259" s="60">
        <f t="shared" si="55"/>
        <v>1.9857142857142855</v>
      </c>
      <c r="X259" s="61" t="s">
        <v>220</v>
      </c>
      <c r="Y259" s="1"/>
      <c r="Z259" s="1"/>
    </row>
    <row r="260" spans="1:26" ht="15.75" customHeight="1">
      <c r="A260" s="54"/>
      <c r="B260" s="162"/>
      <c r="C260" s="33"/>
      <c r="D260" s="55" t="s">
        <v>460</v>
      </c>
      <c r="E260" s="55"/>
      <c r="F260" s="56" t="s">
        <v>1425</v>
      </c>
      <c r="G260" s="57" t="s">
        <v>1439</v>
      </c>
      <c r="H260" s="58">
        <v>30000</v>
      </c>
      <c r="I260" s="58">
        <f t="shared" ref="I260:I323" si="56">H260*0.7</f>
        <v>21000</v>
      </c>
      <c r="J260" s="58">
        <f t="shared" ref="J260:J323" si="57">I260/33</f>
        <v>636.36363636363637</v>
      </c>
      <c r="K260" s="58">
        <v>3800</v>
      </c>
      <c r="L260" s="59">
        <f t="shared" ref="L260:L323" si="58">K260-50</f>
        <v>3750</v>
      </c>
      <c r="M260" s="58">
        <f t="shared" ref="M260:M323" si="59">L260*0.75</f>
        <v>2812.5</v>
      </c>
      <c r="N260" s="58">
        <f t="shared" ref="N260:N323" si="60">L260*0.65</f>
        <v>2437.5</v>
      </c>
      <c r="O260" s="58">
        <f t="shared" ref="O260:O323" si="61">K260*0.5</f>
        <v>1900</v>
      </c>
      <c r="P260" s="58">
        <f t="shared" ref="P260:P323" si="62">L260-J260</f>
        <v>3113.6363636363635</v>
      </c>
      <c r="Q260" s="60">
        <f t="shared" ref="Q260:Q323" si="63">((L260-J260)/J260)</f>
        <v>4.8928571428571423</v>
      </c>
      <c r="R260" s="58">
        <f t="shared" ref="R260:R323" si="64">M260-J260</f>
        <v>2176.1363636363635</v>
      </c>
      <c r="S260" s="58">
        <f t="shared" ref="S260:S323" si="65">N260-J260</f>
        <v>1801.1363636363635</v>
      </c>
      <c r="T260" s="58">
        <f t="shared" ref="T260:T323" si="66">O260-J260</f>
        <v>1263.6363636363635</v>
      </c>
      <c r="U260" s="60">
        <f t="shared" ref="U260:U323" si="67">(M260-J260)/J260</f>
        <v>3.4196428571428568</v>
      </c>
      <c r="V260" s="60">
        <f t="shared" ref="V260:V323" si="68">(N260-J260)/J260</f>
        <v>2.8303571428571428</v>
      </c>
      <c r="W260" s="60">
        <f t="shared" ref="W260:W323" si="69">(O260-J260)/J260</f>
        <v>1.9857142857142855</v>
      </c>
      <c r="X260" s="61"/>
      <c r="Y260" s="1"/>
      <c r="Z260" s="1"/>
    </row>
    <row r="261" spans="1:26" ht="15.75" customHeight="1">
      <c r="A261" s="54"/>
      <c r="B261" s="162"/>
      <c r="C261" s="33"/>
      <c r="D261" s="55" t="s">
        <v>1178</v>
      </c>
      <c r="E261" s="55" t="s">
        <v>1430</v>
      </c>
      <c r="F261" s="56" t="s">
        <v>1425</v>
      </c>
      <c r="G261" s="57" t="s">
        <v>1440</v>
      </c>
      <c r="H261" s="58">
        <v>20000</v>
      </c>
      <c r="I261" s="58">
        <f t="shared" si="56"/>
        <v>14000</v>
      </c>
      <c r="J261" s="58">
        <f t="shared" si="57"/>
        <v>424.24242424242425</v>
      </c>
      <c r="K261" s="58">
        <v>3800</v>
      </c>
      <c r="L261" s="59">
        <f t="shared" si="58"/>
        <v>3750</v>
      </c>
      <c r="M261" s="58">
        <f t="shared" si="59"/>
        <v>2812.5</v>
      </c>
      <c r="N261" s="58">
        <f t="shared" si="60"/>
        <v>2437.5</v>
      </c>
      <c r="O261" s="58">
        <f t="shared" si="61"/>
        <v>1900</v>
      </c>
      <c r="P261" s="58">
        <f t="shared" si="62"/>
        <v>3325.757575757576</v>
      </c>
      <c r="Q261" s="60">
        <f t="shared" si="63"/>
        <v>7.8392857142857144</v>
      </c>
      <c r="R261" s="58">
        <f t="shared" si="64"/>
        <v>2388.257575757576</v>
      </c>
      <c r="S261" s="58">
        <f t="shared" si="65"/>
        <v>2013.2575757575758</v>
      </c>
      <c r="T261" s="58">
        <f t="shared" si="66"/>
        <v>1475.7575757575758</v>
      </c>
      <c r="U261" s="60">
        <f t="shared" si="67"/>
        <v>5.6294642857142865</v>
      </c>
      <c r="V261" s="60">
        <f t="shared" si="68"/>
        <v>4.7455357142857144</v>
      </c>
      <c r="W261" s="60">
        <f t="shared" si="69"/>
        <v>3.4785714285714286</v>
      </c>
      <c r="X261" s="61" t="s">
        <v>223</v>
      </c>
      <c r="Y261" s="1"/>
      <c r="Z261" s="1"/>
    </row>
    <row r="262" spans="1:26" ht="15.75" customHeight="1">
      <c r="A262" s="54"/>
      <c r="B262" s="162"/>
      <c r="C262" s="33"/>
      <c r="D262" s="55" t="s">
        <v>1178</v>
      </c>
      <c r="E262" s="55" t="s">
        <v>1441</v>
      </c>
      <c r="F262" s="56" t="s">
        <v>1442</v>
      </c>
      <c r="G262" s="57"/>
      <c r="H262" s="58">
        <v>18000</v>
      </c>
      <c r="I262" s="58">
        <f t="shared" si="56"/>
        <v>12600</v>
      </c>
      <c r="J262" s="58">
        <f t="shared" si="57"/>
        <v>381.81818181818181</v>
      </c>
      <c r="K262" s="58">
        <v>3800</v>
      </c>
      <c r="L262" s="59">
        <f t="shared" si="58"/>
        <v>3750</v>
      </c>
      <c r="M262" s="58">
        <f t="shared" si="59"/>
        <v>2812.5</v>
      </c>
      <c r="N262" s="58">
        <f t="shared" si="60"/>
        <v>2437.5</v>
      </c>
      <c r="O262" s="58">
        <f t="shared" si="61"/>
        <v>1900</v>
      </c>
      <c r="P262" s="58">
        <f t="shared" si="62"/>
        <v>3368.181818181818</v>
      </c>
      <c r="Q262" s="60">
        <f t="shared" si="63"/>
        <v>8.8214285714285712</v>
      </c>
      <c r="R262" s="58">
        <f t="shared" si="64"/>
        <v>2430.681818181818</v>
      </c>
      <c r="S262" s="58">
        <f t="shared" si="65"/>
        <v>2055.681818181818</v>
      </c>
      <c r="T262" s="58">
        <f t="shared" si="66"/>
        <v>1518.1818181818182</v>
      </c>
      <c r="U262" s="60">
        <f t="shared" si="67"/>
        <v>6.3660714285714279</v>
      </c>
      <c r="V262" s="60">
        <f t="shared" si="68"/>
        <v>5.3839285714285712</v>
      </c>
      <c r="W262" s="60">
        <f t="shared" si="69"/>
        <v>3.9761904761904763</v>
      </c>
      <c r="X262" s="61" t="s">
        <v>120</v>
      </c>
      <c r="Y262" s="1"/>
      <c r="Z262" s="1"/>
    </row>
    <row r="263" spans="1:26" ht="15.75" customHeight="1">
      <c r="A263" s="54"/>
      <c r="B263" s="162"/>
      <c r="C263" s="33"/>
      <c r="D263" s="55" t="s">
        <v>1165</v>
      </c>
      <c r="E263" s="55" t="s">
        <v>1443</v>
      </c>
      <c r="F263" s="56" t="s">
        <v>1425</v>
      </c>
      <c r="G263" s="57" t="s">
        <v>1444</v>
      </c>
      <c r="H263" s="58">
        <v>20000</v>
      </c>
      <c r="I263" s="58">
        <f t="shared" si="56"/>
        <v>14000</v>
      </c>
      <c r="J263" s="58">
        <f t="shared" si="57"/>
        <v>424.24242424242425</v>
      </c>
      <c r="K263" s="58">
        <v>3800</v>
      </c>
      <c r="L263" s="59">
        <f t="shared" si="58"/>
        <v>3750</v>
      </c>
      <c r="M263" s="58">
        <f t="shared" si="59"/>
        <v>2812.5</v>
      </c>
      <c r="N263" s="58">
        <f t="shared" si="60"/>
        <v>2437.5</v>
      </c>
      <c r="O263" s="58">
        <f t="shared" si="61"/>
        <v>1900</v>
      </c>
      <c r="P263" s="58">
        <f t="shared" si="62"/>
        <v>3325.757575757576</v>
      </c>
      <c r="Q263" s="60">
        <f t="shared" si="63"/>
        <v>7.8392857142857144</v>
      </c>
      <c r="R263" s="58">
        <f t="shared" si="64"/>
        <v>2388.257575757576</v>
      </c>
      <c r="S263" s="58">
        <f t="shared" si="65"/>
        <v>2013.2575757575758</v>
      </c>
      <c r="T263" s="58">
        <f t="shared" si="66"/>
        <v>1475.7575757575758</v>
      </c>
      <c r="U263" s="60">
        <f t="shared" si="67"/>
        <v>5.6294642857142865</v>
      </c>
      <c r="V263" s="60">
        <f t="shared" si="68"/>
        <v>4.7455357142857144</v>
      </c>
      <c r="W263" s="60">
        <f t="shared" si="69"/>
        <v>3.4785714285714286</v>
      </c>
      <c r="X263" s="61"/>
      <c r="Y263" s="1"/>
      <c r="Z263" s="1"/>
    </row>
    <row r="264" spans="1:26" ht="15.75" customHeight="1">
      <c r="A264" s="54"/>
      <c r="B264" s="161"/>
      <c r="C264" s="33"/>
      <c r="D264" s="65" t="s">
        <v>1445</v>
      </c>
      <c r="E264" s="65" t="s">
        <v>1446</v>
      </c>
      <c r="F264" s="66" t="s">
        <v>1425</v>
      </c>
      <c r="G264" s="67" t="s">
        <v>1447</v>
      </c>
      <c r="H264" s="68">
        <v>20000</v>
      </c>
      <c r="I264" s="58">
        <f t="shared" si="56"/>
        <v>14000</v>
      </c>
      <c r="J264" s="58">
        <f t="shared" si="57"/>
        <v>424.24242424242425</v>
      </c>
      <c r="K264" s="58">
        <v>3800</v>
      </c>
      <c r="L264" s="59">
        <f t="shared" si="58"/>
        <v>3750</v>
      </c>
      <c r="M264" s="58">
        <f t="shared" si="59"/>
        <v>2812.5</v>
      </c>
      <c r="N264" s="58">
        <f t="shared" si="60"/>
        <v>2437.5</v>
      </c>
      <c r="O264" s="58">
        <f t="shared" si="61"/>
        <v>1900</v>
      </c>
      <c r="P264" s="58">
        <f t="shared" si="62"/>
        <v>3325.757575757576</v>
      </c>
      <c r="Q264" s="60">
        <f t="shared" si="63"/>
        <v>7.8392857142857144</v>
      </c>
      <c r="R264" s="58">
        <f t="shared" si="64"/>
        <v>2388.257575757576</v>
      </c>
      <c r="S264" s="58">
        <f t="shared" si="65"/>
        <v>2013.2575757575758</v>
      </c>
      <c r="T264" s="58">
        <f t="shared" si="66"/>
        <v>1475.7575757575758</v>
      </c>
      <c r="U264" s="60">
        <f t="shared" si="67"/>
        <v>5.6294642857142865</v>
      </c>
      <c r="V264" s="60">
        <f t="shared" si="68"/>
        <v>4.7455357142857144</v>
      </c>
      <c r="W264" s="60">
        <f t="shared" si="69"/>
        <v>3.4785714285714286</v>
      </c>
      <c r="X264" s="61"/>
      <c r="Y264" s="1"/>
      <c r="Z264" s="1"/>
    </row>
    <row r="265" spans="1:26" ht="15.75" customHeight="1">
      <c r="A265" s="54"/>
      <c r="B265" s="160" t="s">
        <v>388</v>
      </c>
      <c r="C265" s="33"/>
      <c r="D265" s="55" t="s">
        <v>1448</v>
      </c>
      <c r="E265" s="55" t="s">
        <v>1443</v>
      </c>
      <c r="F265" s="56" t="s">
        <v>1425</v>
      </c>
      <c r="G265" s="57" t="s">
        <v>1449</v>
      </c>
      <c r="H265" s="58">
        <v>25000</v>
      </c>
      <c r="I265" s="58">
        <f t="shared" si="56"/>
        <v>17500</v>
      </c>
      <c r="J265" s="58">
        <f t="shared" si="57"/>
        <v>530.30303030303025</v>
      </c>
      <c r="K265" s="58">
        <v>3800</v>
      </c>
      <c r="L265" s="59">
        <f t="shared" si="58"/>
        <v>3750</v>
      </c>
      <c r="M265" s="58">
        <f t="shared" si="59"/>
        <v>2812.5</v>
      </c>
      <c r="N265" s="58">
        <f t="shared" si="60"/>
        <v>2437.5</v>
      </c>
      <c r="O265" s="58">
        <f t="shared" si="61"/>
        <v>1900</v>
      </c>
      <c r="P265" s="58">
        <f t="shared" si="62"/>
        <v>3219.69696969697</v>
      </c>
      <c r="Q265" s="60">
        <f t="shared" si="63"/>
        <v>6.0714285714285721</v>
      </c>
      <c r="R265" s="58">
        <f t="shared" si="64"/>
        <v>2282.19696969697</v>
      </c>
      <c r="S265" s="58">
        <f t="shared" si="65"/>
        <v>1907.1969696969697</v>
      </c>
      <c r="T265" s="58">
        <f t="shared" si="66"/>
        <v>1369.6969696969697</v>
      </c>
      <c r="U265" s="60">
        <f t="shared" si="67"/>
        <v>4.3035714285714297</v>
      </c>
      <c r="V265" s="60">
        <f t="shared" si="68"/>
        <v>3.596428571428572</v>
      </c>
      <c r="W265" s="60">
        <f t="shared" si="69"/>
        <v>2.5828571428571432</v>
      </c>
      <c r="X265" s="61"/>
      <c r="Y265" s="1"/>
      <c r="Z265" s="1"/>
    </row>
    <row r="266" spans="1:26" ht="15.75" customHeight="1">
      <c r="A266" s="54"/>
      <c r="B266" s="162"/>
      <c r="C266" s="33"/>
      <c r="D266" s="55"/>
      <c r="E266" s="55" t="s">
        <v>1446</v>
      </c>
      <c r="F266" s="56" t="s">
        <v>1425</v>
      </c>
      <c r="G266" s="57" t="s">
        <v>1450</v>
      </c>
      <c r="H266" s="58">
        <v>25000</v>
      </c>
      <c r="I266" s="58">
        <f t="shared" si="56"/>
        <v>17500</v>
      </c>
      <c r="J266" s="58">
        <f t="shared" si="57"/>
        <v>530.30303030303025</v>
      </c>
      <c r="K266" s="58">
        <v>3800</v>
      </c>
      <c r="L266" s="59">
        <f t="shared" si="58"/>
        <v>3750</v>
      </c>
      <c r="M266" s="58">
        <f t="shared" si="59"/>
        <v>2812.5</v>
      </c>
      <c r="N266" s="58">
        <f t="shared" si="60"/>
        <v>2437.5</v>
      </c>
      <c r="O266" s="58">
        <f t="shared" si="61"/>
        <v>1900</v>
      </c>
      <c r="P266" s="58">
        <f t="shared" si="62"/>
        <v>3219.69696969697</v>
      </c>
      <c r="Q266" s="60">
        <f t="shared" si="63"/>
        <v>6.0714285714285721</v>
      </c>
      <c r="R266" s="58">
        <f t="shared" si="64"/>
        <v>2282.19696969697</v>
      </c>
      <c r="S266" s="58">
        <f t="shared" si="65"/>
        <v>1907.1969696969697</v>
      </c>
      <c r="T266" s="58">
        <f t="shared" si="66"/>
        <v>1369.6969696969697</v>
      </c>
      <c r="U266" s="60">
        <f t="shared" si="67"/>
        <v>4.3035714285714297</v>
      </c>
      <c r="V266" s="60">
        <f t="shared" si="68"/>
        <v>3.596428571428572</v>
      </c>
      <c r="W266" s="60">
        <f t="shared" si="69"/>
        <v>2.5828571428571432</v>
      </c>
      <c r="X266" s="61"/>
      <c r="Y266" s="1"/>
      <c r="Z266" s="1"/>
    </row>
    <row r="267" spans="1:26" ht="15.75" customHeight="1">
      <c r="A267" s="54"/>
      <c r="B267" s="162"/>
      <c r="C267" s="33"/>
      <c r="D267" s="55" t="s">
        <v>1451</v>
      </c>
      <c r="E267" s="55" t="s">
        <v>1443</v>
      </c>
      <c r="F267" s="56" t="s">
        <v>1425</v>
      </c>
      <c r="G267" s="57" t="s">
        <v>1452</v>
      </c>
      <c r="H267" s="58">
        <v>25000</v>
      </c>
      <c r="I267" s="58">
        <f t="shared" si="56"/>
        <v>17500</v>
      </c>
      <c r="J267" s="58">
        <f t="shared" si="57"/>
        <v>530.30303030303025</v>
      </c>
      <c r="K267" s="58">
        <v>3800</v>
      </c>
      <c r="L267" s="59">
        <f t="shared" si="58"/>
        <v>3750</v>
      </c>
      <c r="M267" s="58">
        <f t="shared" si="59"/>
        <v>2812.5</v>
      </c>
      <c r="N267" s="58">
        <f t="shared" si="60"/>
        <v>2437.5</v>
      </c>
      <c r="O267" s="58">
        <f t="shared" si="61"/>
        <v>1900</v>
      </c>
      <c r="P267" s="58">
        <f t="shared" si="62"/>
        <v>3219.69696969697</v>
      </c>
      <c r="Q267" s="60">
        <f t="shared" si="63"/>
        <v>6.0714285714285721</v>
      </c>
      <c r="R267" s="58">
        <f t="shared" si="64"/>
        <v>2282.19696969697</v>
      </c>
      <c r="S267" s="58">
        <f t="shared" si="65"/>
        <v>1907.1969696969697</v>
      </c>
      <c r="T267" s="58">
        <f t="shared" si="66"/>
        <v>1369.6969696969697</v>
      </c>
      <c r="U267" s="60">
        <f t="shared" si="67"/>
        <v>4.3035714285714297</v>
      </c>
      <c r="V267" s="60">
        <f t="shared" si="68"/>
        <v>3.596428571428572</v>
      </c>
      <c r="W267" s="60">
        <f t="shared" si="69"/>
        <v>2.5828571428571432</v>
      </c>
      <c r="X267" s="61" t="s">
        <v>227</v>
      </c>
      <c r="Y267" s="1"/>
      <c r="Z267" s="1"/>
    </row>
    <row r="268" spans="1:26" ht="15.75" customHeight="1">
      <c r="A268" s="54"/>
      <c r="B268" s="162"/>
      <c r="C268" s="33"/>
      <c r="D268" s="55"/>
      <c r="E268" s="55" t="s">
        <v>1446</v>
      </c>
      <c r="F268" s="56" t="s">
        <v>1425</v>
      </c>
      <c r="G268" s="57" t="s">
        <v>1453</v>
      </c>
      <c r="H268" s="58">
        <v>25000</v>
      </c>
      <c r="I268" s="58">
        <f t="shared" si="56"/>
        <v>17500</v>
      </c>
      <c r="J268" s="58">
        <f t="shared" si="57"/>
        <v>530.30303030303025</v>
      </c>
      <c r="K268" s="58">
        <v>3800</v>
      </c>
      <c r="L268" s="59">
        <f t="shared" si="58"/>
        <v>3750</v>
      </c>
      <c r="M268" s="58">
        <f t="shared" si="59"/>
        <v>2812.5</v>
      </c>
      <c r="N268" s="58">
        <f t="shared" si="60"/>
        <v>2437.5</v>
      </c>
      <c r="O268" s="58">
        <f t="shared" si="61"/>
        <v>1900</v>
      </c>
      <c r="P268" s="58">
        <f t="shared" si="62"/>
        <v>3219.69696969697</v>
      </c>
      <c r="Q268" s="60">
        <f t="shared" si="63"/>
        <v>6.0714285714285721</v>
      </c>
      <c r="R268" s="58">
        <f t="shared" si="64"/>
        <v>2282.19696969697</v>
      </c>
      <c r="S268" s="58">
        <f t="shared" si="65"/>
        <v>1907.1969696969697</v>
      </c>
      <c r="T268" s="58">
        <f t="shared" si="66"/>
        <v>1369.6969696969697</v>
      </c>
      <c r="U268" s="60">
        <f t="shared" si="67"/>
        <v>4.3035714285714297</v>
      </c>
      <c r="V268" s="60">
        <f t="shared" si="68"/>
        <v>3.596428571428572</v>
      </c>
      <c r="W268" s="60">
        <f t="shared" si="69"/>
        <v>2.5828571428571432</v>
      </c>
      <c r="X268" s="61" t="s">
        <v>228</v>
      </c>
      <c r="Y268" s="1"/>
      <c r="Z268" s="1"/>
    </row>
    <row r="269" spans="1:26" ht="15.75" customHeight="1">
      <c r="A269" s="54"/>
      <c r="B269" s="162"/>
      <c r="C269" s="33"/>
      <c r="D269" s="55" t="s">
        <v>1454</v>
      </c>
      <c r="E269" s="55" t="s">
        <v>1446</v>
      </c>
      <c r="F269" s="56" t="s">
        <v>1425</v>
      </c>
      <c r="G269" s="57" t="s">
        <v>1455</v>
      </c>
      <c r="H269" s="58">
        <v>25000</v>
      </c>
      <c r="I269" s="58">
        <f t="shared" si="56"/>
        <v>17500</v>
      </c>
      <c r="J269" s="58">
        <f t="shared" si="57"/>
        <v>530.30303030303025</v>
      </c>
      <c r="K269" s="58">
        <v>3800</v>
      </c>
      <c r="L269" s="59">
        <f t="shared" si="58"/>
        <v>3750</v>
      </c>
      <c r="M269" s="58">
        <f t="shared" si="59"/>
        <v>2812.5</v>
      </c>
      <c r="N269" s="58">
        <f t="shared" si="60"/>
        <v>2437.5</v>
      </c>
      <c r="O269" s="58">
        <f t="shared" si="61"/>
        <v>1900</v>
      </c>
      <c r="P269" s="58">
        <f t="shared" si="62"/>
        <v>3219.69696969697</v>
      </c>
      <c r="Q269" s="60">
        <f t="shared" si="63"/>
        <v>6.0714285714285721</v>
      </c>
      <c r="R269" s="58">
        <f t="shared" si="64"/>
        <v>2282.19696969697</v>
      </c>
      <c r="S269" s="58">
        <f t="shared" si="65"/>
        <v>1907.1969696969697</v>
      </c>
      <c r="T269" s="58">
        <f t="shared" si="66"/>
        <v>1369.6969696969697</v>
      </c>
      <c r="U269" s="60">
        <f t="shared" si="67"/>
        <v>4.3035714285714297</v>
      </c>
      <c r="V269" s="60">
        <f t="shared" si="68"/>
        <v>3.596428571428572</v>
      </c>
      <c r="W269" s="60">
        <f t="shared" si="69"/>
        <v>2.5828571428571432</v>
      </c>
      <c r="X269" s="61" t="s">
        <v>230</v>
      </c>
      <c r="Y269" s="1"/>
      <c r="Z269" s="1"/>
    </row>
    <row r="270" spans="1:26" ht="15.75" customHeight="1">
      <c r="A270" s="54"/>
      <c r="B270" s="162"/>
      <c r="C270" s="33"/>
      <c r="D270" s="56" t="s">
        <v>391</v>
      </c>
      <c r="E270" s="55" t="s">
        <v>1443</v>
      </c>
      <c r="F270" s="56" t="s">
        <v>1425</v>
      </c>
      <c r="G270" s="57" t="s">
        <v>1456</v>
      </c>
      <c r="H270" s="58">
        <v>30000</v>
      </c>
      <c r="I270" s="58">
        <f t="shared" si="56"/>
        <v>21000</v>
      </c>
      <c r="J270" s="58">
        <f t="shared" si="57"/>
        <v>636.36363636363637</v>
      </c>
      <c r="K270" s="58">
        <v>3800</v>
      </c>
      <c r="L270" s="59">
        <f t="shared" si="58"/>
        <v>3750</v>
      </c>
      <c r="M270" s="58">
        <f t="shared" si="59"/>
        <v>2812.5</v>
      </c>
      <c r="N270" s="58">
        <f t="shared" si="60"/>
        <v>2437.5</v>
      </c>
      <c r="O270" s="58">
        <f t="shared" si="61"/>
        <v>1900</v>
      </c>
      <c r="P270" s="58">
        <f t="shared" si="62"/>
        <v>3113.6363636363635</v>
      </c>
      <c r="Q270" s="60">
        <f t="shared" si="63"/>
        <v>4.8928571428571423</v>
      </c>
      <c r="R270" s="58">
        <f t="shared" si="64"/>
        <v>2176.1363636363635</v>
      </c>
      <c r="S270" s="58">
        <f t="shared" si="65"/>
        <v>1801.1363636363635</v>
      </c>
      <c r="T270" s="58">
        <f t="shared" si="66"/>
        <v>1263.6363636363635</v>
      </c>
      <c r="U270" s="60">
        <f t="shared" si="67"/>
        <v>3.4196428571428568</v>
      </c>
      <c r="V270" s="60">
        <f t="shared" si="68"/>
        <v>2.8303571428571428</v>
      </c>
      <c r="W270" s="60">
        <f t="shared" si="69"/>
        <v>1.9857142857142855</v>
      </c>
      <c r="X270" s="61"/>
      <c r="Y270" s="1"/>
      <c r="Z270" s="1"/>
    </row>
    <row r="271" spans="1:26" ht="15.75" customHeight="1">
      <c r="A271" s="54"/>
      <c r="B271" s="162"/>
      <c r="C271" s="33"/>
      <c r="D271" s="56" t="s">
        <v>391</v>
      </c>
      <c r="E271" s="55" t="s">
        <v>1446</v>
      </c>
      <c r="F271" s="56" t="s">
        <v>1425</v>
      </c>
      <c r="G271" s="71" t="s">
        <v>1457</v>
      </c>
      <c r="H271" s="58">
        <v>25000</v>
      </c>
      <c r="I271" s="58">
        <f t="shared" si="56"/>
        <v>17500</v>
      </c>
      <c r="J271" s="58">
        <f t="shared" si="57"/>
        <v>530.30303030303025</v>
      </c>
      <c r="K271" s="58">
        <v>3800</v>
      </c>
      <c r="L271" s="59">
        <f t="shared" si="58"/>
        <v>3750</v>
      </c>
      <c r="M271" s="58">
        <f t="shared" si="59"/>
        <v>2812.5</v>
      </c>
      <c r="N271" s="58">
        <f t="shared" si="60"/>
        <v>2437.5</v>
      </c>
      <c r="O271" s="58">
        <f t="shared" si="61"/>
        <v>1900</v>
      </c>
      <c r="P271" s="58">
        <f t="shared" si="62"/>
        <v>3219.69696969697</v>
      </c>
      <c r="Q271" s="60">
        <f t="shared" si="63"/>
        <v>6.0714285714285721</v>
      </c>
      <c r="R271" s="58">
        <f t="shared" si="64"/>
        <v>2282.19696969697</v>
      </c>
      <c r="S271" s="58">
        <f t="shared" si="65"/>
        <v>1907.1969696969697</v>
      </c>
      <c r="T271" s="58">
        <f t="shared" si="66"/>
        <v>1369.6969696969697</v>
      </c>
      <c r="U271" s="60">
        <f t="shared" si="67"/>
        <v>4.3035714285714297</v>
      </c>
      <c r="V271" s="60">
        <f t="shared" si="68"/>
        <v>3.596428571428572</v>
      </c>
      <c r="W271" s="60">
        <f t="shared" si="69"/>
        <v>2.5828571428571432</v>
      </c>
      <c r="X271" s="61"/>
      <c r="Y271" s="1"/>
      <c r="Z271" s="1"/>
    </row>
    <row r="272" spans="1:26" ht="15.75" customHeight="1">
      <c r="A272" s="54"/>
      <c r="B272" s="161"/>
      <c r="C272" s="33"/>
      <c r="D272" s="56" t="s">
        <v>1458</v>
      </c>
      <c r="E272" s="55" t="s">
        <v>1443</v>
      </c>
      <c r="F272" s="56" t="s">
        <v>1425</v>
      </c>
      <c r="G272" s="57" t="s">
        <v>1459</v>
      </c>
      <c r="H272" s="58">
        <v>30000</v>
      </c>
      <c r="I272" s="58">
        <f t="shared" si="56"/>
        <v>21000</v>
      </c>
      <c r="J272" s="58">
        <f t="shared" si="57"/>
        <v>636.36363636363637</v>
      </c>
      <c r="K272" s="58">
        <v>3800</v>
      </c>
      <c r="L272" s="59">
        <f t="shared" si="58"/>
        <v>3750</v>
      </c>
      <c r="M272" s="58">
        <f t="shared" si="59"/>
        <v>2812.5</v>
      </c>
      <c r="N272" s="58">
        <f t="shared" si="60"/>
        <v>2437.5</v>
      </c>
      <c r="O272" s="58">
        <f t="shared" si="61"/>
        <v>1900</v>
      </c>
      <c r="P272" s="58">
        <f t="shared" si="62"/>
        <v>3113.6363636363635</v>
      </c>
      <c r="Q272" s="60">
        <f t="shared" si="63"/>
        <v>4.8928571428571423</v>
      </c>
      <c r="R272" s="58">
        <f t="shared" si="64"/>
        <v>2176.1363636363635</v>
      </c>
      <c r="S272" s="58">
        <f t="shared" si="65"/>
        <v>1801.1363636363635</v>
      </c>
      <c r="T272" s="58">
        <f t="shared" si="66"/>
        <v>1263.6363636363635</v>
      </c>
      <c r="U272" s="60">
        <f t="shared" si="67"/>
        <v>3.4196428571428568</v>
      </c>
      <c r="V272" s="60">
        <f t="shared" si="68"/>
        <v>2.8303571428571428</v>
      </c>
      <c r="W272" s="60">
        <f t="shared" si="69"/>
        <v>1.9857142857142855</v>
      </c>
      <c r="X272" s="61"/>
      <c r="Y272" s="1"/>
      <c r="Z272" s="1"/>
    </row>
    <row r="273" spans="1:26" ht="15.75" customHeight="1">
      <c r="A273" s="54"/>
      <c r="B273" s="75" t="s">
        <v>66</v>
      </c>
      <c r="C273" s="33"/>
      <c r="D273" s="55" t="s">
        <v>1460</v>
      </c>
      <c r="E273" s="55" t="s">
        <v>1461</v>
      </c>
      <c r="F273" s="56" t="s">
        <v>1425</v>
      </c>
      <c r="G273" s="57" t="s">
        <v>1462</v>
      </c>
      <c r="H273" s="58">
        <v>25000</v>
      </c>
      <c r="I273" s="58">
        <f t="shared" si="56"/>
        <v>17500</v>
      </c>
      <c r="J273" s="58">
        <f t="shared" si="57"/>
        <v>530.30303030303025</v>
      </c>
      <c r="K273" s="58">
        <v>3800</v>
      </c>
      <c r="L273" s="59">
        <f t="shared" si="58"/>
        <v>3750</v>
      </c>
      <c r="M273" s="58">
        <f t="shared" si="59"/>
        <v>2812.5</v>
      </c>
      <c r="N273" s="58">
        <f t="shared" si="60"/>
        <v>2437.5</v>
      </c>
      <c r="O273" s="58">
        <f t="shared" si="61"/>
        <v>1900</v>
      </c>
      <c r="P273" s="58">
        <f t="shared" si="62"/>
        <v>3219.69696969697</v>
      </c>
      <c r="Q273" s="60">
        <f t="shared" si="63"/>
        <v>6.0714285714285721</v>
      </c>
      <c r="R273" s="58">
        <f t="shared" si="64"/>
        <v>2282.19696969697</v>
      </c>
      <c r="S273" s="58">
        <f t="shared" si="65"/>
        <v>1907.1969696969697</v>
      </c>
      <c r="T273" s="58">
        <f t="shared" si="66"/>
        <v>1369.6969696969697</v>
      </c>
      <c r="U273" s="60">
        <f t="shared" si="67"/>
        <v>4.3035714285714297</v>
      </c>
      <c r="V273" s="60">
        <f t="shared" si="68"/>
        <v>3.596428571428572</v>
      </c>
      <c r="W273" s="60">
        <f t="shared" si="69"/>
        <v>2.5828571428571432</v>
      </c>
      <c r="X273" s="61"/>
      <c r="Y273" s="1"/>
      <c r="Z273" s="1"/>
    </row>
    <row r="274" spans="1:26" ht="15.75" customHeight="1">
      <c r="A274" s="54"/>
      <c r="B274" s="75" t="s">
        <v>655</v>
      </c>
      <c r="C274" s="33"/>
      <c r="D274" s="55" t="s">
        <v>1463</v>
      </c>
      <c r="E274" s="55" t="s">
        <v>1464</v>
      </c>
      <c r="F274" s="56" t="s">
        <v>1425</v>
      </c>
      <c r="G274" s="71" t="s">
        <v>1465</v>
      </c>
      <c r="H274" s="58">
        <v>28000</v>
      </c>
      <c r="I274" s="58">
        <f t="shared" si="56"/>
        <v>19600</v>
      </c>
      <c r="J274" s="58">
        <f t="shared" si="57"/>
        <v>593.93939393939399</v>
      </c>
      <c r="K274" s="58">
        <v>3800</v>
      </c>
      <c r="L274" s="59">
        <f t="shared" si="58"/>
        <v>3750</v>
      </c>
      <c r="M274" s="58">
        <f t="shared" si="59"/>
        <v>2812.5</v>
      </c>
      <c r="N274" s="58">
        <f t="shared" si="60"/>
        <v>2437.5</v>
      </c>
      <c r="O274" s="58">
        <f t="shared" si="61"/>
        <v>1900</v>
      </c>
      <c r="P274" s="58">
        <f t="shared" si="62"/>
        <v>3156.060606060606</v>
      </c>
      <c r="Q274" s="60">
        <f t="shared" si="63"/>
        <v>5.3137755102040813</v>
      </c>
      <c r="R274" s="58">
        <f t="shared" si="64"/>
        <v>2218.560606060606</v>
      </c>
      <c r="S274" s="58">
        <f t="shared" si="65"/>
        <v>1843.560606060606</v>
      </c>
      <c r="T274" s="58">
        <f t="shared" si="66"/>
        <v>1306.060606060606</v>
      </c>
      <c r="U274" s="60">
        <f t="shared" si="67"/>
        <v>3.735331632653061</v>
      </c>
      <c r="V274" s="60">
        <f t="shared" si="68"/>
        <v>3.1039540816326525</v>
      </c>
      <c r="W274" s="60">
        <f t="shared" si="69"/>
        <v>2.1989795918367343</v>
      </c>
      <c r="X274" s="61"/>
      <c r="Y274" s="1"/>
      <c r="Z274" s="1"/>
    </row>
    <row r="275" spans="1:26" ht="15.75" customHeight="1">
      <c r="A275" s="54"/>
      <c r="B275" s="160" t="s">
        <v>802</v>
      </c>
      <c r="C275" s="33"/>
      <c r="D275" s="55" t="s">
        <v>1466</v>
      </c>
      <c r="E275" s="55" t="s">
        <v>1443</v>
      </c>
      <c r="F275" s="56" t="s">
        <v>1425</v>
      </c>
      <c r="G275" s="57" t="s">
        <v>1467</v>
      </c>
      <c r="H275" s="58">
        <v>25000</v>
      </c>
      <c r="I275" s="58">
        <f t="shared" si="56"/>
        <v>17500</v>
      </c>
      <c r="J275" s="58">
        <f t="shared" si="57"/>
        <v>530.30303030303025</v>
      </c>
      <c r="K275" s="58">
        <v>3800</v>
      </c>
      <c r="L275" s="59">
        <f t="shared" si="58"/>
        <v>3750</v>
      </c>
      <c r="M275" s="58">
        <f t="shared" si="59"/>
        <v>2812.5</v>
      </c>
      <c r="N275" s="58">
        <f t="shared" si="60"/>
        <v>2437.5</v>
      </c>
      <c r="O275" s="58">
        <f t="shared" si="61"/>
        <v>1900</v>
      </c>
      <c r="P275" s="58">
        <f t="shared" si="62"/>
        <v>3219.69696969697</v>
      </c>
      <c r="Q275" s="60">
        <f t="shared" si="63"/>
        <v>6.0714285714285721</v>
      </c>
      <c r="R275" s="58">
        <f t="shared" si="64"/>
        <v>2282.19696969697</v>
      </c>
      <c r="S275" s="58">
        <f t="shared" si="65"/>
        <v>1907.1969696969697</v>
      </c>
      <c r="T275" s="58">
        <f t="shared" si="66"/>
        <v>1369.6969696969697</v>
      </c>
      <c r="U275" s="60">
        <f t="shared" si="67"/>
        <v>4.3035714285714297</v>
      </c>
      <c r="V275" s="60">
        <f t="shared" si="68"/>
        <v>3.596428571428572</v>
      </c>
      <c r="W275" s="60">
        <f t="shared" si="69"/>
        <v>2.5828571428571432</v>
      </c>
      <c r="X275" s="61" t="s">
        <v>235</v>
      </c>
      <c r="Y275" s="1"/>
      <c r="Z275" s="1"/>
    </row>
    <row r="276" spans="1:26" ht="15.75" customHeight="1">
      <c r="A276" s="54"/>
      <c r="B276" s="162"/>
      <c r="C276" s="33"/>
      <c r="D276" s="55"/>
      <c r="E276" s="55" t="s">
        <v>1446</v>
      </c>
      <c r="F276" s="56" t="s">
        <v>1425</v>
      </c>
      <c r="G276" s="57" t="s">
        <v>1468</v>
      </c>
      <c r="H276" s="58">
        <v>25000</v>
      </c>
      <c r="I276" s="58">
        <f t="shared" si="56"/>
        <v>17500</v>
      </c>
      <c r="J276" s="58">
        <f t="shared" si="57"/>
        <v>530.30303030303025</v>
      </c>
      <c r="K276" s="58">
        <v>3800</v>
      </c>
      <c r="L276" s="59">
        <f t="shared" si="58"/>
        <v>3750</v>
      </c>
      <c r="M276" s="58">
        <f t="shared" si="59"/>
        <v>2812.5</v>
      </c>
      <c r="N276" s="58">
        <f t="shared" si="60"/>
        <v>2437.5</v>
      </c>
      <c r="O276" s="58">
        <f t="shared" si="61"/>
        <v>1900</v>
      </c>
      <c r="P276" s="58">
        <f t="shared" si="62"/>
        <v>3219.69696969697</v>
      </c>
      <c r="Q276" s="60">
        <f t="shared" si="63"/>
        <v>6.0714285714285721</v>
      </c>
      <c r="R276" s="58">
        <f t="shared" si="64"/>
        <v>2282.19696969697</v>
      </c>
      <c r="S276" s="58">
        <f t="shared" si="65"/>
        <v>1907.1969696969697</v>
      </c>
      <c r="T276" s="58">
        <f t="shared" si="66"/>
        <v>1369.6969696969697</v>
      </c>
      <c r="U276" s="60">
        <f t="shared" si="67"/>
        <v>4.3035714285714297</v>
      </c>
      <c r="V276" s="60">
        <f t="shared" si="68"/>
        <v>3.596428571428572</v>
      </c>
      <c r="W276" s="60">
        <f t="shared" si="69"/>
        <v>2.5828571428571432</v>
      </c>
      <c r="X276" s="61" t="s">
        <v>236</v>
      </c>
      <c r="Y276" s="1"/>
      <c r="Z276" s="1"/>
    </row>
    <row r="277" spans="1:26" ht="15.75" customHeight="1">
      <c r="A277" s="54"/>
      <c r="B277" s="161"/>
      <c r="C277" s="33"/>
      <c r="D277" s="55" t="s">
        <v>1469</v>
      </c>
      <c r="E277" s="55" t="s">
        <v>1446</v>
      </c>
      <c r="F277" s="56" t="s">
        <v>1425</v>
      </c>
      <c r="G277" s="57" t="s">
        <v>1470</v>
      </c>
      <c r="H277" s="58">
        <v>25000</v>
      </c>
      <c r="I277" s="58">
        <f t="shared" si="56"/>
        <v>17500</v>
      </c>
      <c r="J277" s="58">
        <f t="shared" si="57"/>
        <v>530.30303030303025</v>
      </c>
      <c r="K277" s="58">
        <v>3800</v>
      </c>
      <c r="L277" s="59">
        <f t="shared" si="58"/>
        <v>3750</v>
      </c>
      <c r="M277" s="58">
        <f t="shared" si="59"/>
        <v>2812.5</v>
      </c>
      <c r="N277" s="58">
        <f t="shared" si="60"/>
        <v>2437.5</v>
      </c>
      <c r="O277" s="58">
        <f t="shared" si="61"/>
        <v>1900</v>
      </c>
      <c r="P277" s="58">
        <f t="shared" si="62"/>
        <v>3219.69696969697</v>
      </c>
      <c r="Q277" s="60">
        <f t="shared" si="63"/>
        <v>6.0714285714285721</v>
      </c>
      <c r="R277" s="58">
        <f t="shared" si="64"/>
        <v>2282.19696969697</v>
      </c>
      <c r="S277" s="58">
        <f t="shared" si="65"/>
        <v>1907.1969696969697</v>
      </c>
      <c r="T277" s="58">
        <f t="shared" si="66"/>
        <v>1369.6969696969697</v>
      </c>
      <c r="U277" s="60">
        <f t="shared" si="67"/>
        <v>4.3035714285714297</v>
      </c>
      <c r="V277" s="60">
        <f t="shared" si="68"/>
        <v>3.596428571428572</v>
      </c>
      <c r="W277" s="60">
        <f t="shared" si="69"/>
        <v>2.5828571428571432</v>
      </c>
      <c r="X277" s="61"/>
      <c r="Y277" s="1"/>
      <c r="Z277" s="1"/>
    </row>
    <row r="278" spans="1:26" ht="15.75" customHeight="1">
      <c r="A278" s="54"/>
      <c r="B278" s="75" t="s">
        <v>1336</v>
      </c>
      <c r="C278" s="33"/>
      <c r="D278" s="55" t="s">
        <v>1471</v>
      </c>
      <c r="E278" s="55" t="s">
        <v>1443</v>
      </c>
      <c r="F278" s="56" t="s">
        <v>1425</v>
      </c>
      <c r="G278" s="57" t="s">
        <v>1472</v>
      </c>
      <c r="H278" s="58">
        <v>25000</v>
      </c>
      <c r="I278" s="58">
        <f t="shared" si="56"/>
        <v>17500</v>
      </c>
      <c r="J278" s="58">
        <f t="shared" si="57"/>
        <v>530.30303030303025</v>
      </c>
      <c r="K278" s="58">
        <v>3800</v>
      </c>
      <c r="L278" s="59">
        <f t="shared" si="58"/>
        <v>3750</v>
      </c>
      <c r="M278" s="58">
        <f t="shared" si="59"/>
        <v>2812.5</v>
      </c>
      <c r="N278" s="58">
        <f t="shared" si="60"/>
        <v>2437.5</v>
      </c>
      <c r="O278" s="58">
        <f t="shared" si="61"/>
        <v>1900</v>
      </c>
      <c r="P278" s="58">
        <f t="shared" si="62"/>
        <v>3219.69696969697</v>
      </c>
      <c r="Q278" s="60">
        <f t="shared" si="63"/>
        <v>6.0714285714285721</v>
      </c>
      <c r="R278" s="58">
        <f t="shared" si="64"/>
        <v>2282.19696969697</v>
      </c>
      <c r="S278" s="58">
        <f t="shared" si="65"/>
        <v>1907.1969696969697</v>
      </c>
      <c r="T278" s="58">
        <f t="shared" si="66"/>
        <v>1369.6969696969697</v>
      </c>
      <c r="U278" s="60">
        <f t="shared" si="67"/>
        <v>4.3035714285714297</v>
      </c>
      <c r="V278" s="60">
        <f t="shared" si="68"/>
        <v>3.596428571428572</v>
      </c>
      <c r="W278" s="60">
        <f t="shared" si="69"/>
        <v>2.5828571428571432</v>
      </c>
      <c r="X278" s="61"/>
      <c r="Y278" s="1"/>
      <c r="Z278" s="1"/>
    </row>
    <row r="279" spans="1:26" ht="15.75" customHeight="1">
      <c r="A279" s="54"/>
      <c r="B279" s="160" t="s">
        <v>328</v>
      </c>
      <c r="C279" s="33"/>
      <c r="D279" s="55" t="s">
        <v>356</v>
      </c>
      <c r="E279" s="55" t="s">
        <v>1443</v>
      </c>
      <c r="F279" s="56" t="s">
        <v>1425</v>
      </c>
      <c r="G279" s="57" t="s">
        <v>1473</v>
      </c>
      <c r="H279" s="58">
        <v>25000</v>
      </c>
      <c r="I279" s="58">
        <f t="shared" si="56"/>
        <v>17500</v>
      </c>
      <c r="J279" s="58">
        <f t="shared" si="57"/>
        <v>530.30303030303025</v>
      </c>
      <c r="K279" s="58">
        <v>3800</v>
      </c>
      <c r="L279" s="59">
        <f t="shared" si="58"/>
        <v>3750</v>
      </c>
      <c r="M279" s="58">
        <f t="shared" si="59"/>
        <v>2812.5</v>
      </c>
      <c r="N279" s="58">
        <f t="shared" si="60"/>
        <v>2437.5</v>
      </c>
      <c r="O279" s="58">
        <f t="shared" si="61"/>
        <v>1900</v>
      </c>
      <c r="P279" s="58">
        <f t="shared" si="62"/>
        <v>3219.69696969697</v>
      </c>
      <c r="Q279" s="60">
        <f t="shared" si="63"/>
        <v>6.0714285714285721</v>
      </c>
      <c r="R279" s="58">
        <f t="shared" si="64"/>
        <v>2282.19696969697</v>
      </c>
      <c r="S279" s="58">
        <f t="shared" si="65"/>
        <v>1907.1969696969697</v>
      </c>
      <c r="T279" s="58">
        <f t="shared" si="66"/>
        <v>1369.6969696969697</v>
      </c>
      <c r="U279" s="60">
        <f t="shared" si="67"/>
        <v>4.3035714285714297</v>
      </c>
      <c r="V279" s="60">
        <f t="shared" si="68"/>
        <v>3.596428571428572</v>
      </c>
      <c r="W279" s="60">
        <f t="shared" si="69"/>
        <v>2.5828571428571432</v>
      </c>
      <c r="X279" s="61"/>
      <c r="Y279" s="1"/>
      <c r="Z279" s="1"/>
    </row>
    <row r="280" spans="1:26" ht="15.75" customHeight="1">
      <c r="A280" s="54"/>
      <c r="B280" s="162"/>
      <c r="C280" s="33"/>
      <c r="D280" s="55" t="s">
        <v>356</v>
      </c>
      <c r="E280" s="55" t="s">
        <v>1446</v>
      </c>
      <c r="F280" s="56" t="s">
        <v>1425</v>
      </c>
      <c r="G280" s="57" t="s">
        <v>1474</v>
      </c>
      <c r="H280" s="58">
        <v>15000</v>
      </c>
      <c r="I280" s="58">
        <f t="shared" si="56"/>
        <v>10500</v>
      </c>
      <c r="J280" s="58">
        <f t="shared" si="57"/>
        <v>318.18181818181819</v>
      </c>
      <c r="K280" s="58">
        <v>3800</v>
      </c>
      <c r="L280" s="59">
        <f t="shared" si="58"/>
        <v>3750</v>
      </c>
      <c r="M280" s="58">
        <f t="shared" si="59"/>
        <v>2812.5</v>
      </c>
      <c r="N280" s="58">
        <f t="shared" si="60"/>
        <v>2437.5</v>
      </c>
      <c r="O280" s="58">
        <f t="shared" si="61"/>
        <v>1900</v>
      </c>
      <c r="P280" s="58">
        <f t="shared" si="62"/>
        <v>3431.818181818182</v>
      </c>
      <c r="Q280" s="60">
        <f t="shared" si="63"/>
        <v>10.785714285714286</v>
      </c>
      <c r="R280" s="58">
        <f t="shared" si="64"/>
        <v>2494.318181818182</v>
      </c>
      <c r="S280" s="58">
        <f t="shared" si="65"/>
        <v>2119.318181818182</v>
      </c>
      <c r="T280" s="58">
        <f t="shared" si="66"/>
        <v>1581.8181818181818</v>
      </c>
      <c r="U280" s="60">
        <f t="shared" si="67"/>
        <v>7.8392857142857144</v>
      </c>
      <c r="V280" s="60">
        <f t="shared" si="68"/>
        <v>6.6607142857142865</v>
      </c>
      <c r="W280" s="60">
        <f t="shared" si="69"/>
        <v>4.9714285714285715</v>
      </c>
      <c r="X280" s="61"/>
      <c r="Y280" s="1"/>
      <c r="Z280" s="1"/>
    </row>
    <row r="281" spans="1:26" ht="15.75" customHeight="1">
      <c r="A281" s="54"/>
      <c r="B281" s="162"/>
      <c r="C281" s="33"/>
      <c r="D281" s="55" t="s">
        <v>1274</v>
      </c>
      <c r="E281" s="55" t="s">
        <v>1443</v>
      </c>
      <c r="F281" s="56" t="s">
        <v>1425</v>
      </c>
      <c r="G281" s="57" t="s">
        <v>1475</v>
      </c>
      <c r="H281" s="58">
        <v>28000</v>
      </c>
      <c r="I281" s="58">
        <f t="shared" si="56"/>
        <v>19600</v>
      </c>
      <c r="J281" s="58">
        <f t="shared" si="57"/>
        <v>593.93939393939399</v>
      </c>
      <c r="K281" s="58">
        <v>3800</v>
      </c>
      <c r="L281" s="59">
        <f t="shared" si="58"/>
        <v>3750</v>
      </c>
      <c r="M281" s="58">
        <f t="shared" si="59"/>
        <v>2812.5</v>
      </c>
      <c r="N281" s="58">
        <f t="shared" si="60"/>
        <v>2437.5</v>
      </c>
      <c r="O281" s="58">
        <f t="shared" si="61"/>
        <v>1900</v>
      </c>
      <c r="P281" s="58">
        <f t="shared" si="62"/>
        <v>3156.060606060606</v>
      </c>
      <c r="Q281" s="60">
        <f t="shared" si="63"/>
        <v>5.3137755102040813</v>
      </c>
      <c r="R281" s="58">
        <f t="shared" si="64"/>
        <v>2218.560606060606</v>
      </c>
      <c r="S281" s="58">
        <f t="shared" si="65"/>
        <v>1843.560606060606</v>
      </c>
      <c r="T281" s="58">
        <f t="shared" si="66"/>
        <v>1306.060606060606</v>
      </c>
      <c r="U281" s="60">
        <f t="shared" si="67"/>
        <v>3.735331632653061</v>
      </c>
      <c r="V281" s="60">
        <f t="shared" si="68"/>
        <v>3.1039540816326525</v>
      </c>
      <c r="W281" s="60">
        <f t="shared" si="69"/>
        <v>2.1989795918367343</v>
      </c>
      <c r="X281" s="61" t="s">
        <v>239</v>
      </c>
      <c r="Y281" s="1"/>
      <c r="Z281" s="1"/>
    </row>
    <row r="282" spans="1:26" ht="15.75" customHeight="1">
      <c r="A282" s="86"/>
      <c r="B282" s="161"/>
      <c r="C282" s="69"/>
      <c r="D282" s="55" t="s">
        <v>1274</v>
      </c>
      <c r="E282" s="55" t="s">
        <v>1430</v>
      </c>
      <c r="F282" s="56" t="s">
        <v>1425</v>
      </c>
      <c r="G282" s="57" t="s">
        <v>1476</v>
      </c>
      <c r="H282" s="58">
        <v>28000</v>
      </c>
      <c r="I282" s="58">
        <f t="shared" si="56"/>
        <v>19600</v>
      </c>
      <c r="J282" s="58">
        <f t="shared" si="57"/>
        <v>593.93939393939399</v>
      </c>
      <c r="K282" s="58">
        <v>3800</v>
      </c>
      <c r="L282" s="59">
        <f t="shared" si="58"/>
        <v>3750</v>
      </c>
      <c r="M282" s="58">
        <f t="shared" si="59"/>
        <v>2812.5</v>
      </c>
      <c r="N282" s="58">
        <f t="shared" si="60"/>
        <v>2437.5</v>
      </c>
      <c r="O282" s="58">
        <f t="shared" si="61"/>
        <v>1900</v>
      </c>
      <c r="P282" s="58">
        <f t="shared" si="62"/>
        <v>3156.060606060606</v>
      </c>
      <c r="Q282" s="60">
        <f t="shared" si="63"/>
        <v>5.3137755102040813</v>
      </c>
      <c r="R282" s="58">
        <f t="shared" si="64"/>
        <v>2218.560606060606</v>
      </c>
      <c r="S282" s="58">
        <f t="shared" si="65"/>
        <v>1843.560606060606</v>
      </c>
      <c r="T282" s="58">
        <f t="shared" si="66"/>
        <v>1306.060606060606</v>
      </c>
      <c r="U282" s="60">
        <f t="shared" si="67"/>
        <v>3.735331632653061</v>
      </c>
      <c r="V282" s="60">
        <f t="shared" si="68"/>
        <v>3.1039540816326525</v>
      </c>
      <c r="W282" s="60">
        <f t="shared" si="69"/>
        <v>2.1989795918367343</v>
      </c>
      <c r="X282" s="61" t="s">
        <v>241</v>
      </c>
      <c r="Y282" s="1"/>
      <c r="Z282" s="1"/>
    </row>
    <row r="283" spans="1:26" ht="15.75" customHeight="1">
      <c r="A283" s="51" t="s">
        <v>1477</v>
      </c>
      <c r="B283" s="160" t="s">
        <v>388</v>
      </c>
      <c r="C283" s="43"/>
      <c r="D283" s="55" t="s">
        <v>1478</v>
      </c>
      <c r="E283" s="55" t="s">
        <v>393</v>
      </c>
      <c r="F283" s="56"/>
      <c r="G283" s="57" t="s">
        <v>1479</v>
      </c>
      <c r="H283" s="58">
        <v>15000</v>
      </c>
      <c r="I283" s="58">
        <f t="shared" si="56"/>
        <v>10500</v>
      </c>
      <c r="J283" s="58">
        <f t="shared" si="57"/>
        <v>318.18181818181819</v>
      </c>
      <c r="K283" s="58">
        <v>1400</v>
      </c>
      <c r="L283" s="59">
        <f t="shared" si="58"/>
        <v>1350</v>
      </c>
      <c r="M283" s="58">
        <f t="shared" si="59"/>
        <v>1012.5</v>
      </c>
      <c r="N283" s="58">
        <f t="shared" si="60"/>
        <v>877.5</v>
      </c>
      <c r="O283" s="58">
        <f t="shared" si="61"/>
        <v>700</v>
      </c>
      <c r="P283" s="58">
        <f t="shared" si="62"/>
        <v>1031.8181818181818</v>
      </c>
      <c r="Q283" s="60">
        <f t="shared" si="63"/>
        <v>3.2428571428571424</v>
      </c>
      <c r="R283" s="58">
        <f t="shared" si="64"/>
        <v>694.31818181818176</v>
      </c>
      <c r="S283" s="58">
        <f t="shared" si="65"/>
        <v>559.31818181818176</v>
      </c>
      <c r="T283" s="58">
        <f t="shared" si="66"/>
        <v>381.81818181818181</v>
      </c>
      <c r="U283" s="60">
        <f t="shared" si="67"/>
        <v>2.1821428571428569</v>
      </c>
      <c r="V283" s="60">
        <f t="shared" si="68"/>
        <v>1.7578571428571426</v>
      </c>
      <c r="W283" s="60">
        <f t="shared" si="69"/>
        <v>1.2</v>
      </c>
      <c r="X283" s="61" t="s">
        <v>243</v>
      </c>
      <c r="Y283" s="1"/>
      <c r="Z283" s="1"/>
    </row>
    <row r="284" spans="1:26" ht="15.75" customHeight="1">
      <c r="A284" s="54"/>
      <c r="B284" s="161"/>
      <c r="C284" s="33"/>
      <c r="D284" s="55" t="s">
        <v>412</v>
      </c>
      <c r="E284" s="55" t="s">
        <v>412</v>
      </c>
      <c r="F284" s="56"/>
      <c r="G284" s="57" t="s">
        <v>1480</v>
      </c>
      <c r="H284" s="58">
        <v>16000</v>
      </c>
      <c r="I284" s="58">
        <f t="shared" si="56"/>
        <v>11200</v>
      </c>
      <c r="J284" s="58">
        <f t="shared" si="57"/>
        <v>339.39393939393938</v>
      </c>
      <c r="K284" s="58">
        <v>1400</v>
      </c>
      <c r="L284" s="59">
        <f t="shared" si="58"/>
        <v>1350</v>
      </c>
      <c r="M284" s="58">
        <f t="shared" si="59"/>
        <v>1012.5</v>
      </c>
      <c r="N284" s="58">
        <f t="shared" si="60"/>
        <v>877.5</v>
      </c>
      <c r="O284" s="58">
        <f t="shared" si="61"/>
        <v>700</v>
      </c>
      <c r="P284" s="58">
        <f t="shared" si="62"/>
        <v>1010.6060606060606</v>
      </c>
      <c r="Q284" s="60">
        <f t="shared" si="63"/>
        <v>2.9776785714285716</v>
      </c>
      <c r="R284" s="58">
        <f t="shared" si="64"/>
        <v>673.10606060606062</v>
      </c>
      <c r="S284" s="58">
        <f t="shared" si="65"/>
        <v>538.10606060606062</v>
      </c>
      <c r="T284" s="58">
        <f t="shared" si="66"/>
        <v>360.60606060606062</v>
      </c>
      <c r="U284" s="60">
        <f t="shared" si="67"/>
        <v>1.9832589285714288</v>
      </c>
      <c r="V284" s="60">
        <f t="shared" si="68"/>
        <v>1.5854910714285715</v>
      </c>
      <c r="W284" s="60">
        <f t="shared" si="69"/>
        <v>1.0625</v>
      </c>
      <c r="X284" s="61" t="s">
        <v>244</v>
      </c>
      <c r="Y284" s="1"/>
      <c r="Z284" s="1"/>
    </row>
    <row r="285" spans="1:26" ht="15.75" customHeight="1">
      <c r="A285" s="54"/>
      <c r="B285" s="160" t="s">
        <v>446</v>
      </c>
      <c r="C285" s="33"/>
      <c r="D285" s="55" t="s">
        <v>1481</v>
      </c>
      <c r="E285" s="55" t="s">
        <v>607</v>
      </c>
      <c r="F285" s="56"/>
      <c r="G285" s="57" t="s">
        <v>1482</v>
      </c>
      <c r="H285" s="58">
        <v>16000</v>
      </c>
      <c r="I285" s="58">
        <f t="shared" si="56"/>
        <v>11200</v>
      </c>
      <c r="J285" s="58">
        <f t="shared" si="57"/>
        <v>339.39393939393938</v>
      </c>
      <c r="K285" s="58">
        <v>1300</v>
      </c>
      <c r="L285" s="59">
        <f t="shared" si="58"/>
        <v>1250</v>
      </c>
      <c r="M285" s="58">
        <f t="shared" si="59"/>
        <v>937.5</v>
      </c>
      <c r="N285" s="58">
        <f t="shared" si="60"/>
        <v>812.5</v>
      </c>
      <c r="O285" s="58">
        <f t="shared" si="61"/>
        <v>650</v>
      </c>
      <c r="P285" s="58">
        <f t="shared" si="62"/>
        <v>910.60606060606062</v>
      </c>
      <c r="Q285" s="60">
        <f t="shared" si="63"/>
        <v>2.6830357142857144</v>
      </c>
      <c r="R285" s="58">
        <f t="shared" si="64"/>
        <v>598.10606060606062</v>
      </c>
      <c r="S285" s="58">
        <f t="shared" si="65"/>
        <v>473.10606060606062</v>
      </c>
      <c r="T285" s="58">
        <f t="shared" si="66"/>
        <v>310.60606060606062</v>
      </c>
      <c r="U285" s="60">
        <f t="shared" si="67"/>
        <v>1.7622767857142858</v>
      </c>
      <c r="V285" s="60">
        <f t="shared" si="68"/>
        <v>1.3939732142857144</v>
      </c>
      <c r="W285" s="60">
        <f t="shared" si="69"/>
        <v>0.91517857142857151</v>
      </c>
      <c r="X285" s="61" t="s">
        <v>245</v>
      </c>
      <c r="Y285" s="1"/>
      <c r="Z285" s="1"/>
    </row>
    <row r="286" spans="1:26" ht="15.75" customHeight="1">
      <c r="A286" s="54"/>
      <c r="B286" s="162"/>
      <c r="C286" s="33"/>
      <c r="D286" s="55" t="s">
        <v>1165</v>
      </c>
      <c r="E286" s="55" t="s">
        <v>607</v>
      </c>
      <c r="F286" s="56"/>
      <c r="G286" s="57" t="s">
        <v>1483</v>
      </c>
      <c r="H286" s="58">
        <v>15000</v>
      </c>
      <c r="I286" s="58">
        <f t="shared" si="56"/>
        <v>10500</v>
      </c>
      <c r="J286" s="58">
        <f t="shared" si="57"/>
        <v>318.18181818181819</v>
      </c>
      <c r="K286" s="58">
        <v>1300</v>
      </c>
      <c r="L286" s="59">
        <f t="shared" si="58"/>
        <v>1250</v>
      </c>
      <c r="M286" s="58">
        <f t="shared" si="59"/>
        <v>937.5</v>
      </c>
      <c r="N286" s="58">
        <f t="shared" si="60"/>
        <v>812.5</v>
      </c>
      <c r="O286" s="58">
        <f t="shared" si="61"/>
        <v>650</v>
      </c>
      <c r="P286" s="58">
        <f t="shared" si="62"/>
        <v>931.81818181818176</v>
      </c>
      <c r="Q286" s="60">
        <f t="shared" si="63"/>
        <v>2.9285714285714284</v>
      </c>
      <c r="R286" s="58">
        <f t="shared" si="64"/>
        <v>619.31818181818176</v>
      </c>
      <c r="S286" s="58">
        <f t="shared" si="65"/>
        <v>494.31818181818181</v>
      </c>
      <c r="T286" s="58">
        <f t="shared" si="66"/>
        <v>331.81818181818181</v>
      </c>
      <c r="U286" s="60">
        <f t="shared" si="67"/>
        <v>1.9464285714285712</v>
      </c>
      <c r="V286" s="60">
        <f t="shared" si="68"/>
        <v>1.5535714285714286</v>
      </c>
      <c r="W286" s="60">
        <f t="shared" si="69"/>
        <v>1.0428571428571429</v>
      </c>
      <c r="X286" s="61" t="s">
        <v>247</v>
      </c>
      <c r="Y286" s="1"/>
      <c r="Z286" s="1"/>
    </row>
    <row r="287" spans="1:26" ht="15.75" customHeight="1">
      <c r="A287" s="54"/>
      <c r="B287" s="162"/>
      <c r="C287" s="33"/>
      <c r="D287" s="55" t="s">
        <v>1484</v>
      </c>
      <c r="E287" s="55" t="s">
        <v>607</v>
      </c>
      <c r="F287" s="56"/>
      <c r="G287" s="57" t="s">
        <v>1485</v>
      </c>
      <c r="H287" s="58">
        <v>18000</v>
      </c>
      <c r="I287" s="58">
        <f t="shared" si="56"/>
        <v>12600</v>
      </c>
      <c r="J287" s="58">
        <f t="shared" si="57"/>
        <v>381.81818181818181</v>
      </c>
      <c r="K287" s="58">
        <v>1300</v>
      </c>
      <c r="L287" s="59">
        <f t="shared" si="58"/>
        <v>1250</v>
      </c>
      <c r="M287" s="58">
        <f t="shared" si="59"/>
        <v>937.5</v>
      </c>
      <c r="N287" s="58">
        <f t="shared" si="60"/>
        <v>812.5</v>
      </c>
      <c r="O287" s="58">
        <f t="shared" si="61"/>
        <v>650</v>
      </c>
      <c r="P287" s="58">
        <f t="shared" si="62"/>
        <v>868.18181818181824</v>
      </c>
      <c r="Q287" s="60">
        <f t="shared" si="63"/>
        <v>2.2738095238095242</v>
      </c>
      <c r="R287" s="58">
        <f t="shared" si="64"/>
        <v>555.68181818181824</v>
      </c>
      <c r="S287" s="58">
        <f t="shared" si="65"/>
        <v>430.68181818181819</v>
      </c>
      <c r="T287" s="58">
        <f t="shared" si="66"/>
        <v>268.18181818181819</v>
      </c>
      <c r="U287" s="60">
        <f t="shared" si="67"/>
        <v>1.455357142857143</v>
      </c>
      <c r="V287" s="60">
        <f t="shared" si="68"/>
        <v>1.1279761904761905</v>
      </c>
      <c r="W287" s="60">
        <f t="shared" si="69"/>
        <v>0.70238095238095244</v>
      </c>
      <c r="X287" s="61" t="s">
        <v>249</v>
      </c>
      <c r="Y287" s="1"/>
      <c r="Z287" s="1"/>
    </row>
    <row r="288" spans="1:26" ht="15.75" customHeight="1">
      <c r="A288" s="54"/>
      <c r="B288" s="162"/>
      <c r="C288" s="33"/>
      <c r="D288" s="55" t="s">
        <v>1178</v>
      </c>
      <c r="E288" s="55" t="s">
        <v>607</v>
      </c>
      <c r="F288" s="56"/>
      <c r="G288" s="57" t="s">
        <v>1486</v>
      </c>
      <c r="H288" s="58">
        <v>15000</v>
      </c>
      <c r="I288" s="58">
        <f t="shared" si="56"/>
        <v>10500</v>
      </c>
      <c r="J288" s="58">
        <f t="shared" si="57"/>
        <v>318.18181818181819</v>
      </c>
      <c r="K288" s="58">
        <v>1300</v>
      </c>
      <c r="L288" s="59">
        <f t="shared" si="58"/>
        <v>1250</v>
      </c>
      <c r="M288" s="58">
        <f t="shared" si="59"/>
        <v>937.5</v>
      </c>
      <c r="N288" s="58">
        <f t="shared" si="60"/>
        <v>812.5</v>
      </c>
      <c r="O288" s="58">
        <f t="shared" si="61"/>
        <v>650</v>
      </c>
      <c r="P288" s="58">
        <f t="shared" si="62"/>
        <v>931.81818181818176</v>
      </c>
      <c r="Q288" s="60">
        <f t="shared" si="63"/>
        <v>2.9285714285714284</v>
      </c>
      <c r="R288" s="58">
        <f t="shared" si="64"/>
        <v>619.31818181818176</v>
      </c>
      <c r="S288" s="58">
        <f t="shared" si="65"/>
        <v>494.31818181818181</v>
      </c>
      <c r="T288" s="58">
        <f t="shared" si="66"/>
        <v>331.81818181818181</v>
      </c>
      <c r="U288" s="60">
        <f t="shared" si="67"/>
        <v>1.9464285714285712</v>
      </c>
      <c r="V288" s="60">
        <f t="shared" si="68"/>
        <v>1.5535714285714286</v>
      </c>
      <c r="W288" s="60">
        <f t="shared" si="69"/>
        <v>1.0428571428571429</v>
      </c>
      <c r="X288" s="61"/>
      <c r="Y288" s="1"/>
      <c r="Z288" s="1"/>
    </row>
    <row r="289" spans="1:26" ht="15.75" customHeight="1">
      <c r="A289" s="54"/>
      <c r="B289" s="162"/>
      <c r="C289" s="33"/>
      <c r="D289" s="55" t="s">
        <v>1487</v>
      </c>
      <c r="E289" s="55" t="s">
        <v>607</v>
      </c>
      <c r="F289" s="56"/>
      <c r="G289" s="57" t="s">
        <v>1488</v>
      </c>
      <c r="H289" s="58">
        <v>20000</v>
      </c>
      <c r="I289" s="58">
        <f t="shared" si="56"/>
        <v>14000</v>
      </c>
      <c r="J289" s="58">
        <f t="shared" si="57"/>
        <v>424.24242424242425</v>
      </c>
      <c r="K289" s="58">
        <v>2200</v>
      </c>
      <c r="L289" s="59">
        <f t="shared" si="58"/>
        <v>2150</v>
      </c>
      <c r="M289" s="58">
        <f t="shared" si="59"/>
        <v>1612.5</v>
      </c>
      <c r="N289" s="58">
        <f t="shared" si="60"/>
        <v>1397.5</v>
      </c>
      <c r="O289" s="58">
        <f t="shared" si="61"/>
        <v>1100</v>
      </c>
      <c r="P289" s="58">
        <f t="shared" si="62"/>
        <v>1725.7575757575758</v>
      </c>
      <c r="Q289" s="60">
        <f t="shared" si="63"/>
        <v>4.0678571428571431</v>
      </c>
      <c r="R289" s="58">
        <f t="shared" si="64"/>
        <v>1188.2575757575758</v>
      </c>
      <c r="S289" s="58">
        <f t="shared" si="65"/>
        <v>973.25757575757575</v>
      </c>
      <c r="T289" s="58">
        <f t="shared" si="66"/>
        <v>675.75757575757575</v>
      </c>
      <c r="U289" s="60">
        <f t="shared" si="67"/>
        <v>2.8008928571428573</v>
      </c>
      <c r="V289" s="60">
        <f t="shared" si="68"/>
        <v>2.2941071428571429</v>
      </c>
      <c r="W289" s="60">
        <f t="shared" si="69"/>
        <v>1.5928571428571427</v>
      </c>
      <c r="X289" s="61" t="s">
        <v>250</v>
      </c>
      <c r="Y289" s="1"/>
      <c r="Z289" s="1"/>
    </row>
    <row r="290" spans="1:26" ht="15.75" customHeight="1">
      <c r="A290" s="54"/>
      <c r="B290" s="161"/>
      <c r="C290" s="33"/>
      <c r="D290" s="55" t="s">
        <v>1487</v>
      </c>
      <c r="E290" s="55" t="s">
        <v>1489</v>
      </c>
      <c r="F290" s="56"/>
      <c r="G290" s="57" t="s">
        <v>1490</v>
      </c>
      <c r="H290" s="58">
        <v>25000</v>
      </c>
      <c r="I290" s="58">
        <f t="shared" si="56"/>
        <v>17500</v>
      </c>
      <c r="J290" s="58">
        <f t="shared" si="57"/>
        <v>530.30303030303025</v>
      </c>
      <c r="K290" s="58">
        <v>2300</v>
      </c>
      <c r="L290" s="59">
        <f t="shared" si="58"/>
        <v>2250</v>
      </c>
      <c r="M290" s="58">
        <f t="shared" si="59"/>
        <v>1687.5</v>
      </c>
      <c r="N290" s="58">
        <f t="shared" si="60"/>
        <v>1462.5</v>
      </c>
      <c r="O290" s="58">
        <f t="shared" si="61"/>
        <v>1150</v>
      </c>
      <c r="P290" s="58">
        <f t="shared" si="62"/>
        <v>1719.6969696969697</v>
      </c>
      <c r="Q290" s="60">
        <f t="shared" si="63"/>
        <v>3.2428571428571433</v>
      </c>
      <c r="R290" s="58">
        <f t="shared" si="64"/>
        <v>1157.1969696969697</v>
      </c>
      <c r="S290" s="58">
        <f t="shared" si="65"/>
        <v>932.19696969696975</v>
      </c>
      <c r="T290" s="58">
        <f t="shared" si="66"/>
        <v>619.69696969696975</v>
      </c>
      <c r="U290" s="60">
        <f t="shared" si="67"/>
        <v>2.1821428571428574</v>
      </c>
      <c r="V290" s="60">
        <f t="shared" si="68"/>
        <v>1.757857142857143</v>
      </c>
      <c r="W290" s="60">
        <f t="shared" si="69"/>
        <v>1.1685714285714288</v>
      </c>
      <c r="X290" s="61" t="s">
        <v>250</v>
      </c>
      <c r="Y290" s="1"/>
      <c r="Z290" s="1"/>
    </row>
    <row r="291" spans="1:26" ht="15.75" customHeight="1">
      <c r="A291" s="54"/>
      <c r="B291" s="160" t="s">
        <v>66</v>
      </c>
      <c r="C291" s="33"/>
      <c r="D291" s="55" t="s">
        <v>148</v>
      </c>
      <c r="E291" s="55" t="s">
        <v>607</v>
      </c>
      <c r="F291" s="56"/>
      <c r="G291" s="57" t="s">
        <v>1491</v>
      </c>
      <c r="H291" s="58">
        <v>18000</v>
      </c>
      <c r="I291" s="58">
        <f t="shared" si="56"/>
        <v>12600</v>
      </c>
      <c r="J291" s="58">
        <f t="shared" si="57"/>
        <v>381.81818181818181</v>
      </c>
      <c r="K291" s="58">
        <v>1500</v>
      </c>
      <c r="L291" s="59">
        <f t="shared" si="58"/>
        <v>1450</v>
      </c>
      <c r="M291" s="58">
        <f t="shared" si="59"/>
        <v>1087.5</v>
      </c>
      <c r="N291" s="58">
        <f t="shared" si="60"/>
        <v>942.5</v>
      </c>
      <c r="O291" s="58">
        <f t="shared" si="61"/>
        <v>750</v>
      </c>
      <c r="P291" s="58">
        <f t="shared" si="62"/>
        <v>1068.1818181818182</v>
      </c>
      <c r="Q291" s="60">
        <f t="shared" si="63"/>
        <v>2.7976190476190479</v>
      </c>
      <c r="R291" s="58">
        <f t="shared" si="64"/>
        <v>705.68181818181824</v>
      </c>
      <c r="S291" s="58">
        <f t="shared" si="65"/>
        <v>560.68181818181824</v>
      </c>
      <c r="T291" s="58">
        <f t="shared" si="66"/>
        <v>368.18181818181819</v>
      </c>
      <c r="U291" s="60">
        <f t="shared" si="67"/>
        <v>1.8482142857142858</v>
      </c>
      <c r="V291" s="60">
        <f t="shared" si="68"/>
        <v>1.4684523809523811</v>
      </c>
      <c r="W291" s="60">
        <f t="shared" si="69"/>
        <v>0.9642857142857143</v>
      </c>
      <c r="X291" s="61" t="s">
        <v>252</v>
      </c>
      <c r="Y291" s="1"/>
      <c r="Z291" s="1"/>
    </row>
    <row r="292" spans="1:26" ht="15.75" customHeight="1">
      <c r="A292" s="54"/>
      <c r="B292" s="162"/>
      <c r="C292" s="33"/>
      <c r="D292" s="55" t="s">
        <v>148</v>
      </c>
      <c r="E292" s="55" t="s">
        <v>1492</v>
      </c>
      <c r="F292" s="56"/>
      <c r="G292" s="57" t="s">
        <v>1493</v>
      </c>
      <c r="H292" s="58">
        <v>20000</v>
      </c>
      <c r="I292" s="58">
        <f t="shared" si="56"/>
        <v>14000</v>
      </c>
      <c r="J292" s="58">
        <f t="shared" si="57"/>
        <v>424.24242424242425</v>
      </c>
      <c r="K292" s="58">
        <v>1700</v>
      </c>
      <c r="L292" s="59">
        <f t="shared" si="58"/>
        <v>1650</v>
      </c>
      <c r="M292" s="58">
        <f t="shared" si="59"/>
        <v>1237.5</v>
      </c>
      <c r="N292" s="58">
        <f t="shared" si="60"/>
        <v>1072.5</v>
      </c>
      <c r="O292" s="58">
        <f t="shared" si="61"/>
        <v>850</v>
      </c>
      <c r="P292" s="58">
        <f t="shared" si="62"/>
        <v>1225.7575757575758</v>
      </c>
      <c r="Q292" s="60">
        <f t="shared" si="63"/>
        <v>2.8892857142857142</v>
      </c>
      <c r="R292" s="58">
        <f t="shared" si="64"/>
        <v>813.25757575757575</v>
      </c>
      <c r="S292" s="58">
        <f t="shared" si="65"/>
        <v>648.25757575757575</v>
      </c>
      <c r="T292" s="58">
        <f t="shared" si="66"/>
        <v>425.75757575757575</v>
      </c>
      <c r="U292" s="60">
        <f t="shared" si="67"/>
        <v>1.9169642857142857</v>
      </c>
      <c r="V292" s="60">
        <f t="shared" si="68"/>
        <v>1.5280357142857142</v>
      </c>
      <c r="W292" s="60">
        <f t="shared" si="69"/>
        <v>1.0035714285714286</v>
      </c>
      <c r="X292" s="61" t="s">
        <v>253</v>
      </c>
      <c r="Y292" s="1"/>
      <c r="Z292" s="1"/>
    </row>
    <row r="293" spans="1:26" ht="15.75" customHeight="1">
      <c r="A293" s="54"/>
      <c r="B293" s="162"/>
      <c r="C293" s="33"/>
      <c r="D293" s="55" t="s">
        <v>1494</v>
      </c>
      <c r="E293" s="55" t="s">
        <v>607</v>
      </c>
      <c r="F293" s="56"/>
      <c r="G293" s="57" t="s">
        <v>1495</v>
      </c>
      <c r="H293" s="58">
        <v>15000</v>
      </c>
      <c r="I293" s="58">
        <f t="shared" si="56"/>
        <v>10500</v>
      </c>
      <c r="J293" s="58">
        <f t="shared" si="57"/>
        <v>318.18181818181819</v>
      </c>
      <c r="K293" s="58">
        <v>1400</v>
      </c>
      <c r="L293" s="59">
        <f t="shared" si="58"/>
        <v>1350</v>
      </c>
      <c r="M293" s="58">
        <f t="shared" si="59"/>
        <v>1012.5</v>
      </c>
      <c r="N293" s="58">
        <f t="shared" si="60"/>
        <v>877.5</v>
      </c>
      <c r="O293" s="58">
        <f t="shared" si="61"/>
        <v>700</v>
      </c>
      <c r="P293" s="58">
        <f t="shared" si="62"/>
        <v>1031.8181818181818</v>
      </c>
      <c r="Q293" s="60">
        <f t="shared" si="63"/>
        <v>3.2428571428571424</v>
      </c>
      <c r="R293" s="58">
        <f t="shared" si="64"/>
        <v>694.31818181818176</v>
      </c>
      <c r="S293" s="58">
        <f t="shared" si="65"/>
        <v>559.31818181818176</v>
      </c>
      <c r="T293" s="58">
        <f t="shared" si="66"/>
        <v>381.81818181818181</v>
      </c>
      <c r="U293" s="60">
        <f t="shared" si="67"/>
        <v>2.1821428571428569</v>
      </c>
      <c r="V293" s="60">
        <f t="shared" si="68"/>
        <v>1.7578571428571426</v>
      </c>
      <c r="W293" s="60">
        <f t="shared" si="69"/>
        <v>1.2</v>
      </c>
      <c r="X293" s="61" t="s">
        <v>254</v>
      </c>
      <c r="Y293" s="1"/>
      <c r="Z293" s="1"/>
    </row>
    <row r="294" spans="1:26" ht="15.75" customHeight="1">
      <c r="A294" s="54"/>
      <c r="B294" s="162"/>
      <c r="C294" s="33"/>
      <c r="D294" s="55" t="s">
        <v>133</v>
      </c>
      <c r="E294" s="55" t="s">
        <v>131</v>
      </c>
      <c r="F294" s="56"/>
      <c r="G294" s="57" t="s">
        <v>1496</v>
      </c>
      <c r="H294" s="58">
        <v>18000</v>
      </c>
      <c r="I294" s="58">
        <f t="shared" si="56"/>
        <v>12600</v>
      </c>
      <c r="J294" s="58">
        <f t="shared" si="57"/>
        <v>381.81818181818181</v>
      </c>
      <c r="K294" s="58">
        <v>1400</v>
      </c>
      <c r="L294" s="59">
        <f t="shared" si="58"/>
        <v>1350</v>
      </c>
      <c r="M294" s="58">
        <f t="shared" si="59"/>
        <v>1012.5</v>
      </c>
      <c r="N294" s="58">
        <f t="shared" si="60"/>
        <v>877.5</v>
      </c>
      <c r="O294" s="58">
        <f t="shared" si="61"/>
        <v>700</v>
      </c>
      <c r="P294" s="58">
        <f t="shared" si="62"/>
        <v>968.18181818181824</v>
      </c>
      <c r="Q294" s="60">
        <f t="shared" si="63"/>
        <v>2.535714285714286</v>
      </c>
      <c r="R294" s="58">
        <f t="shared" si="64"/>
        <v>630.68181818181824</v>
      </c>
      <c r="S294" s="58">
        <f t="shared" si="65"/>
        <v>495.68181818181819</v>
      </c>
      <c r="T294" s="58">
        <f t="shared" si="66"/>
        <v>318.18181818181819</v>
      </c>
      <c r="U294" s="60">
        <f t="shared" si="67"/>
        <v>1.6517857142857144</v>
      </c>
      <c r="V294" s="60">
        <f t="shared" si="68"/>
        <v>1.2982142857142858</v>
      </c>
      <c r="W294" s="60">
        <f t="shared" si="69"/>
        <v>0.83333333333333337</v>
      </c>
      <c r="X294" s="61"/>
      <c r="Y294" s="1"/>
      <c r="Z294" s="1"/>
    </row>
    <row r="295" spans="1:26" ht="15.75" customHeight="1">
      <c r="A295" s="54"/>
      <c r="B295" s="161"/>
      <c r="C295" s="33"/>
      <c r="D295" s="55" t="s">
        <v>1497</v>
      </c>
      <c r="E295" s="55" t="s">
        <v>607</v>
      </c>
      <c r="F295" s="56"/>
      <c r="G295" s="57" t="s">
        <v>1498</v>
      </c>
      <c r="H295" s="58">
        <v>18000</v>
      </c>
      <c r="I295" s="58">
        <f t="shared" si="56"/>
        <v>12600</v>
      </c>
      <c r="J295" s="58">
        <f t="shared" si="57"/>
        <v>381.81818181818181</v>
      </c>
      <c r="K295" s="58">
        <v>1400</v>
      </c>
      <c r="L295" s="59">
        <f t="shared" si="58"/>
        <v>1350</v>
      </c>
      <c r="M295" s="58">
        <f t="shared" si="59"/>
        <v>1012.5</v>
      </c>
      <c r="N295" s="58">
        <f t="shared" si="60"/>
        <v>877.5</v>
      </c>
      <c r="O295" s="58">
        <f t="shared" si="61"/>
        <v>700</v>
      </c>
      <c r="P295" s="58">
        <f t="shared" si="62"/>
        <v>968.18181818181824</v>
      </c>
      <c r="Q295" s="60">
        <f t="shared" si="63"/>
        <v>2.535714285714286</v>
      </c>
      <c r="R295" s="58">
        <f t="shared" si="64"/>
        <v>630.68181818181824</v>
      </c>
      <c r="S295" s="58">
        <f t="shared" si="65"/>
        <v>495.68181818181819</v>
      </c>
      <c r="T295" s="58">
        <f t="shared" si="66"/>
        <v>318.18181818181819</v>
      </c>
      <c r="U295" s="60">
        <f t="shared" si="67"/>
        <v>1.6517857142857144</v>
      </c>
      <c r="V295" s="60">
        <f t="shared" si="68"/>
        <v>1.2982142857142858</v>
      </c>
      <c r="W295" s="60">
        <f t="shared" si="69"/>
        <v>0.83333333333333337</v>
      </c>
      <c r="X295" s="61"/>
      <c r="Y295" s="1"/>
      <c r="Z295" s="1"/>
    </row>
    <row r="296" spans="1:26" ht="15.75" customHeight="1">
      <c r="A296" s="87"/>
      <c r="B296" s="160" t="s">
        <v>217</v>
      </c>
      <c r="C296" s="88"/>
      <c r="D296" s="55" t="s">
        <v>1428</v>
      </c>
      <c r="E296" s="55" t="s">
        <v>607</v>
      </c>
      <c r="F296" s="89"/>
      <c r="G296" s="57" t="s">
        <v>1499</v>
      </c>
      <c r="H296" s="58">
        <v>15000</v>
      </c>
      <c r="I296" s="58">
        <f t="shared" si="56"/>
        <v>10500</v>
      </c>
      <c r="J296" s="58">
        <f t="shared" si="57"/>
        <v>318.18181818181819</v>
      </c>
      <c r="K296" s="58">
        <v>1300</v>
      </c>
      <c r="L296" s="59">
        <f t="shared" si="58"/>
        <v>1250</v>
      </c>
      <c r="M296" s="58">
        <f t="shared" si="59"/>
        <v>937.5</v>
      </c>
      <c r="N296" s="58">
        <f t="shared" si="60"/>
        <v>812.5</v>
      </c>
      <c r="O296" s="58">
        <f t="shared" si="61"/>
        <v>650</v>
      </c>
      <c r="P296" s="58">
        <f t="shared" si="62"/>
        <v>931.81818181818176</v>
      </c>
      <c r="Q296" s="60">
        <f t="shared" si="63"/>
        <v>2.9285714285714284</v>
      </c>
      <c r="R296" s="58">
        <f t="shared" si="64"/>
        <v>619.31818181818176</v>
      </c>
      <c r="S296" s="58">
        <f t="shared" si="65"/>
        <v>494.31818181818181</v>
      </c>
      <c r="T296" s="58">
        <f t="shared" si="66"/>
        <v>331.81818181818181</v>
      </c>
      <c r="U296" s="60">
        <f t="shared" si="67"/>
        <v>1.9464285714285712</v>
      </c>
      <c r="V296" s="60">
        <f t="shared" si="68"/>
        <v>1.5535714285714286</v>
      </c>
      <c r="W296" s="60">
        <f t="shared" si="69"/>
        <v>1.0428571428571429</v>
      </c>
      <c r="X296" s="55" t="s">
        <v>256</v>
      </c>
      <c r="Y296" s="1"/>
      <c r="Z296" s="1"/>
    </row>
    <row r="297" spans="1:26" ht="15.75" customHeight="1">
      <c r="A297" s="54"/>
      <c r="B297" s="162"/>
      <c r="C297" s="33"/>
      <c r="D297" s="55" t="s">
        <v>1078</v>
      </c>
      <c r="E297" s="55" t="s">
        <v>607</v>
      </c>
      <c r="F297" s="56"/>
      <c r="G297" s="57" t="s">
        <v>1500</v>
      </c>
      <c r="H297" s="58">
        <v>20000</v>
      </c>
      <c r="I297" s="58">
        <f t="shared" si="56"/>
        <v>14000</v>
      </c>
      <c r="J297" s="58">
        <f t="shared" si="57"/>
        <v>424.24242424242425</v>
      </c>
      <c r="K297" s="58">
        <v>1300</v>
      </c>
      <c r="L297" s="59">
        <f t="shared" si="58"/>
        <v>1250</v>
      </c>
      <c r="M297" s="58">
        <f t="shared" si="59"/>
        <v>937.5</v>
      </c>
      <c r="N297" s="58">
        <f t="shared" si="60"/>
        <v>812.5</v>
      </c>
      <c r="O297" s="58">
        <f t="shared" si="61"/>
        <v>650</v>
      </c>
      <c r="P297" s="58">
        <f t="shared" si="62"/>
        <v>825.75757575757575</v>
      </c>
      <c r="Q297" s="60">
        <f t="shared" si="63"/>
        <v>1.9464285714285714</v>
      </c>
      <c r="R297" s="58">
        <f t="shared" si="64"/>
        <v>513.25757575757575</v>
      </c>
      <c r="S297" s="58">
        <f t="shared" si="65"/>
        <v>388.25757575757575</v>
      </c>
      <c r="T297" s="58">
        <f t="shared" si="66"/>
        <v>225.75757575757575</v>
      </c>
      <c r="U297" s="60">
        <f t="shared" si="67"/>
        <v>1.2098214285714286</v>
      </c>
      <c r="V297" s="60">
        <f t="shared" si="68"/>
        <v>0.9151785714285714</v>
      </c>
      <c r="W297" s="60">
        <f t="shared" si="69"/>
        <v>0.53214285714285714</v>
      </c>
      <c r="X297" s="61" t="s">
        <v>13</v>
      </c>
      <c r="Y297" s="1"/>
      <c r="Z297" s="1"/>
    </row>
    <row r="298" spans="1:26" ht="15.75" customHeight="1">
      <c r="A298" s="54"/>
      <c r="B298" s="162"/>
      <c r="C298" s="33"/>
      <c r="D298" s="55" t="s">
        <v>232</v>
      </c>
      <c r="E298" s="55" t="s">
        <v>607</v>
      </c>
      <c r="F298" s="56"/>
      <c r="G298" s="57" t="s">
        <v>1501</v>
      </c>
      <c r="H298" s="58">
        <v>15000</v>
      </c>
      <c r="I298" s="58">
        <f t="shared" si="56"/>
        <v>10500</v>
      </c>
      <c r="J298" s="58">
        <f t="shared" si="57"/>
        <v>318.18181818181819</v>
      </c>
      <c r="K298" s="58">
        <v>1300</v>
      </c>
      <c r="L298" s="59">
        <f t="shared" si="58"/>
        <v>1250</v>
      </c>
      <c r="M298" s="58">
        <f t="shared" si="59"/>
        <v>937.5</v>
      </c>
      <c r="N298" s="58">
        <f t="shared" si="60"/>
        <v>812.5</v>
      </c>
      <c r="O298" s="58">
        <f t="shared" si="61"/>
        <v>650</v>
      </c>
      <c r="P298" s="58">
        <f t="shared" si="62"/>
        <v>931.81818181818176</v>
      </c>
      <c r="Q298" s="60">
        <f t="shared" si="63"/>
        <v>2.9285714285714284</v>
      </c>
      <c r="R298" s="58">
        <f t="shared" si="64"/>
        <v>619.31818181818176</v>
      </c>
      <c r="S298" s="58">
        <f t="shared" si="65"/>
        <v>494.31818181818181</v>
      </c>
      <c r="T298" s="58">
        <f t="shared" si="66"/>
        <v>331.81818181818181</v>
      </c>
      <c r="U298" s="60">
        <f t="shared" si="67"/>
        <v>1.9464285714285712</v>
      </c>
      <c r="V298" s="60">
        <f t="shared" si="68"/>
        <v>1.5535714285714286</v>
      </c>
      <c r="W298" s="60">
        <f t="shared" si="69"/>
        <v>1.0428571428571429</v>
      </c>
      <c r="X298" s="61"/>
      <c r="Y298" s="1"/>
      <c r="Z298" s="1"/>
    </row>
    <row r="299" spans="1:26" ht="15.75" customHeight="1">
      <c r="A299" s="54"/>
      <c r="B299" s="162"/>
      <c r="C299" s="33"/>
      <c r="D299" s="55" t="s">
        <v>322</v>
      </c>
      <c r="E299" s="55" t="s">
        <v>607</v>
      </c>
      <c r="F299" s="56"/>
      <c r="G299" s="57" t="s">
        <v>1502</v>
      </c>
      <c r="H299" s="58">
        <v>18000</v>
      </c>
      <c r="I299" s="58">
        <f t="shared" si="56"/>
        <v>12600</v>
      </c>
      <c r="J299" s="58">
        <f t="shared" si="57"/>
        <v>381.81818181818181</v>
      </c>
      <c r="K299" s="58">
        <v>1300</v>
      </c>
      <c r="L299" s="59">
        <f t="shared" si="58"/>
        <v>1250</v>
      </c>
      <c r="M299" s="58">
        <f t="shared" si="59"/>
        <v>937.5</v>
      </c>
      <c r="N299" s="58">
        <f t="shared" si="60"/>
        <v>812.5</v>
      </c>
      <c r="O299" s="58">
        <f t="shared" si="61"/>
        <v>650</v>
      </c>
      <c r="P299" s="58">
        <f t="shared" si="62"/>
        <v>868.18181818181824</v>
      </c>
      <c r="Q299" s="60">
        <f t="shared" si="63"/>
        <v>2.2738095238095242</v>
      </c>
      <c r="R299" s="58">
        <f t="shared" si="64"/>
        <v>555.68181818181824</v>
      </c>
      <c r="S299" s="58">
        <f t="shared" si="65"/>
        <v>430.68181818181819</v>
      </c>
      <c r="T299" s="58">
        <f t="shared" si="66"/>
        <v>268.18181818181819</v>
      </c>
      <c r="U299" s="60">
        <f t="shared" si="67"/>
        <v>1.455357142857143</v>
      </c>
      <c r="V299" s="60">
        <f t="shared" si="68"/>
        <v>1.1279761904761905</v>
      </c>
      <c r="W299" s="60">
        <f t="shared" si="69"/>
        <v>0.70238095238095244</v>
      </c>
      <c r="X299" s="61" t="s">
        <v>258</v>
      </c>
      <c r="Y299" s="1"/>
      <c r="Z299" s="1"/>
    </row>
    <row r="300" spans="1:26" ht="15.75" customHeight="1">
      <c r="A300" s="54"/>
      <c r="B300" s="162"/>
      <c r="C300" s="33"/>
      <c r="D300" s="55" t="s">
        <v>314</v>
      </c>
      <c r="E300" s="55" t="s">
        <v>607</v>
      </c>
      <c r="F300" s="56"/>
      <c r="G300" s="57" t="s">
        <v>1503</v>
      </c>
      <c r="H300" s="58">
        <v>16000</v>
      </c>
      <c r="I300" s="58">
        <f t="shared" si="56"/>
        <v>11200</v>
      </c>
      <c r="J300" s="58">
        <f t="shared" si="57"/>
        <v>339.39393939393938</v>
      </c>
      <c r="K300" s="58">
        <v>1300</v>
      </c>
      <c r="L300" s="59">
        <f t="shared" si="58"/>
        <v>1250</v>
      </c>
      <c r="M300" s="58">
        <f t="shared" si="59"/>
        <v>937.5</v>
      </c>
      <c r="N300" s="58">
        <f t="shared" si="60"/>
        <v>812.5</v>
      </c>
      <c r="O300" s="58">
        <f t="shared" si="61"/>
        <v>650</v>
      </c>
      <c r="P300" s="58">
        <f t="shared" si="62"/>
        <v>910.60606060606062</v>
      </c>
      <c r="Q300" s="60">
        <f t="shared" si="63"/>
        <v>2.6830357142857144</v>
      </c>
      <c r="R300" s="58">
        <f t="shared" si="64"/>
        <v>598.10606060606062</v>
      </c>
      <c r="S300" s="58">
        <f t="shared" si="65"/>
        <v>473.10606060606062</v>
      </c>
      <c r="T300" s="58">
        <f t="shared" si="66"/>
        <v>310.60606060606062</v>
      </c>
      <c r="U300" s="60">
        <f t="shared" si="67"/>
        <v>1.7622767857142858</v>
      </c>
      <c r="V300" s="60">
        <f t="shared" si="68"/>
        <v>1.3939732142857144</v>
      </c>
      <c r="W300" s="60">
        <f t="shared" si="69"/>
        <v>0.91517857142857151</v>
      </c>
      <c r="X300" s="61" t="s">
        <v>260</v>
      </c>
      <c r="Y300" s="1"/>
      <c r="Z300" s="1"/>
    </row>
    <row r="301" spans="1:26" ht="15.75" customHeight="1">
      <c r="A301" s="54"/>
      <c r="B301" s="162"/>
      <c r="C301" s="33"/>
      <c r="D301" s="55" t="s">
        <v>1504</v>
      </c>
      <c r="E301" s="55" t="s">
        <v>607</v>
      </c>
      <c r="F301" s="56"/>
      <c r="G301" s="57" t="s">
        <v>1505</v>
      </c>
      <c r="H301" s="58">
        <v>16000</v>
      </c>
      <c r="I301" s="58">
        <f t="shared" si="56"/>
        <v>11200</v>
      </c>
      <c r="J301" s="58">
        <f t="shared" si="57"/>
        <v>339.39393939393938</v>
      </c>
      <c r="K301" s="58">
        <v>1300</v>
      </c>
      <c r="L301" s="59">
        <f t="shared" si="58"/>
        <v>1250</v>
      </c>
      <c r="M301" s="58">
        <f t="shared" si="59"/>
        <v>937.5</v>
      </c>
      <c r="N301" s="58">
        <f t="shared" si="60"/>
        <v>812.5</v>
      </c>
      <c r="O301" s="58">
        <f t="shared" si="61"/>
        <v>650</v>
      </c>
      <c r="P301" s="58">
        <f t="shared" si="62"/>
        <v>910.60606060606062</v>
      </c>
      <c r="Q301" s="60">
        <f t="shared" si="63"/>
        <v>2.6830357142857144</v>
      </c>
      <c r="R301" s="58">
        <f t="shared" si="64"/>
        <v>598.10606060606062</v>
      </c>
      <c r="S301" s="58">
        <f t="shared" si="65"/>
        <v>473.10606060606062</v>
      </c>
      <c r="T301" s="58">
        <f t="shared" si="66"/>
        <v>310.60606060606062</v>
      </c>
      <c r="U301" s="60">
        <f t="shared" si="67"/>
        <v>1.7622767857142858</v>
      </c>
      <c r="V301" s="60">
        <f t="shared" si="68"/>
        <v>1.3939732142857144</v>
      </c>
      <c r="W301" s="60">
        <f t="shared" si="69"/>
        <v>0.91517857142857151</v>
      </c>
      <c r="X301" s="61" t="s">
        <v>262</v>
      </c>
      <c r="Y301" s="1"/>
      <c r="Z301" s="1"/>
    </row>
    <row r="302" spans="1:26" ht="15.75" customHeight="1">
      <c r="A302" s="54"/>
      <c r="B302" s="162"/>
      <c r="C302" s="33"/>
      <c r="D302" s="55" t="s">
        <v>1506</v>
      </c>
      <c r="E302" s="55" t="s">
        <v>607</v>
      </c>
      <c r="F302" s="56"/>
      <c r="G302" s="57" t="s">
        <v>1507</v>
      </c>
      <c r="H302" s="58">
        <v>16000</v>
      </c>
      <c r="I302" s="58">
        <f t="shared" si="56"/>
        <v>11200</v>
      </c>
      <c r="J302" s="58">
        <f t="shared" si="57"/>
        <v>339.39393939393938</v>
      </c>
      <c r="K302" s="58">
        <v>1300</v>
      </c>
      <c r="L302" s="59">
        <f t="shared" si="58"/>
        <v>1250</v>
      </c>
      <c r="M302" s="58">
        <f t="shared" si="59"/>
        <v>937.5</v>
      </c>
      <c r="N302" s="58">
        <f t="shared" si="60"/>
        <v>812.5</v>
      </c>
      <c r="O302" s="58">
        <f t="shared" si="61"/>
        <v>650</v>
      </c>
      <c r="P302" s="58">
        <f t="shared" si="62"/>
        <v>910.60606060606062</v>
      </c>
      <c r="Q302" s="60">
        <f t="shared" si="63"/>
        <v>2.6830357142857144</v>
      </c>
      <c r="R302" s="58">
        <f t="shared" si="64"/>
        <v>598.10606060606062</v>
      </c>
      <c r="S302" s="58">
        <f t="shared" si="65"/>
        <v>473.10606060606062</v>
      </c>
      <c r="T302" s="58">
        <f t="shared" si="66"/>
        <v>310.60606060606062</v>
      </c>
      <c r="U302" s="60">
        <f t="shared" si="67"/>
        <v>1.7622767857142858</v>
      </c>
      <c r="V302" s="60">
        <f t="shared" si="68"/>
        <v>1.3939732142857144</v>
      </c>
      <c r="W302" s="60">
        <f t="shared" si="69"/>
        <v>0.91517857142857151</v>
      </c>
      <c r="X302" s="61" t="s">
        <v>263</v>
      </c>
      <c r="Y302" s="1"/>
      <c r="Z302" s="1"/>
    </row>
    <row r="303" spans="1:26" ht="15.75" customHeight="1">
      <c r="A303" s="54"/>
      <c r="B303" s="162"/>
      <c r="C303" s="33"/>
      <c r="D303" s="55" t="s">
        <v>1508</v>
      </c>
      <c r="E303" s="55" t="s">
        <v>493</v>
      </c>
      <c r="F303" s="56"/>
      <c r="G303" s="57" t="s">
        <v>1509</v>
      </c>
      <c r="H303" s="58">
        <v>15000</v>
      </c>
      <c r="I303" s="58">
        <f t="shared" si="56"/>
        <v>10500</v>
      </c>
      <c r="J303" s="58">
        <f t="shared" si="57"/>
        <v>318.18181818181819</v>
      </c>
      <c r="K303" s="58">
        <v>1400</v>
      </c>
      <c r="L303" s="59">
        <f t="shared" si="58"/>
        <v>1350</v>
      </c>
      <c r="M303" s="58">
        <f t="shared" si="59"/>
        <v>1012.5</v>
      </c>
      <c r="N303" s="58">
        <f t="shared" si="60"/>
        <v>877.5</v>
      </c>
      <c r="O303" s="58">
        <f t="shared" si="61"/>
        <v>700</v>
      </c>
      <c r="P303" s="58">
        <f t="shared" si="62"/>
        <v>1031.8181818181818</v>
      </c>
      <c r="Q303" s="60">
        <f t="shared" si="63"/>
        <v>3.2428571428571424</v>
      </c>
      <c r="R303" s="58">
        <f t="shared" si="64"/>
        <v>694.31818181818176</v>
      </c>
      <c r="S303" s="58">
        <f t="shared" si="65"/>
        <v>559.31818181818176</v>
      </c>
      <c r="T303" s="58">
        <f t="shared" si="66"/>
        <v>381.81818181818181</v>
      </c>
      <c r="U303" s="60">
        <f t="shared" si="67"/>
        <v>2.1821428571428569</v>
      </c>
      <c r="V303" s="60">
        <f t="shared" si="68"/>
        <v>1.7578571428571426</v>
      </c>
      <c r="W303" s="60">
        <f t="shared" si="69"/>
        <v>1.2</v>
      </c>
      <c r="X303" s="61"/>
      <c r="Y303" s="1"/>
      <c r="Z303" s="1"/>
    </row>
    <row r="304" spans="1:26" ht="15.75" customHeight="1">
      <c r="A304" s="54"/>
      <c r="B304" s="162"/>
      <c r="C304" s="33"/>
      <c r="D304" s="55" t="s">
        <v>1064</v>
      </c>
      <c r="E304" s="55" t="s">
        <v>607</v>
      </c>
      <c r="F304" s="56"/>
      <c r="G304" s="57" t="s">
        <v>1510</v>
      </c>
      <c r="H304" s="58">
        <v>15000</v>
      </c>
      <c r="I304" s="58">
        <f t="shared" si="56"/>
        <v>10500</v>
      </c>
      <c r="J304" s="58">
        <f t="shared" si="57"/>
        <v>318.18181818181819</v>
      </c>
      <c r="K304" s="58">
        <v>1300</v>
      </c>
      <c r="L304" s="59">
        <f t="shared" si="58"/>
        <v>1250</v>
      </c>
      <c r="M304" s="58">
        <f t="shared" si="59"/>
        <v>937.5</v>
      </c>
      <c r="N304" s="58">
        <f t="shared" si="60"/>
        <v>812.5</v>
      </c>
      <c r="O304" s="58">
        <f t="shared" si="61"/>
        <v>650</v>
      </c>
      <c r="P304" s="58">
        <f t="shared" si="62"/>
        <v>931.81818181818176</v>
      </c>
      <c r="Q304" s="60">
        <f t="shared" si="63"/>
        <v>2.9285714285714284</v>
      </c>
      <c r="R304" s="58">
        <f t="shared" si="64"/>
        <v>619.31818181818176</v>
      </c>
      <c r="S304" s="58">
        <f t="shared" si="65"/>
        <v>494.31818181818181</v>
      </c>
      <c r="T304" s="58">
        <f t="shared" si="66"/>
        <v>331.81818181818181</v>
      </c>
      <c r="U304" s="60">
        <f t="shared" si="67"/>
        <v>1.9464285714285712</v>
      </c>
      <c r="V304" s="60">
        <f t="shared" si="68"/>
        <v>1.5535714285714286</v>
      </c>
      <c r="W304" s="60">
        <f t="shared" si="69"/>
        <v>1.0428571428571429</v>
      </c>
      <c r="X304" s="61" t="s">
        <v>264</v>
      </c>
      <c r="Y304" s="1"/>
      <c r="Z304" s="1"/>
    </row>
    <row r="305" spans="1:26" ht="15.75" customHeight="1">
      <c r="A305" s="54"/>
      <c r="B305" s="162"/>
      <c r="C305" s="33"/>
      <c r="D305" s="55" t="s">
        <v>1511</v>
      </c>
      <c r="E305" s="55" t="s">
        <v>607</v>
      </c>
      <c r="F305" s="56"/>
      <c r="G305" s="57" t="s">
        <v>1512</v>
      </c>
      <c r="H305" s="58">
        <v>18000</v>
      </c>
      <c r="I305" s="58">
        <f t="shared" si="56"/>
        <v>12600</v>
      </c>
      <c r="J305" s="58">
        <f t="shared" si="57"/>
        <v>381.81818181818181</v>
      </c>
      <c r="K305" s="58">
        <v>1400</v>
      </c>
      <c r="L305" s="59">
        <f t="shared" si="58"/>
        <v>1350</v>
      </c>
      <c r="M305" s="58">
        <f t="shared" si="59"/>
        <v>1012.5</v>
      </c>
      <c r="N305" s="58">
        <f t="shared" si="60"/>
        <v>877.5</v>
      </c>
      <c r="O305" s="58">
        <f t="shared" si="61"/>
        <v>700</v>
      </c>
      <c r="P305" s="58">
        <f t="shared" si="62"/>
        <v>968.18181818181824</v>
      </c>
      <c r="Q305" s="60">
        <f t="shared" si="63"/>
        <v>2.535714285714286</v>
      </c>
      <c r="R305" s="58">
        <f t="shared" si="64"/>
        <v>630.68181818181824</v>
      </c>
      <c r="S305" s="58">
        <f t="shared" si="65"/>
        <v>495.68181818181819</v>
      </c>
      <c r="T305" s="58">
        <f t="shared" si="66"/>
        <v>318.18181818181819</v>
      </c>
      <c r="U305" s="60">
        <f t="shared" si="67"/>
        <v>1.6517857142857144</v>
      </c>
      <c r="V305" s="60">
        <f t="shared" si="68"/>
        <v>1.2982142857142858</v>
      </c>
      <c r="W305" s="60">
        <f t="shared" si="69"/>
        <v>0.83333333333333337</v>
      </c>
      <c r="X305" s="61"/>
      <c r="Y305" s="1"/>
      <c r="Z305" s="1"/>
    </row>
    <row r="306" spans="1:26" ht="15.75" customHeight="1">
      <c r="A306" s="54"/>
      <c r="B306" s="162"/>
      <c r="C306" s="33"/>
      <c r="D306" s="55" t="s">
        <v>1513</v>
      </c>
      <c r="E306" s="55" t="s">
        <v>607</v>
      </c>
      <c r="F306" s="56"/>
      <c r="G306" s="57" t="s">
        <v>1514</v>
      </c>
      <c r="H306" s="58">
        <v>15000</v>
      </c>
      <c r="I306" s="58">
        <f t="shared" si="56"/>
        <v>10500</v>
      </c>
      <c r="J306" s="58">
        <f t="shared" si="57"/>
        <v>318.18181818181819</v>
      </c>
      <c r="K306" s="58">
        <v>1500</v>
      </c>
      <c r="L306" s="59">
        <f t="shared" si="58"/>
        <v>1450</v>
      </c>
      <c r="M306" s="58">
        <f t="shared" si="59"/>
        <v>1087.5</v>
      </c>
      <c r="N306" s="58">
        <f t="shared" si="60"/>
        <v>942.5</v>
      </c>
      <c r="O306" s="58">
        <f t="shared" si="61"/>
        <v>750</v>
      </c>
      <c r="P306" s="58">
        <f t="shared" si="62"/>
        <v>1131.8181818181818</v>
      </c>
      <c r="Q306" s="60">
        <f t="shared" si="63"/>
        <v>3.5571428571428569</v>
      </c>
      <c r="R306" s="58">
        <f t="shared" si="64"/>
        <v>769.31818181818176</v>
      </c>
      <c r="S306" s="58">
        <f t="shared" si="65"/>
        <v>624.31818181818176</v>
      </c>
      <c r="T306" s="58">
        <f t="shared" si="66"/>
        <v>431.81818181818181</v>
      </c>
      <c r="U306" s="60">
        <f t="shared" si="67"/>
        <v>2.4178571428571427</v>
      </c>
      <c r="V306" s="60">
        <f t="shared" si="68"/>
        <v>1.962142857142857</v>
      </c>
      <c r="W306" s="60">
        <f t="shared" si="69"/>
        <v>1.3571428571428572</v>
      </c>
      <c r="X306" s="61" t="s">
        <v>265</v>
      </c>
      <c r="Y306" s="1"/>
      <c r="Z306" s="1"/>
    </row>
    <row r="307" spans="1:26" ht="15.75" customHeight="1">
      <c r="A307" s="54"/>
      <c r="B307" s="162"/>
      <c r="C307" s="33"/>
      <c r="D307" s="55" t="s">
        <v>1013</v>
      </c>
      <c r="E307" s="55" t="s">
        <v>607</v>
      </c>
      <c r="F307" s="56"/>
      <c r="G307" s="57" t="s">
        <v>1515</v>
      </c>
      <c r="H307" s="58">
        <v>15000</v>
      </c>
      <c r="I307" s="58">
        <f t="shared" si="56"/>
        <v>10500</v>
      </c>
      <c r="J307" s="58">
        <f t="shared" si="57"/>
        <v>318.18181818181819</v>
      </c>
      <c r="K307" s="58">
        <v>1500</v>
      </c>
      <c r="L307" s="59">
        <f t="shared" si="58"/>
        <v>1450</v>
      </c>
      <c r="M307" s="58">
        <f t="shared" si="59"/>
        <v>1087.5</v>
      </c>
      <c r="N307" s="58">
        <f t="shared" si="60"/>
        <v>942.5</v>
      </c>
      <c r="O307" s="58">
        <f t="shared" si="61"/>
        <v>750</v>
      </c>
      <c r="P307" s="58">
        <f t="shared" si="62"/>
        <v>1131.8181818181818</v>
      </c>
      <c r="Q307" s="60">
        <f t="shared" si="63"/>
        <v>3.5571428571428569</v>
      </c>
      <c r="R307" s="58">
        <f t="shared" si="64"/>
        <v>769.31818181818176</v>
      </c>
      <c r="S307" s="58">
        <f t="shared" si="65"/>
        <v>624.31818181818176</v>
      </c>
      <c r="T307" s="58">
        <f t="shared" si="66"/>
        <v>431.81818181818181</v>
      </c>
      <c r="U307" s="60">
        <f t="shared" si="67"/>
        <v>2.4178571428571427</v>
      </c>
      <c r="V307" s="60">
        <f t="shared" si="68"/>
        <v>1.962142857142857</v>
      </c>
      <c r="W307" s="60">
        <f t="shared" si="69"/>
        <v>1.3571428571428572</v>
      </c>
      <c r="X307" s="61" t="s">
        <v>266</v>
      </c>
      <c r="Y307" s="1"/>
      <c r="Z307" s="1"/>
    </row>
    <row r="308" spans="1:26" ht="15.75" customHeight="1">
      <c r="A308" s="54"/>
      <c r="B308" s="162"/>
      <c r="C308" s="33"/>
      <c r="D308" s="55" t="s">
        <v>1516</v>
      </c>
      <c r="E308" s="55"/>
      <c r="F308" s="56"/>
      <c r="G308" s="57" t="s">
        <v>1517</v>
      </c>
      <c r="H308" s="58">
        <v>25000</v>
      </c>
      <c r="I308" s="58">
        <f t="shared" si="56"/>
        <v>17500</v>
      </c>
      <c r="J308" s="58">
        <f t="shared" si="57"/>
        <v>530.30303030303025</v>
      </c>
      <c r="K308" s="58">
        <v>1300</v>
      </c>
      <c r="L308" s="59">
        <f t="shared" si="58"/>
        <v>1250</v>
      </c>
      <c r="M308" s="58">
        <f t="shared" si="59"/>
        <v>937.5</v>
      </c>
      <c r="N308" s="58">
        <f t="shared" si="60"/>
        <v>812.5</v>
      </c>
      <c r="O308" s="58">
        <f t="shared" si="61"/>
        <v>650</v>
      </c>
      <c r="P308" s="58">
        <f t="shared" si="62"/>
        <v>719.69696969696975</v>
      </c>
      <c r="Q308" s="60">
        <f t="shared" si="63"/>
        <v>1.3571428571428574</v>
      </c>
      <c r="R308" s="58">
        <f t="shared" si="64"/>
        <v>407.19696969696975</v>
      </c>
      <c r="S308" s="58">
        <f t="shared" si="65"/>
        <v>282.19696969696975</v>
      </c>
      <c r="T308" s="58">
        <f t="shared" si="66"/>
        <v>119.69696969696975</v>
      </c>
      <c r="U308" s="60">
        <f t="shared" si="67"/>
        <v>0.76785714285714302</v>
      </c>
      <c r="V308" s="60">
        <f t="shared" si="68"/>
        <v>0.53214285714285725</v>
      </c>
      <c r="W308" s="60">
        <f t="shared" si="69"/>
        <v>0.22571428571428584</v>
      </c>
      <c r="X308" s="61"/>
      <c r="Y308" s="1"/>
      <c r="Z308" s="1"/>
    </row>
    <row r="309" spans="1:26" ht="15.75" customHeight="1">
      <c r="A309" s="54"/>
      <c r="B309" s="161"/>
      <c r="C309" s="33"/>
      <c r="D309" s="55" t="s">
        <v>1518</v>
      </c>
      <c r="E309" s="55"/>
      <c r="F309" s="56"/>
      <c r="G309" s="57" t="s">
        <v>1519</v>
      </c>
      <c r="H309" s="58">
        <v>15000</v>
      </c>
      <c r="I309" s="58">
        <f t="shared" si="56"/>
        <v>10500</v>
      </c>
      <c r="J309" s="58">
        <f t="shared" si="57"/>
        <v>318.18181818181819</v>
      </c>
      <c r="K309" s="58">
        <v>1300</v>
      </c>
      <c r="L309" s="59">
        <f t="shared" si="58"/>
        <v>1250</v>
      </c>
      <c r="M309" s="58">
        <f t="shared" si="59"/>
        <v>937.5</v>
      </c>
      <c r="N309" s="58">
        <f t="shared" si="60"/>
        <v>812.5</v>
      </c>
      <c r="O309" s="58">
        <f t="shared" si="61"/>
        <v>650</v>
      </c>
      <c r="P309" s="58">
        <f t="shared" si="62"/>
        <v>931.81818181818176</v>
      </c>
      <c r="Q309" s="60">
        <f t="shared" si="63"/>
        <v>2.9285714285714284</v>
      </c>
      <c r="R309" s="58">
        <f t="shared" si="64"/>
        <v>619.31818181818176</v>
      </c>
      <c r="S309" s="58">
        <f t="shared" si="65"/>
        <v>494.31818181818181</v>
      </c>
      <c r="T309" s="58">
        <f t="shared" si="66"/>
        <v>331.81818181818181</v>
      </c>
      <c r="U309" s="60">
        <f t="shared" si="67"/>
        <v>1.9464285714285712</v>
      </c>
      <c r="V309" s="60">
        <f t="shared" si="68"/>
        <v>1.5535714285714286</v>
      </c>
      <c r="W309" s="60">
        <f t="shared" si="69"/>
        <v>1.0428571428571429</v>
      </c>
      <c r="X309" s="61"/>
      <c r="Y309" s="1"/>
      <c r="Z309" s="1"/>
    </row>
    <row r="310" spans="1:26" ht="15.75" customHeight="1">
      <c r="A310" s="54"/>
      <c r="B310" s="75" t="s">
        <v>802</v>
      </c>
      <c r="C310" s="33"/>
      <c r="D310" s="55">
        <v>2003</v>
      </c>
      <c r="E310" s="55" t="s">
        <v>607</v>
      </c>
      <c r="F310" s="56"/>
      <c r="G310" s="57" t="s">
        <v>1520</v>
      </c>
      <c r="H310" s="58">
        <v>15000</v>
      </c>
      <c r="I310" s="58">
        <f t="shared" si="56"/>
        <v>10500</v>
      </c>
      <c r="J310" s="58">
        <f t="shared" si="57"/>
        <v>318.18181818181819</v>
      </c>
      <c r="K310" s="58">
        <v>1300</v>
      </c>
      <c r="L310" s="59">
        <f t="shared" si="58"/>
        <v>1250</v>
      </c>
      <c r="M310" s="58">
        <f t="shared" si="59"/>
        <v>937.5</v>
      </c>
      <c r="N310" s="58">
        <f t="shared" si="60"/>
        <v>812.5</v>
      </c>
      <c r="O310" s="58">
        <f t="shared" si="61"/>
        <v>650</v>
      </c>
      <c r="P310" s="58">
        <f t="shared" si="62"/>
        <v>931.81818181818176</v>
      </c>
      <c r="Q310" s="60">
        <f t="shared" si="63"/>
        <v>2.9285714285714284</v>
      </c>
      <c r="R310" s="58">
        <f t="shared" si="64"/>
        <v>619.31818181818176</v>
      </c>
      <c r="S310" s="58">
        <f t="shared" si="65"/>
        <v>494.31818181818181</v>
      </c>
      <c r="T310" s="58">
        <f t="shared" si="66"/>
        <v>331.81818181818181</v>
      </c>
      <c r="U310" s="60">
        <f t="shared" si="67"/>
        <v>1.9464285714285712</v>
      </c>
      <c r="V310" s="60">
        <f t="shared" si="68"/>
        <v>1.5535714285714286</v>
      </c>
      <c r="W310" s="60">
        <f t="shared" si="69"/>
        <v>1.0428571428571429</v>
      </c>
      <c r="X310" s="61" t="s">
        <v>268</v>
      </c>
      <c r="Y310" s="1"/>
      <c r="Z310" s="1"/>
    </row>
    <row r="311" spans="1:26" ht="15.75" customHeight="1">
      <c r="A311" s="54"/>
      <c r="B311" s="160" t="s">
        <v>328</v>
      </c>
      <c r="C311" s="33"/>
      <c r="D311" s="55" t="s">
        <v>1274</v>
      </c>
      <c r="E311" s="55" t="s">
        <v>358</v>
      </c>
      <c r="F311" s="56"/>
      <c r="G311" s="57" t="s">
        <v>1521</v>
      </c>
      <c r="H311" s="58">
        <v>25000</v>
      </c>
      <c r="I311" s="58">
        <f t="shared" si="56"/>
        <v>17500</v>
      </c>
      <c r="J311" s="58">
        <f t="shared" si="57"/>
        <v>530.30303030303025</v>
      </c>
      <c r="K311" s="58">
        <v>3000</v>
      </c>
      <c r="L311" s="59">
        <f t="shared" si="58"/>
        <v>2950</v>
      </c>
      <c r="M311" s="58">
        <f t="shared" si="59"/>
        <v>2212.5</v>
      </c>
      <c r="N311" s="58">
        <f t="shared" si="60"/>
        <v>1917.5</v>
      </c>
      <c r="O311" s="58">
        <f t="shared" si="61"/>
        <v>1500</v>
      </c>
      <c r="P311" s="58">
        <f t="shared" si="62"/>
        <v>2419.69696969697</v>
      </c>
      <c r="Q311" s="60">
        <f t="shared" si="63"/>
        <v>4.5628571428571441</v>
      </c>
      <c r="R311" s="58">
        <f t="shared" si="64"/>
        <v>1682.1969696969697</v>
      </c>
      <c r="S311" s="58">
        <f t="shared" si="65"/>
        <v>1387.1969696969697</v>
      </c>
      <c r="T311" s="58">
        <f t="shared" si="66"/>
        <v>969.69696969696975</v>
      </c>
      <c r="U311" s="60">
        <f t="shared" si="67"/>
        <v>3.1721428571428576</v>
      </c>
      <c r="V311" s="60">
        <f t="shared" si="68"/>
        <v>2.6158571428571431</v>
      </c>
      <c r="W311" s="60">
        <f t="shared" si="69"/>
        <v>1.8285714285714287</v>
      </c>
      <c r="X311" s="61" t="s">
        <v>120</v>
      </c>
      <c r="Y311" s="1"/>
      <c r="Z311" s="1"/>
    </row>
    <row r="312" spans="1:26" ht="15.75" customHeight="1">
      <c r="A312" s="54"/>
      <c r="B312" s="162"/>
      <c r="C312" s="33"/>
      <c r="D312" s="55" t="s">
        <v>1274</v>
      </c>
      <c r="E312" s="55" t="s">
        <v>607</v>
      </c>
      <c r="F312" s="56"/>
      <c r="G312" s="57" t="s">
        <v>1522</v>
      </c>
      <c r="H312" s="58">
        <v>20000</v>
      </c>
      <c r="I312" s="58">
        <f t="shared" si="56"/>
        <v>14000</v>
      </c>
      <c r="J312" s="58">
        <f t="shared" si="57"/>
        <v>424.24242424242425</v>
      </c>
      <c r="K312" s="58">
        <v>1500</v>
      </c>
      <c r="L312" s="59">
        <f t="shared" si="58"/>
        <v>1450</v>
      </c>
      <c r="M312" s="58">
        <f t="shared" si="59"/>
        <v>1087.5</v>
      </c>
      <c r="N312" s="58">
        <f t="shared" si="60"/>
        <v>942.5</v>
      </c>
      <c r="O312" s="58">
        <f t="shared" si="61"/>
        <v>750</v>
      </c>
      <c r="P312" s="58">
        <f t="shared" si="62"/>
        <v>1025.7575757575758</v>
      </c>
      <c r="Q312" s="60">
        <f t="shared" si="63"/>
        <v>2.4178571428571427</v>
      </c>
      <c r="R312" s="58">
        <f t="shared" si="64"/>
        <v>663.25757575757575</v>
      </c>
      <c r="S312" s="58">
        <f t="shared" si="65"/>
        <v>518.25757575757575</v>
      </c>
      <c r="T312" s="58">
        <f t="shared" si="66"/>
        <v>325.75757575757575</v>
      </c>
      <c r="U312" s="60">
        <f t="shared" si="67"/>
        <v>1.563392857142857</v>
      </c>
      <c r="V312" s="60">
        <f t="shared" si="68"/>
        <v>1.2216071428571429</v>
      </c>
      <c r="W312" s="60">
        <f t="shared" si="69"/>
        <v>0.76785714285714279</v>
      </c>
      <c r="X312" s="61" t="s">
        <v>269</v>
      </c>
      <c r="Y312" s="1"/>
      <c r="Z312" s="1"/>
    </row>
    <row r="313" spans="1:26" ht="15.75" customHeight="1">
      <c r="A313" s="54"/>
      <c r="B313" s="162"/>
      <c r="C313" s="33"/>
      <c r="D313" s="55" t="s">
        <v>356</v>
      </c>
      <c r="E313" s="55" t="s">
        <v>607</v>
      </c>
      <c r="F313" s="56" t="s">
        <v>1523</v>
      </c>
      <c r="G313" s="57" t="s">
        <v>1524</v>
      </c>
      <c r="H313" s="58">
        <v>18000</v>
      </c>
      <c r="I313" s="58">
        <f t="shared" si="56"/>
        <v>12600</v>
      </c>
      <c r="J313" s="58">
        <f t="shared" si="57"/>
        <v>381.81818181818181</v>
      </c>
      <c r="K313" s="58">
        <v>1600</v>
      </c>
      <c r="L313" s="59">
        <f t="shared" si="58"/>
        <v>1550</v>
      </c>
      <c r="M313" s="58">
        <f t="shared" si="59"/>
        <v>1162.5</v>
      </c>
      <c r="N313" s="58">
        <f t="shared" si="60"/>
        <v>1007.5</v>
      </c>
      <c r="O313" s="58">
        <f t="shared" si="61"/>
        <v>800</v>
      </c>
      <c r="P313" s="58">
        <f t="shared" si="62"/>
        <v>1168.1818181818182</v>
      </c>
      <c r="Q313" s="60">
        <f t="shared" si="63"/>
        <v>3.0595238095238098</v>
      </c>
      <c r="R313" s="58">
        <f t="shared" si="64"/>
        <v>780.68181818181824</v>
      </c>
      <c r="S313" s="58">
        <f t="shared" si="65"/>
        <v>625.68181818181824</v>
      </c>
      <c r="T313" s="58">
        <f t="shared" si="66"/>
        <v>418.18181818181819</v>
      </c>
      <c r="U313" s="60">
        <f t="shared" si="67"/>
        <v>2.0446428571428572</v>
      </c>
      <c r="V313" s="60">
        <f t="shared" si="68"/>
        <v>1.6386904761904764</v>
      </c>
      <c r="W313" s="60">
        <f t="shared" si="69"/>
        <v>1.0952380952380953</v>
      </c>
      <c r="X313" s="61"/>
      <c r="Y313" s="1"/>
      <c r="Z313" s="1"/>
    </row>
    <row r="314" spans="1:26" ht="15.75" customHeight="1">
      <c r="A314" s="54"/>
      <c r="B314" s="161"/>
      <c r="C314" s="33"/>
      <c r="D314" s="55" t="s">
        <v>356</v>
      </c>
      <c r="E314" s="55" t="s">
        <v>607</v>
      </c>
      <c r="F314" s="56" t="s">
        <v>1525</v>
      </c>
      <c r="G314" s="57" t="s">
        <v>1526</v>
      </c>
      <c r="H314" s="58">
        <v>18000</v>
      </c>
      <c r="I314" s="58">
        <f t="shared" si="56"/>
        <v>12600</v>
      </c>
      <c r="J314" s="58">
        <f t="shared" si="57"/>
        <v>381.81818181818181</v>
      </c>
      <c r="K314" s="58">
        <v>1500</v>
      </c>
      <c r="L314" s="59">
        <f t="shared" si="58"/>
        <v>1450</v>
      </c>
      <c r="M314" s="58">
        <f t="shared" si="59"/>
        <v>1087.5</v>
      </c>
      <c r="N314" s="58">
        <f t="shared" si="60"/>
        <v>942.5</v>
      </c>
      <c r="O314" s="58">
        <f t="shared" si="61"/>
        <v>750</v>
      </c>
      <c r="P314" s="58">
        <f t="shared" si="62"/>
        <v>1068.1818181818182</v>
      </c>
      <c r="Q314" s="60">
        <f t="shared" si="63"/>
        <v>2.7976190476190479</v>
      </c>
      <c r="R314" s="58">
        <f t="shared" si="64"/>
        <v>705.68181818181824</v>
      </c>
      <c r="S314" s="58">
        <f t="shared" si="65"/>
        <v>560.68181818181824</v>
      </c>
      <c r="T314" s="58">
        <f t="shared" si="66"/>
        <v>368.18181818181819</v>
      </c>
      <c r="U314" s="60">
        <f t="shared" si="67"/>
        <v>1.8482142857142858</v>
      </c>
      <c r="V314" s="60">
        <f t="shared" si="68"/>
        <v>1.4684523809523811</v>
      </c>
      <c r="W314" s="60">
        <f t="shared" si="69"/>
        <v>0.9642857142857143</v>
      </c>
      <c r="X314" s="61"/>
      <c r="Y314" s="1"/>
      <c r="Z314" s="1"/>
    </row>
    <row r="315" spans="1:26" ht="15.75" customHeight="1">
      <c r="A315" s="54"/>
      <c r="B315" s="75" t="s">
        <v>1390</v>
      </c>
      <c r="C315" s="33"/>
      <c r="D315" s="55" t="s">
        <v>1394</v>
      </c>
      <c r="E315" s="55" t="s">
        <v>607</v>
      </c>
      <c r="F315" s="56"/>
      <c r="G315" s="57" t="s">
        <v>1527</v>
      </c>
      <c r="H315" s="58">
        <v>16000</v>
      </c>
      <c r="I315" s="58">
        <f t="shared" si="56"/>
        <v>11200</v>
      </c>
      <c r="J315" s="58">
        <f t="shared" si="57"/>
        <v>339.39393939393938</v>
      </c>
      <c r="K315" s="58">
        <v>1300</v>
      </c>
      <c r="L315" s="59">
        <f t="shared" si="58"/>
        <v>1250</v>
      </c>
      <c r="M315" s="58">
        <f t="shared" si="59"/>
        <v>937.5</v>
      </c>
      <c r="N315" s="58">
        <f t="shared" si="60"/>
        <v>812.5</v>
      </c>
      <c r="O315" s="58">
        <f t="shared" si="61"/>
        <v>650</v>
      </c>
      <c r="P315" s="58">
        <f t="shared" si="62"/>
        <v>910.60606060606062</v>
      </c>
      <c r="Q315" s="60">
        <f t="shared" si="63"/>
        <v>2.6830357142857144</v>
      </c>
      <c r="R315" s="58">
        <f t="shared" si="64"/>
        <v>598.10606060606062</v>
      </c>
      <c r="S315" s="58">
        <f t="shared" si="65"/>
        <v>473.10606060606062</v>
      </c>
      <c r="T315" s="58">
        <f t="shared" si="66"/>
        <v>310.60606060606062</v>
      </c>
      <c r="U315" s="60">
        <f t="shared" si="67"/>
        <v>1.7622767857142858</v>
      </c>
      <c r="V315" s="60">
        <f t="shared" si="68"/>
        <v>1.3939732142857144</v>
      </c>
      <c r="W315" s="60">
        <f t="shared" si="69"/>
        <v>0.91517857142857151</v>
      </c>
      <c r="X315" s="61"/>
      <c r="Y315" s="1"/>
      <c r="Z315" s="1"/>
    </row>
    <row r="316" spans="1:26" ht="15.75" customHeight="1">
      <c r="A316" s="54"/>
      <c r="B316" s="75" t="s">
        <v>1336</v>
      </c>
      <c r="C316" s="33"/>
      <c r="D316" s="55" t="s">
        <v>1528</v>
      </c>
      <c r="E316" s="55"/>
      <c r="F316" s="56"/>
      <c r="G316" s="57" t="s">
        <v>1529</v>
      </c>
      <c r="H316" s="58">
        <v>16000</v>
      </c>
      <c r="I316" s="58">
        <f t="shared" si="56"/>
        <v>11200</v>
      </c>
      <c r="J316" s="58">
        <f t="shared" si="57"/>
        <v>339.39393939393938</v>
      </c>
      <c r="K316" s="58">
        <v>1300</v>
      </c>
      <c r="L316" s="59">
        <f t="shared" si="58"/>
        <v>1250</v>
      </c>
      <c r="M316" s="58">
        <f t="shared" si="59"/>
        <v>937.5</v>
      </c>
      <c r="N316" s="58">
        <f t="shared" si="60"/>
        <v>812.5</v>
      </c>
      <c r="O316" s="58">
        <f t="shared" si="61"/>
        <v>650</v>
      </c>
      <c r="P316" s="58">
        <f t="shared" si="62"/>
        <v>910.60606060606062</v>
      </c>
      <c r="Q316" s="60">
        <f t="shared" si="63"/>
        <v>2.6830357142857144</v>
      </c>
      <c r="R316" s="58">
        <f t="shared" si="64"/>
        <v>598.10606060606062</v>
      </c>
      <c r="S316" s="58">
        <f t="shared" si="65"/>
        <v>473.10606060606062</v>
      </c>
      <c r="T316" s="58">
        <f t="shared" si="66"/>
        <v>310.60606060606062</v>
      </c>
      <c r="U316" s="60">
        <f t="shared" si="67"/>
        <v>1.7622767857142858</v>
      </c>
      <c r="V316" s="60">
        <f t="shared" si="68"/>
        <v>1.3939732142857144</v>
      </c>
      <c r="W316" s="60">
        <f t="shared" si="69"/>
        <v>0.91517857142857151</v>
      </c>
      <c r="X316" s="61"/>
      <c r="Y316" s="1"/>
      <c r="Z316" s="1"/>
    </row>
    <row r="317" spans="1:26" ht="15.75" customHeight="1">
      <c r="A317" s="54"/>
      <c r="B317" s="160" t="s">
        <v>655</v>
      </c>
      <c r="C317" s="33"/>
      <c r="D317" s="55" t="s">
        <v>1530</v>
      </c>
      <c r="E317" s="55" t="s">
        <v>607</v>
      </c>
      <c r="F317" s="56"/>
      <c r="G317" s="57" t="s">
        <v>1531</v>
      </c>
      <c r="H317" s="58">
        <v>15000</v>
      </c>
      <c r="I317" s="58">
        <f t="shared" si="56"/>
        <v>10500</v>
      </c>
      <c r="J317" s="58">
        <f t="shared" si="57"/>
        <v>318.18181818181819</v>
      </c>
      <c r="K317" s="58">
        <v>1300</v>
      </c>
      <c r="L317" s="59">
        <f t="shared" si="58"/>
        <v>1250</v>
      </c>
      <c r="M317" s="58">
        <f t="shared" si="59"/>
        <v>937.5</v>
      </c>
      <c r="N317" s="58">
        <f t="shared" si="60"/>
        <v>812.5</v>
      </c>
      <c r="O317" s="58">
        <f t="shared" si="61"/>
        <v>650</v>
      </c>
      <c r="P317" s="58">
        <f t="shared" si="62"/>
        <v>931.81818181818176</v>
      </c>
      <c r="Q317" s="60">
        <f t="shared" si="63"/>
        <v>2.9285714285714284</v>
      </c>
      <c r="R317" s="58">
        <f t="shared" si="64"/>
        <v>619.31818181818176</v>
      </c>
      <c r="S317" s="58">
        <f t="shared" si="65"/>
        <v>494.31818181818181</v>
      </c>
      <c r="T317" s="58">
        <f t="shared" si="66"/>
        <v>331.81818181818181</v>
      </c>
      <c r="U317" s="60">
        <f t="shared" si="67"/>
        <v>1.9464285714285712</v>
      </c>
      <c r="V317" s="60">
        <f t="shared" si="68"/>
        <v>1.5535714285714286</v>
      </c>
      <c r="W317" s="60">
        <f t="shared" si="69"/>
        <v>1.0428571428571429</v>
      </c>
      <c r="X317" s="61" t="s">
        <v>270</v>
      </c>
      <c r="Y317" s="1"/>
      <c r="Z317" s="1"/>
    </row>
    <row r="318" spans="1:26" ht="15.75" customHeight="1">
      <c r="A318" s="54"/>
      <c r="B318" s="162"/>
      <c r="C318" s="33"/>
      <c r="D318" s="55" t="s">
        <v>1532</v>
      </c>
      <c r="E318" s="55" t="s">
        <v>607</v>
      </c>
      <c r="F318" s="56"/>
      <c r="G318" s="57" t="s">
        <v>1533</v>
      </c>
      <c r="H318" s="58">
        <v>15000</v>
      </c>
      <c r="I318" s="58">
        <f t="shared" si="56"/>
        <v>10500</v>
      </c>
      <c r="J318" s="58">
        <f t="shared" si="57"/>
        <v>318.18181818181819</v>
      </c>
      <c r="K318" s="58">
        <v>1300</v>
      </c>
      <c r="L318" s="59">
        <f t="shared" si="58"/>
        <v>1250</v>
      </c>
      <c r="M318" s="58">
        <f t="shared" si="59"/>
        <v>937.5</v>
      </c>
      <c r="N318" s="58">
        <f t="shared" si="60"/>
        <v>812.5</v>
      </c>
      <c r="O318" s="58">
        <f t="shared" si="61"/>
        <v>650</v>
      </c>
      <c r="P318" s="58">
        <f t="shared" si="62"/>
        <v>931.81818181818176</v>
      </c>
      <c r="Q318" s="60">
        <f t="shared" si="63"/>
        <v>2.9285714285714284</v>
      </c>
      <c r="R318" s="58">
        <f t="shared" si="64"/>
        <v>619.31818181818176</v>
      </c>
      <c r="S318" s="58">
        <f t="shared" si="65"/>
        <v>494.31818181818181</v>
      </c>
      <c r="T318" s="58">
        <f t="shared" si="66"/>
        <v>331.81818181818181</v>
      </c>
      <c r="U318" s="60">
        <f t="shared" si="67"/>
        <v>1.9464285714285712</v>
      </c>
      <c r="V318" s="60">
        <f t="shared" si="68"/>
        <v>1.5535714285714286</v>
      </c>
      <c r="W318" s="60">
        <f t="shared" si="69"/>
        <v>1.0428571428571429</v>
      </c>
      <c r="X318" s="61" t="s">
        <v>270</v>
      </c>
      <c r="Y318" s="1"/>
      <c r="Z318" s="1"/>
    </row>
    <row r="319" spans="1:26" ht="15.75" customHeight="1">
      <c r="A319" s="54"/>
      <c r="B319" s="162"/>
      <c r="C319" s="33"/>
      <c r="D319" s="55" t="s">
        <v>1534</v>
      </c>
      <c r="E319" s="55" t="s">
        <v>607</v>
      </c>
      <c r="F319" s="56"/>
      <c r="G319" s="57" t="s">
        <v>1535</v>
      </c>
      <c r="H319" s="58">
        <v>15000</v>
      </c>
      <c r="I319" s="58">
        <f t="shared" si="56"/>
        <v>10500</v>
      </c>
      <c r="J319" s="58">
        <f t="shared" si="57"/>
        <v>318.18181818181819</v>
      </c>
      <c r="K319" s="58">
        <v>1300</v>
      </c>
      <c r="L319" s="59">
        <f t="shared" si="58"/>
        <v>1250</v>
      </c>
      <c r="M319" s="58">
        <f t="shared" si="59"/>
        <v>937.5</v>
      </c>
      <c r="N319" s="58">
        <f t="shared" si="60"/>
        <v>812.5</v>
      </c>
      <c r="O319" s="58">
        <f t="shared" si="61"/>
        <v>650</v>
      </c>
      <c r="P319" s="58">
        <f t="shared" si="62"/>
        <v>931.81818181818176</v>
      </c>
      <c r="Q319" s="60">
        <f t="shared" si="63"/>
        <v>2.9285714285714284</v>
      </c>
      <c r="R319" s="58">
        <f t="shared" si="64"/>
        <v>619.31818181818176</v>
      </c>
      <c r="S319" s="58">
        <f t="shared" si="65"/>
        <v>494.31818181818181</v>
      </c>
      <c r="T319" s="58">
        <f t="shared" si="66"/>
        <v>331.81818181818181</v>
      </c>
      <c r="U319" s="60">
        <f t="shared" si="67"/>
        <v>1.9464285714285712</v>
      </c>
      <c r="V319" s="60">
        <f t="shared" si="68"/>
        <v>1.5535714285714286</v>
      </c>
      <c r="W319" s="60">
        <f t="shared" si="69"/>
        <v>1.0428571428571429</v>
      </c>
      <c r="X319" s="61"/>
      <c r="Y319" s="1"/>
      <c r="Z319" s="1"/>
    </row>
    <row r="320" spans="1:26" ht="15.75" customHeight="1">
      <c r="A320" s="54"/>
      <c r="B320" s="162"/>
      <c r="C320" s="33"/>
      <c r="D320" s="55" t="s">
        <v>1096</v>
      </c>
      <c r="E320" s="55" t="s">
        <v>607</v>
      </c>
      <c r="F320" s="56"/>
      <c r="G320" s="57" t="s">
        <v>1536</v>
      </c>
      <c r="H320" s="58">
        <v>18000</v>
      </c>
      <c r="I320" s="58">
        <f t="shared" si="56"/>
        <v>12600</v>
      </c>
      <c r="J320" s="58">
        <f t="shared" si="57"/>
        <v>381.81818181818181</v>
      </c>
      <c r="K320" s="58">
        <v>1500</v>
      </c>
      <c r="L320" s="59">
        <f t="shared" si="58"/>
        <v>1450</v>
      </c>
      <c r="M320" s="58">
        <f t="shared" si="59"/>
        <v>1087.5</v>
      </c>
      <c r="N320" s="58">
        <f t="shared" si="60"/>
        <v>942.5</v>
      </c>
      <c r="O320" s="58">
        <f t="shared" si="61"/>
        <v>750</v>
      </c>
      <c r="P320" s="58">
        <f t="shared" si="62"/>
        <v>1068.1818181818182</v>
      </c>
      <c r="Q320" s="60">
        <f t="shared" si="63"/>
        <v>2.7976190476190479</v>
      </c>
      <c r="R320" s="58">
        <f t="shared" si="64"/>
        <v>705.68181818181824</v>
      </c>
      <c r="S320" s="58">
        <f t="shared" si="65"/>
        <v>560.68181818181824</v>
      </c>
      <c r="T320" s="58">
        <f t="shared" si="66"/>
        <v>368.18181818181819</v>
      </c>
      <c r="U320" s="60">
        <f t="shared" si="67"/>
        <v>1.8482142857142858</v>
      </c>
      <c r="V320" s="60">
        <f t="shared" si="68"/>
        <v>1.4684523809523811</v>
      </c>
      <c r="W320" s="60">
        <f t="shared" si="69"/>
        <v>0.9642857142857143</v>
      </c>
      <c r="X320" s="61"/>
      <c r="Y320" s="1"/>
      <c r="Z320" s="1"/>
    </row>
    <row r="321" spans="1:26" ht="15.75" customHeight="1">
      <c r="A321" s="54"/>
      <c r="B321" s="162"/>
      <c r="C321" s="33"/>
      <c r="D321" s="55" t="s">
        <v>656</v>
      </c>
      <c r="E321" s="55" t="s">
        <v>68</v>
      </c>
      <c r="F321" s="56"/>
      <c r="G321" s="57" t="s">
        <v>1537</v>
      </c>
      <c r="H321" s="58">
        <v>15000</v>
      </c>
      <c r="I321" s="58">
        <f t="shared" si="56"/>
        <v>10500</v>
      </c>
      <c r="J321" s="58">
        <f t="shared" si="57"/>
        <v>318.18181818181819</v>
      </c>
      <c r="K321" s="58">
        <v>1300</v>
      </c>
      <c r="L321" s="59">
        <f t="shared" si="58"/>
        <v>1250</v>
      </c>
      <c r="M321" s="58">
        <f t="shared" si="59"/>
        <v>937.5</v>
      </c>
      <c r="N321" s="58">
        <f t="shared" si="60"/>
        <v>812.5</v>
      </c>
      <c r="O321" s="58">
        <f t="shared" si="61"/>
        <v>650</v>
      </c>
      <c r="P321" s="58">
        <f t="shared" si="62"/>
        <v>931.81818181818176</v>
      </c>
      <c r="Q321" s="60">
        <f t="shared" si="63"/>
        <v>2.9285714285714284</v>
      </c>
      <c r="R321" s="58">
        <f t="shared" si="64"/>
        <v>619.31818181818176</v>
      </c>
      <c r="S321" s="58">
        <f t="shared" si="65"/>
        <v>494.31818181818181</v>
      </c>
      <c r="T321" s="58">
        <f t="shared" si="66"/>
        <v>331.81818181818181</v>
      </c>
      <c r="U321" s="60">
        <f t="shared" si="67"/>
        <v>1.9464285714285712</v>
      </c>
      <c r="V321" s="60">
        <f t="shared" si="68"/>
        <v>1.5535714285714286</v>
      </c>
      <c r="W321" s="60">
        <f t="shared" si="69"/>
        <v>1.0428571428571429</v>
      </c>
      <c r="X321" s="61" t="s">
        <v>264</v>
      </c>
      <c r="Y321" s="1"/>
      <c r="Z321" s="1"/>
    </row>
    <row r="322" spans="1:26" ht="15.75" customHeight="1">
      <c r="A322" s="54"/>
      <c r="B322" s="162"/>
      <c r="C322" s="33"/>
      <c r="D322" s="55" t="s">
        <v>1538</v>
      </c>
      <c r="E322" s="55" t="s">
        <v>607</v>
      </c>
      <c r="F322" s="56"/>
      <c r="G322" s="57" t="s">
        <v>1539</v>
      </c>
      <c r="H322" s="58">
        <v>18000</v>
      </c>
      <c r="I322" s="58">
        <f t="shared" si="56"/>
        <v>12600</v>
      </c>
      <c r="J322" s="58">
        <f t="shared" si="57"/>
        <v>381.81818181818181</v>
      </c>
      <c r="K322" s="58">
        <v>1500</v>
      </c>
      <c r="L322" s="59">
        <f t="shared" si="58"/>
        <v>1450</v>
      </c>
      <c r="M322" s="58">
        <f t="shared" si="59"/>
        <v>1087.5</v>
      </c>
      <c r="N322" s="58">
        <f t="shared" si="60"/>
        <v>942.5</v>
      </c>
      <c r="O322" s="58">
        <f t="shared" si="61"/>
        <v>750</v>
      </c>
      <c r="P322" s="58">
        <f t="shared" si="62"/>
        <v>1068.1818181818182</v>
      </c>
      <c r="Q322" s="60">
        <f t="shared" si="63"/>
        <v>2.7976190476190479</v>
      </c>
      <c r="R322" s="58">
        <f t="shared" si="64"/>
        <v>705.68181818181824</v>
      </c>
      <c r="S322" s="58">
        <f t="shared" si="65"/>
        <v>560.68181818181824</v>
      </c>
      <c r="T322" s="58">
        <f t="shared" si="66"/>
        <v>368.18181818181819</v>
      </c>
      <c r="U322" s="60">
        <f t="shared" si="67"/>
        <v>1.8482142857142858</v>
      </c>
      <c r="V322" s="60">
        <f t="shared" si="68"/>
        <v>1.4684523809523811</v>
      </c>
      <c r="W322" s="60">
        <f t="shared" si="69"/>
        <v>0.9642857142857143</v>
      </c>
      <c r="X322" s="61" t="s">
        <v>41</v>
      </c>
      <c r="Y322" s="1"/>
      <c r="Z322" s="1"/>
    </row>
    <row r="323" spans="1:26" ht="15.75" customHeight="1">
      <c r="A323" s="54"/>
      <c r="B323" s="162"/>
      <c r="C323" s="33"/>
      <c r="D323" s="55" t="s">
        <v>765</v>
      </c>
      <c r="E323" s="55" t="s">
        <v>607</v>
      </c>
      <c r="F323" s="56"/>
      <c r="G323" s="57" t="s">
        <v>1540</v>
      </c>
      <c r="H323" s="58">
        <v>15000</v>
      </c>
      <c r="I323" s="58">
        <f t="shared" si="56"/>
        <v>10500</v>
      </c>
      <c r="J323" s="58">
        <f t="shared" si="57"/>
        <v>318.18181818181819</v>
      </c>
      <c r="K323" s="58">
        <v>1300</v>
      </c>
      <c r="L323" s="59">
        <f t="shared" si="58"/>
        <v>1250</v>
      </c>
      <c r="M323" s="58">
        <f t="shared" si="59"/>
        <v>937.5</v>
      </c>
      <c r="N323" s="58">
        <f t="shared" si="60"/>
        <v>812.5</v>
      </c>
      <c r="O323" s="58">
        <f t="shared" si="61"/>
        <v>650</v>
      </c>
      <c r="P323" s="58">
        <f t="shared" si="62"/>
        <v>931.81818181818176</v>
      </c>
      <c r="Q323" s="60">
        <f t="shared" si="63"/>
        <v>2.9285714285714284</v>
      </c>
      <c r="R323" s="58">
        <f t="shared" si="64"/>
        <v>619.31818181818176</v>
      </c>
      <c r="S323" s="58">
        <f t="shared" si="65"/>
        <v>494.31818181818181</v>
      </c>
      <c r="T323" s="58">
        <f t="shared" si="66"/>
        <v>331.81818181818181</v>
      </c>
      <c r="U323" s="60">
        <f t="shared" si="67"/>
        <v>1.9464285714285712</v>
      </c>
      <c r="V323" s="60">
        <f t="shared" si="68"/>
        <v>1.5535714285714286</v>
      </c>
      <c r="W323" s="60">
        <f t="shared" si="69"/>
        <v>1.0428571428571429</v>
      </c>
      <c r="X323" s="61"/>
      <c r="Y323" s="1"/>
      <c r="Z323" s="1"/>
    </row>
    <row r="324" spans="1:26" ht="15.75" customHeight="1">
      <c r="A324" s="54"/>
      <c r="B324" s="162"/>
      <c r="C324" s="33"/>
      <c r="D324" s="55" t="s">
        <v>1541</v>
      </c>
      <c r="E324" s="55" t="s">
        <v>607</v>
      </c>
      <c r="F324" s="56"/>
      <c r="G324" s="57" t="s">
        <v>1542</v>
      </c>
      <c r="H324" s="58">
        <v>15000</v>
      </c>
      <c r="I324" s="58">
        <f t="shared" ref="I324:I387" si="70">H324*0.7</f>
        <v>10500</v>
      </c>
      <c r="J324" s="58">
        <f t="shared" ref="J324:J387" si="71">I324/33</f>
        <v>318.18181818181819</v>
      </c>
      <c r="K324" s="58">
        <v>1300</v>
      </c>
      <c r="L324" s="59">
        <f t="shared" ref="L324:L387" si="72">K324-50</f>
        <v>1250</v>
      </c>
      <c r="M324" s="58">
        <f t="shared" ref="M324:M387" si="73">L324*0.75</f>
        <v>937.5</v>
      </c>
      <c r="N324" s="58">
        <f t="shared" ref="N324:N387" si="74">L324*0.65</f>
        <v>812.5</v>
      </c>
      <c r="O324" s="58">
        <f t="shared" ref="O324:O387" si="75">K324*0.5</f>
        <v>650</v>
      </c>
      <c r="P324" s="58">
        <f t="shared" ref="P324:P387" si="76">L324-J324</f>
        <v>931.81818181818176</v>
      </c>
      <c r="Q324" s="60">
        <f t="shared" ref="Q324:Q387" si="77">((L324-J324)/J324)</f>
        <v>2.9285714285714284</v>
      </c>
      <c r="R324" s="58">
        <f t="shared" ref="R324:R387" si="78">M324-J324</f>
        <v>619.31818181818176</v>
      </c>
      <c r="S324" s="58">
        <f t="shared" ref="S324:S387" si="79">N324-J324</f>
        <v>494.31818181818181</v>
      </c>
      <c r="T324" s="58">
        <f t="shared" ref="T324:T387" si="80">O324-J324</f>
        <v>331.81818181818181</v>
      </c>
      <c r="U324" s="60">
        <f t="shared" ref="U324:U387" si="81">(M324-J324)/J324</f>
        <v>1.9464285714285712</v>
      </c>
      <c r="V324" s="60">
        <f t="shared" ref="V324:V387" si="82">(N324-J324)/J324</f>
        <v>1.5535714285714286</v>
      </c>
      <c r="W324" s="60">
        <f t="shared" ref="W324:W387" si="83">(O324-J324)/J324</f>
        <v>1.0428571428571429</v>
      </c>
      <c r="X324" s="61" t="s">
        <v>272</v>
      </c>
      <c r="Y324" s="1"/>
      <c r="Z324" s="1"/>
    </row>
    <row r="325" spans="1:26" ht="15.75" customHeight="1">
      <c r="A325" s="54"/>
      <c r="B325" s="161"/>
      <c r="C325" s="33"/>
      <c r="D325" s="55" t="s">
        <v>723</v>
      </c>
      <c r="E325" s="55" t="s">
        <v>607</v>
      </c>
      <c r="F325" s="56"/>
      <c r="G325" s="57" t="s">
        <v>1543</v>
      </c>
      <c r="H325" s="58">
        <v>15000</v>
      </c>
      <c r="I325" s="58">
        <f t="shared" si="70"/>
        <v>10500</v>
      </c>
      <c r="J325" s="58">
        <f t="shared" si="71"/>
        <v>318.18181818181819</v>
      </c>
      <c r="K325" s="58">
        <v>1300</v>
      </c>
      <c r="L325" s="59">
        <f t="shared" si="72"/>
        <v>1250</v>
      </c>
      <c r="M325" s="58">
        <f t="shared" si="73"/>
        <v>937.5</v>
      </c>
      <c r="N325" s="58">
        <f t="shared" si="74"/>
        <v>812.5</v>
      </c>
      <c r="O325" s="58">
        <f t="shared" si="75"/>
        <v>650</v>
      </c>
      <c r="P325" s="58">
        <f t="shared" si="76"/>
        <v>931.81818181818176</v>
      </c>
      <c r="Q325" s="60">
        <f t="shared" si="77"/>
        <v>2.9285714285714284</v>
      </c>
      <c r="R325" s="58">
        <f t="shared" si="78"/>
        <v>619.31818181818176</v>
      </c>
      <c r="S325" s="58">
        <f t="shared" si="79"/>
        <v>494.31818181818181</v>
      </c>
      <c r="T325" s="58">
        <f t="shared" si="80"/>
        <v>331.81818181818181</v>
      </c>
      <c r="U325" s="60">
        <f t="shared" si="81"/>
        <v>1.9464285714285712</v>
      </c>
      <c r="V325" s="60">
        <f t="shared" si="82"/>
        <v>1.5535714285714286</v>
      </c>
      <c r="W325" s="60">
        <f t="shared" si="83"/>
        <v>1.0428571428571429</v>
      </c>
      <c r="X325" s="61"/>
      <c r="Y325" s="1"/>
      <c r="Z325" s="1"/>
    </row>
    <row r="326" spans="1:26" ht="15.75" customHeight="1">
      <c r="A326" s="51" t="s">
        <v>1544</v>
      </c>
      <c r="B326" s="160" t="s">
        <v>655</v>
      </c>
      <c r="C326" s="43"/>
      <c r="D326" s="55" t="s">
        <v>661</v>
      </c>
      <c r="E326" s="55"/>
      <c r="F326" s="56"/>
      <c r="G326" s="57" t="s">
        <v>1545</v>
      </c>
      <c r="H326" s="58">
        <v>28000</v>
      </c>
      <c r="I326" s="58">
        <f t="shared" si="70"/>
        <v>19600</v>
      </c>
      <c r="J326" s="58">
        <f t="shared" si="71"/>
        <v>593.93939393939399</v>
      </c>
      <c r="K326" s="58">
        <v>4500</v>
      </c>
      <c r="L326" s="59">
        <f t="shared" si="72"/>
        <v>4450</v>
      </c>
      <c r="M326" s="58">
        <f t="shared" si="73"/>
        <v>3337.5</v>
      </c>
      <c r="N326" s="58">
        <f t="shared" si="74"/>
        <v>2892.5</v>
      </c>
      <c r="O326" s="58">
        <f t="shared" si="75"/>
        <v>2250</v>
      </c>
      <c r="P326" s="58">
        <f t="shared" si="76"/>
        <v>3856.060606060606</v>
      </c>
      <c r="Q326" s="60">
        <f t="shared" si="77"/>
        <v>6.4923469387755093</v>
      </c>
      <c r="R326" s="58">
        <f t="shared" si="78"/>
        <v>2743.560606060606</v>
      </c>
      <c r="S326" s="58">
        <f t="shared" si="79"/>
        <v>2298.560606060606</v>
      </c>
      <c r="T326" s="58">
        <f t="shared" si="80"/>
        <v>1656.060606060606</v>
      </c>
      <c r="U326" s="60">
        <f t="shared" si="81"/>
        <v>4.6192602040816322</v>
      </c>
      <c r="V326" s="60">
        <f t="shared" si="82"/>
        <v>3.8700255102040813</v>
      </c>
      <c r="W326" s="60">
        <f t="shared" si="83"/>
        <v>2.7882653061224487</v>
      </c>
      <c r="X326" s="61"/>
      <c r="Y326" s="1"/>
      <c r="Z326" s="1"/>
    </row>
    <row r="327" spans="1:26" ht="15.75" customHeight="1">
      <c r="A327" s="54"/>
      <c r="B327" s="162"/>
      <c r="C327" s="33"/>
      <c r="D327" s="55" t="s">
        <v>684</v>
      </c>
      <c r="E327" s="55"/>
      <c r="F327" s="56"/>
      <c r="G327" s="57" t="s">
        <v>1546</v>
      </c>
      <c r="H327" s="58">
        <v>18000</v>
      </c>
      <c r="I327" s="58">
        <f t="shared" si="70"/>
        <v>12600</v>
      </c>
      <c r="J327" s="58">
        <f t="shared" si="71"/>
        <v>381.81818181818181</v>
      </c>
      <c r="K327" s="58">
        <v>4800</v>
      </c>
      <c r="L327" s="59">
        <f t="shared" si="72"/>
        <v>4750</v>
      </c>
      <c r="M327" s="58">
        <f t="shared" si="73"/>
        <v>3562.5</v>
      </c>
      <c r="N327" s="58">
        <f t="shared" si="74"/>
        <v>3087.5</v>
      </c>
      <c r="O327" s="58">
        <f t="shared" si="75"/>
        <v>2400</v>
      </c>
      <c r="P327" s="58">
        <f t="shared" si="76"/>
        <v>4368.181818181818</v>
      </c>
      <c r="Q327" s="60">
        <f t="shared" si="77"/>
        <v>11.44047619047619</v>
      </c>
      <c r="R327" s="58">
        <f t="shared" si="78"/>
        <v>3180.681818181818</v>
      </c>
      <c r="S327" s="58">
        <f t="shared" si="79"/>
        <v>2705.681818181818</v>
      </c>
      <c r="T327" s="58">
        <f t="shared" si="80"/>
        <v>2018.1818181818182</v>
      </c>
      <c r="U327" s="60">
        <f t="shared" si="81"/>
        <v>8.3303571428571423</v>
      </c>
      <c r="V327" s="60">
        <f t="shared" si="82"/>
        <v>7.0863095238095237</v>
      </c>
      <c r="W327" s="60">
        <f t="shared" si="83"/>
        <v>5.2857142857142856</v>
      </c>
      <c r="X327" s="61" t="s">
        <v>275</v>
      </c>
      <c r="Y327" s="1"/>
      <c r="Z327" s="1"/>
    </row>
    <row r="328" spans="1:26" ht="15.75" customHeight="1">
      <c r="A328" s="54"/>
      <c r="B328" s="162"/>
      <c r="C328" s="33"/>
      <c r="D328" s="55" t="s">
        <v>1093</v>
      </c>
      <c r="E328" s="55"/>
      <c r="F328" s="56"/>
      <c r="G328" s="57" t="s">
        <v>1547</v>
      </c>
      <c r="H328" s="58">
        <v>20000</v>
      </c>
      <c r="I328" s="58">
        <f t="shared" si="70"/>
        <v>14000</v>
      </c>
      <c r="J328" s="58">
        <f t="shared" si="71"/>
        <v>424.24242424242425</v>
      </c>
      <c r="K328" s="58">
        <v>2800</v>
      </c>
      <c r="L328" s="59">
        <f t="shared" si="72"/>
        <v>2750</v>
      </c>
      <c r="M328" s="58">
        <f t="shared" si="73"/>
        <v>2062.5</v>
      </c>
      <c r="N328" s="58">
        <f t="shared" si="74"/>
        <v>1787.5</v>
      </c>
      <c r="O328" s="58">
        <f t="shared" si="75"/>
        <v>1400</v>
      </c>
      <c r="P328" s="58">
        <f t="shared" si="76"/>
        <v>2325.757575757576</v>
      </c>
      <c r="Q328" s="60">
        <f t="shared" si="77"/>
        <v>5.4821428571428577</v>
      </c>
      <c r="R328" s="58">
        <f t="shared" si="78"/>
        <v>1638.2575757575758</v>
      </c>
      <c r="S328" s="58">
        <f t="shared" si="79"/>
        <v>1363.2575757575758</v>
      </c>
      <c r="T328" s="58">
        <f t="shared" si="80"/>
        <v>975.75757575757575</v>
      </c>
      <c r="U328" s="60">
        <f t="shared" si="81"/>
        <v>3.8616071428571428</v>
      </c>
      <c r="V328" s="60">
        <f t="shared" si="82"/>
        <v>3.2133928571428569</v>
      </c>
      <c r="W328" s="60">
        <f t="shared" si="83"/>
        <v>2.2999999999999998</v>
      </c>
      <c r="X328" s="61" t="s">
        <v>276</v>
      </c>
      <c r="Y328" s="1"/>
      <c r="Z328" s="1"/>
    </row>
    <row r="329" spans="1:26" ht="15.75" customHeight="1">
      <c r="A329" s="54"/>
      <c r="B329" s="161"/>
      <c r="C329" s="33"/>
      <c r="D329" s="55" t="s">
        <v>723</v>
      </c>
      <c r="E329" s="55"/>
      <c r="F329" s="56"/>
      <c r="G329" s="57" t="s">
        <v>1548</v>
      </c>
      <c r="H329" s="58">
        <v>18000</v>
      </c>
      <c r="I329" s="58">
        <f t="shared" si="70"/>
        <v>12600</v>
      </c>
      <c r="J329" s="58">
        <f t="shared" si="71"/>
        <v>381.81818181818181</v>
      </c>
      <c r="K329" s="58">
        <v>2800</v>
      </c>
      <c r="L329" s="59">
        <f t="shared" si="72"/>
        <v>2750</v>
      </c>
      <c r="M329" s="58">
        <f t="shared" si="73"/>
        <v>2062.5</v>
      </c>
      <c r="N329" s="58">
        <f t="shared" si="74"/>
        <v>1787.5</v>
      </c>
      <c r="O329" s="58">
        <f t="shared" si="75"/>
        <v>1400</v>
      </c>
      <c r="P329" s="58">
        <f t="shared" si="76"/>
        <v>2368.181818181818</v>
      </c>
      <c r="Q329" s="60">
        <f t="shared" si="77"/>
        <v>6.2023809523809517</v>
      </c>
      <c r="R329" s="58">
        <f t="shared" si="78"/>
        <v>1680.6818181818182</v>
      </c>
      <c r="S329" s="58">
        <f t="shared" si="79"/>
        <v>1405.6818181818182</v>
      </c>
      <c r="T329" s="58">
        <f t="shared" si="80"/>
        <v>1018.1818181818182</v>
      </c>
      <c r="U329" s="60">
        <f t="shared" si="81"/>
        <v>4.4017857142857144</v>
      </c>
      <c r="V329" s="60">
        <f t="shared" si="82"/>
        <v>3.6815476190476191</v>
      </c>
      <c r="W329" s="60">
        <f t="shared" si="83"/>
        <v>2.666666666666667</v>
      </c>
      <c r="X329" s="61" t="s">
        <v>277</v>
      </c>
      <c r="Y329" s="1"/>
      <c r="Z329" s="1"/>
    </row>
    <row r="330" spans="1:26" ht="15.75" customHeight="1">
      <c r="A330" s="54"/>
      <c r="B330" s="75" t="s">
        <v>1549</v>
      </c>
      <c r="C330" s="33"/>
      <c r="D330" s="55" t="s">
        <v>1550</v>
      </c>
      <c r="E330" s="55"/>
      <c r="F330" s="56"/>
      <c r="G330" s="57" t="s">
        <v>1551</v>
      </c>
      <c r="H330" s="58">
        <v>20000</v>
      </c>
      <c r="I330" s="58">
        <f t="shared" si="70"/>
        <v>14000</v>
      </c>
      <c r="J330" s="58">
        <f t="shared" si="71"/>
        <v>424.24242424242425</v>
      </c>
      <c r="K330" s="58">
        <v>2800</v>
      </c>
      <c r="L330" s="59">
        <f t="shared" si="72"/>
        <v>2750</v>
      </c>
      <c r="M330" s="58">
        <f t="shared" si="73"/>
        <v>2062.5</v>
      </c>
      <c r="N330" s="58">
        <f t="shared" si="74"/>
        <v>1787.5</v>
      </c>
      <c r="O330" s="58">
        <f t="shared" si="75"/>
        <v>1400</v>
      </c>
      <c r="P330" s="58">
        <f t="shared" si="76"/>
        <v>2325.757575757576</v>
      </c>
      <c r="Q330" s="60">
        <f t="shared" si="77"/>
        <v>5.4821428571428577</v>
      </c>
      <c r="R330" s="58">
        <f t="shared" si="78"/>
        <v>1638.2575757575758</v>
      </c>
      <c r="S330" s="58">
        <f t="shared" si="79"/>
        <v>1363.2575757575758</v>
      </c>
      <c r="T330" s="58">
        <f t="shared" si="80"/>
        <v>975.75757575757575</v>
      </c>
      <c r="U330" s="60">
        <f t="shared" si="81"/>
        <v>3.8616071428571428</v>
      </c>
      <c r="V330" s="60">
        <f t="shared" si="82"/>
        <v>3.2133928571428569</v>
      </c>
      <c r="W330" s="60">
        <f t="shared" si="83"/>
        <v>2.2999999999999998</v>
      </c>
      <c r="X330" s="61"/>
      <c r="Y330" s="1"/>
      <c r="Z330" s="1"/>
    </row>
    <row r="331" spans="1:26" ht="15.75" customHeight="1">
      <c r="A331" s="54"/>
      <c r="B331" s="160" t="s">
        <v>66</v>
      </c>
      <c r="C331" s="33"/>
      <c r="D331" s="55" t="s">
        <v>148</v>
      </c>
      <c r="E331" s="55"/>
      <c r="F331" s="56"/>
      <c r="G331" s="57" t="s">
        <v>1552</v>
      </c>
      <c r="H331" s="58">
        <v>20000</v>
      </c>
      <c r="I331" s="58">
        <f t="shared" si="70"/>
        <v>14000</v>
      </c>
      <c r="J331" s="58">
        <f t="shared" si="71"/>
        <v>424.24242424242425</v>
      </c>
      <c r="K331" s="58">
        <v>2800</v>
      </c>
      <c r="L331" s="59">
        <f t="shared" si="72"/>
        <v>2750</v>
      </c>
      <c r="M331" s="58">
        <f t="shared" si="73"/>
        <v>2062.5</v>
      </c>
      <c r="N331" s="58">
        <f t="shared" si="74"/>
        <v>1787.5</v>
      </c>
      <c r="O331" s="58">
        <f t="shared" si="75"/>
        <v>1400</v>
      </c>
      <c r="P331" s="58">
        <f t="shared" si="76"/>
        <v>2325.757575757576</v>
      </c>
      <c r="Q331" s="60">
        <f t="shared" si="77"/>
        <v>5.4821428571428577</v>
      </c>
      <c r="R331" s="58">
        <f t="shared" si="78"/>
        <v>1638.2575757575758</v>
      </c>
      <c r="S331" s="58">
        <f t="shared" si="79"/>
        <v>1363.2575757575758</v>
      </c>
      <c r="T331" s="58">
        <f t="shared" si="80"/>
        <v>975.75757575757575</v>
      </c>
      <c r="U331" s="60">
        <f t="shared" si="81"/>
        <v>3.8616071428571428</v>
      </c>
      <c r="V331" s="60">
        <f t="shared" si="82"/>
        <v>3.2133928571428569</v>
      </c>
      <c r="W331" s="60">
        <f t="shared" si="83"/>
        <v>2.2999999999999998</v>
      </c>
      <c r="X331" s="61" t="s">
        <v>279</v>
      </c>
      <c r="Y331" s="1"/>
      <c r="Z331" s="1"/>
    </row>
    <row r="332" spans="1:26" ht="15.75" customHeight="1">
      <c r="A332" s="54"/>
      <c r="B332" s="162"/>
      <c r="C332" s="33"/>
      <c r="D332" s="55" t="s">
        <v>1494</v>
      </c>
      <c r="E332" s="55" t="s">
        <v>1553</v>
      </c>
      <c r="F332" s="56"/>
      <c r="G332" s="57" t="s">
        <v>1554</v>
      </c>
      <c r="H332" s="58">
        <v>8000</v>
      </c>
      <c r="I332" s="58">
        <f t="shared" si="70"/>
        <v>5600</v>
      </c>
      <c r="J332" s="58">
        <f t="shared" si="71"/>
        <v>169.69696969696969</v>
      </c>
      <c r="K332" s="58">
        <v>2800</v>
      </c>
      <c r="L332" s="59">
        <f t="shared" si="72"/>
        <v>2750</v>
      </c>
      <c r="M332" s="58">
        <f t="shared" si="73"/>
        <v>2062.5</v>
      </c>
      <c r="N332" s="58">
        <f t="shared" si="74"/>
        <v>1787.5</v>
      </c>
      <c r="O332" s="58">
        <f t="shared" si="75"/>
        <v>1400</v>
      </c>
      <c r="P332" s="58">
        <f t="shared" si="76"/>
        <v>2580.3030303030305</v>
      </c>
      <c r="Q332" s="60">
        <f t="shared" si="77"/>
        <v>15.205357142857144</v>
      </c>
      <c r="R332" s="58">
        <f t="shared" si="78"/>
        <v>1892.8030303030303</v>
      </c>
      <c r="S332" s="58">
        <f t="shared" si="79"/>
        <v>1617.8030303030303</v>
      </c>
      <c r="T332" s="58">
        <f t="shared" si="80"/>
        <v>1230.3030303030303</v>
      </c>
      <c r="U332" s="60">
        <f t="shared" si="81"/>
        <v>11.154017857142858</v>
      </c>
      <c r="V332" s="60">
        <f t="shared" si="82"/>
        <v>9.5334821428571423</v>
      </c>
      <c r="W332" s="60">
        <f t="shared" si="83"/>
        <v>7.25</v>
      </c>
      <c r="X332" s="61" t="s">
        <v>281</v>
      </c>
      <c r="Y332" s="1"/>
      <c r="Z332" s="1"/>
    </row>
    <row r="333" spans="1:26" ht="15.75" customHeight="1">
      <c r="A333" s="54"/>
      <c r="B333" s="162"/>
      <c r="C333" s="33"/>
      <c r="D333" s="55" t="s">
        <v>1555</v>
      </c>
      <c r="E333" s="55"/>
      <c r="F333" s="56"/>
      <c r="G333" s="71" t="s">
        <v>1556</v>
      </c>
      <c r="H333" s="72">
        <v>25000</v>
      </c>
      <c r="I333" s="58">
        <f t="shared" si="70"/>
        <v>17500</v>
      </c>
      <c r="J333" s="58">
        <f t="shared" si="71"/>
        <v>530.30303030303025</v>
      </c>
      <c r="K333" s="58">
        <v>2800</v>
      </c>
      <c r="L333" s="59">
        <f t="shared" si="72"/>
        <v>2750</v>
      </c>
      <c r="M333" s="58">
        <f t="shared" si="73"/>
        <v>2062.5</v>
      </c>
      <c r="N333" s="58">
        <f t="shared" si="74"/>
        <v>1787.5</v>
      </c>
      <c r="O333" s="58">
        <f t="shared" si="75"/>
        <v>1400</v>
      </c>
      <c r="P333" s="58">
        <f t="shared" si="76"/>
        <v>2219.69696969697</v>
      </c>
      <c r="Q333" s="60">
        <f t="shared" si="77"/>
        <v>4.1857142857142868</v>
      </c>
      <c r="R333" s="58">
        <f t="shared" si="78"/>
        <v>1532.1969696969697</v>
      </c>
      <c r="S333" s="58">
        <f t="shared" si="79"/>
        <v>1257.1969696969697</v>
      </c>
      <c r="T333" s="58">
        <f t="shared" si="80"/>
        <v>869.69696969696975</v>
      </c>
      <c r="U333" s="60">
        <f t="shared" si="81"/>
        <v>2.8892857142857147</v>
      </c>
      <c r="V333" s="60">
        <f t="shared" si="82"/>
        <v>2.370714285714286</v>
      </c>
      <c r="W333" s="60">
        <f t="shared" si="83"/>
        <v>1.6400000000000003</v>
      </c>
      <c r="X333" s="61"/>
      <c r="Y333" s="1"/>
      <c r="Z333" s="1"/>
    </row>
    <row r="334" spans="1:26" ht="15.75" customHeight="1">
      <c r="A334" s="54"/>
      <c r="B334" s="162"/>
      <c r="C334" s="33"/>
      <c r="D334" s="55" t="s">
        <v>1557</v>
      </c>
      <c r="E334" s="55"/>
      <c r="F334" s="56"/>
      <c r="G334" s="57" t="s">
        <v>1558</v>
      </c>
      <c r="H334" s="58">
        <v>25000</v>
      </c>
      <c r="I334" s="58">
        <f t="shared" si="70"/>
        <v>17500</v>
      </c>
      <c r="J334" s="58">
        <f t="shared" si="71"/>
        <v>530.30303030303025</v>
      </c>
      <c r="K334" s="58">
        <v>2800</v>
      </c>
      <c r="L334" s="59">
        <f t="shared" si="72"/>
        <v>2750</v>
      </c>
      <c r="M334" s="58">
        <f t="shared" si="73"/>
        <v>2062.5</v>
      </c>
      <c r="N334" s="58">
        <f t="shared" si="74"/>
        <v>1787.5</v>
      </c>
      <c r="O334" s="58">
        <f t="shared" si="75"/>
        <v>1400</v>
      </c>
      <c r="P334" s="58">
        <f t="shared" si="76"/>
        <v>2219.69696969697</v>
      </c>
      <c r="Q334" s="60">
        <f t="shared" si="77"/>
        <v>4.1857142857142868</v>
      </c>
      <c r="R334" s="58">
        <f t="shared" si="78"/>
        <v>1532.1969696969697</v>
      </c>
      <c r="S334" s="58">
        <f t="shared" si="79"/>
        <v>1257.1969696969697</v>
      </c>
      <c r="T334" s="58">
        <f t="shared" si="80"/>
        <v>869.69696969696975</v>
      </c>
      <c r="U334" s="60">
        <f t="shared" si="81"/>
        <v>2.8892857142857147</v>
      </c>
      <c r="V334" s="60">
        <f t="shared" si="82"/>
        <v>2.370714285714286</v>
      </c>
      <c r="W334" s="60">
        <f t="shared" si="83"/>
        <v>1.6400000000000003</v>
      </c>
      <c r="X334" s="61"/>
      <c r="Y334" s="1"/>
      <c r="Z334" s="1"/>
    </row>
    <row r="335" spans="1:26" ht="15.75" customHeight="1">
      <c r="A335" s="54"/>
      <c r="B335" s="162"/>
      <c r="C335" s="33"/>
      <c r="D335" s="55" t="s">
        <v>1559</v>
      </c>
      <c r="E335" s="55"/>
      <c r="F335" s="56"/>
      <c r="G335" s="57" t="s">
        <v>1560</v>
      </c>
      <c r="H335" s="58">
        <v>28000</v>
      </c>
      <c r="I335" s="58">
        <f t="shared" si="70"/>
        <v>19600</v>
      </c>
      <c r="J335" s="58">
        <f t="shared" si="71"/>
        <v>593.93939393939399</v>
      </c>
      <c r="K335" s="58">
        <v>2800</v>
      </c>
      <c r="L335" s="59">
        <f t="shared" si="72"/>
        <v>2750</v>
      </c>
      <c r="M335" s="58">
        <f t="shared" si="73"/>
        <v>2062.5</v>
      </c>
      <c r="N335" s="58">
        <f t="shared" si="74"/>
        <v>1787.5</v>
      </c>
      <c r="O335" s="58">
        <f t="shared" si="75"/>
        <v>1400</v>
      </c>
      <c r="P335" s="58">
        <f t="shared" si="76"/>
        <v>2156.060606060606</v>
      </c>
      <c r="Q335" s="60">
        <f t="shared" si="77"/>
        <v>3.6301020408163263</v>
      </c>
      <c r="R335" s="58">
        <f t="shared" si="78"/>
        <v>1468.560606060606</v>
      </c>
      <c r="S335" s="58">
        <f t="shared" si="79"/>
        <v>1193.560606060606</v>
      </c>
      <c r="T335" s="58">
        <f t="shared" si="80"/>
        <v>806.06060606060601</v>
      </c>
      <c r="U335" s="60">
        <f t="shared" si="81"/>
        <v>2.4725765306122445</v>
      </c>
      <c r="V335" s="60">
        <f t="shared" si="82"/>
        <v>2.0095663265306118</v>
      </c>
      <c r="W335" s="60">
        <f t="shared" si="83"/>
        <v>1.357142857142857</v>
      </c>
      <c r="X335" s="61"/>
      <c r="Y335" s="1"/>
      <c r="Z335" s="1"/>
    </row>
    <row r="336" spans="1:26" ht="15.75" customHeight="1">
      <c r="A336" s="54"/>
      <c r="B336" s="161"/>
      <c r="C336" s="90"/>
      <c r="D336" s="55" t="s">
        <v>1561</v>
      </c>
      <c r="E336" s="55"/>
      <c r="F336" s="56"/>
      <c r="G336" s="57" t="s">
        <v>1562</v>
      </c>
      <c r="H336" s="58">
        <v>65000</v>
      </c>
      <c r="I336" s="58">
        <f t="shared" si="70"/>
        <v>45500</v>
      </c>
      <c r="J336" s="58">
        <f t="shared" si="71"/>
        <v>1378.7878787878788</v>
      </c>
      <c r="K336" s="58">
        <v>5600</v>
      </c>
      <c r="L336" s="59">
        <f t="shared" si="72"/>
        <v>5550</v>
      </c>
      <c r="M336" s="58">
        <f t="shared" si="73"/>
        <v>4162.5</v>
      </c>
      <c r="N336" s="58">
        <f t="shared" si="74"/>
        <v>3607.5</v>
      </c>
      <c r="O336" s="58">
        <f t="shared" si="75"/>
        <v>2800</v>
      </c>
      <c r="P336" s="58">
        <f t="shared" si="76"/>
        <v>4171.212121212121</v>
      </c>
      <c r="Q336" s="60">
        <f t="shared" si="77"/>
        <v>3.0252747252747252</v>
      </c>
      <c r="R336" s="58">
        <f t="shared" si="78"/>
        <v>2783.712121212121</v>
      </c>
      <c r="S336" s="58">
        <f t="shared" si="79"/>
        <v>2228.712121212121</v>
      </c>
      <c r="T336" s="58">
        <f t="shared" si="80"/>
        <v>1421.2121212121212</v>
      </c>
      <c r="U336" s="60">
        <f t="shared" si="81"/>
        <v>2.0189560439560439</v>
      </c>
      <c r="V336" s="60">
        <f t="shared" si="82"/>
        <v>1.6164285714285713</v>
      </c>
      <c r="W336" s="60">
        <f t="shared" si="83"/>
        <v>1.0307692307692309</v>
      </c>
      <c r="X336" s="61"/>
      <c r="Y336" s="1"/>
      <c r="Z336" s="1"/>
    </row>
    <row r="337" spans="1:26" ht="15.75" customHeight="1">
      <c r="A337" s="54"/>
      <c r="B337" s="91" t="s">
        <v>1292</v>
      </c>
      <c r="C337" s="92"/>
      <c r="D337" s="65" t="s">
        <v>1563</v>
      </c>
      <c r="E337" s="65"/>
      <c r="F337" s="66"/>
      <c r="G337" s="67" t="s">
        <v>1564</v>
      </c>
      <c r="H337" s="68">
        <v>18000</v>
      </c>
      <c r="I337" s="58">
        <f t="shared" si="70"/>
        <v>12600</v>
      </c>
      <c r="J337" s="58">
        <f t="shared" si="71"/>
        <v>381.81818181818181</v>
      </c>
      <c r="K337" s="58">
        <v>2800</v>
      </c>
      <c r="L337" s="59">
        <f t="shared" si="72"/>
        <v>2750</v>
      </c>
      <c r="M337" s="58">
        <f t="shared" si="73"/>
        <v>2062.5</v>
      </c>
      <c r="N337" s="58">
        <f t="shared" si="74"/>
        <v>1787.5</v>
      </c>
      <c r="O337" s="58">
        <f t="shared" si="75"/>
        <v>1400</v>
      </c>
      <c r="P337" s="58">
        <f t="shared" si="76"/>
        <v>2368.181818181818</v>
      </c>
      <c r="Q337" s="60">
        <f t="shared" si="77"/>
        <v>6.2023809523809517</v>
      </c>
      <c r="R337" s="58">
        <f t="shared" si="78"/>
        <v>1680.6818181818182</v>
      </c>
      <c r="S337" s="58">
        <f t="shared" si="79"/>
        <v>1405.6818181818182</v>
      </c>
      <c r="T337" s="58">
        <f t="shared" si="80"/>
        <v>1018.1818181818182</v>
      </c>
      <c r="U337" s="60">
        <f t="shared" si="81"/>
        <v>4.4017857142857144</v>
      </c>
      <c r="V337" s="60">
        <f t="shared" si="82"/>
        <v>3.6815476190476191</v>
      </c>
      <c r="W337" s="60">
        <f t="shared" si="83"/>
        <v>2.666666666666667</v>
      </c>
      <c r="X337" s="61" t="s">
        <v>282</v>
      </c>
      <c r="Y337" s="1"/>
      <c r="Z337" s="1"/>
    </row>
    <row r="338" spans="1:26" ht="15.75" customHeight="1">
      <c r="A338" s="54"/>
      <c r="B338" s="160" t="s">
        <v>217</v>
      </c>
      <c r="C338" s="33"/>
      <c r="D338" s="55" t="s">
        <v>1565</v>
      </c>
      <c r="E338" s="55"/>
      <c r="F338" s="56"/>
      <c r="G338" s="57" t="s">
        <v>1566</v>
      </c>
      <c r="H338" s="58">
        <v>18000</v>
      </c>
      <c r="I338" s="58">
        <f t="shared" si="70"/>
        <v>12600</v>
      </c>
      <c r="J338" s="58">
        <f t="shared" si="71"/>
        <v>381.81818181818181</v>
      </c>
      <c r="K338" s="58">
        <v>2800</v>
      </c>
      <c r="L338" s="59">
        <f t="shared" si="72"/>
        <v>2750</v>
      </c>
      <c r="M338" s="58">
        <f t="shared" si="73"/>
        <v>2062.5</v>
      </c>
      <c r="N338" s="58">
        <f t="shared" si="74"/>
        <v>1787.5</v>
      </c>
      <c r="O338" s="58">
        <f t="shared" si="75"/>
        <v>1400</v>
      </c>
      <c r="P338" s="58">
        <f t="shared" si="76"/>
        <v>2368.181818181818</v>
      </c>
      <c r="Q338" s="60">
        <f t="shared" si="77"/>
        <v>6.2023809523809517</v>
      </c>
      <c r="R338" s="58">
        <f t="shared" si="78"/>
        <v>1680.6818181818182</v>
      </c>
      <c r="S338" s="58">
        <f t="shared" si="79"/>
        <v>1405.6818181818182</v>
      </c>
      <c r="T338" s="58">
        <f t="shared" si="80"/>
        <v>1018.1818181818182</v>
      </c>
      <c r="U338" s="60">
        <f t="shared" si="81"/>
        <v>4.4017857142857144</v>
      </c>
      <c r="V338" s="60">
        <f t="shared" si="82"/>
        <v>3.6815476190476191</v>
      </c>
      <c r="W338" s="60">
        <f t="shared" si="83"/>
        <v>2.666666666666667</v>
      </c>
      <c r="X338" s="61" t="s">
        <v>283</v>
      </c>
      <c r="Y338" s="1"/>
      <c r="Z338" s="1"/>
    </row>
    <row r="339" spans="1:26" ht="15.75" customHeight="1">
      <c r="A339" s="54"/>
      <c r="B339" s="162"/>
      <c r="C339" s="33"/>
      <c r="D339" s="55" t="s">
        <v>1567</v>
      </c>
      <c r="E339" s="55"/>
      <c r="F339" s="56"/>
      <c r="G339" s="57" t="s">
        <v>1568</v>
      </c>
      <c r="H339" s="58">
        <v>18000</v>
      </c>
      <c r="I339" s="58">
        <f t="shared" si="70"/>
        <v>12600</v>
      </c>
      <c r="J339" s="58">
        <f t="shared" si="71"/>
        <v>381.81818181818181</v>
      </c>
      <c r="K339" s="58">
        <v>2800</v>
      </c>
      <c r="L339" s="59">
        <f t="shared" si="72"/>
        <v>2750</v>
      </c>
      <c r="M339" s="58">
        <f t="shared" si="73"/>
        <v>2062.5</v>
      </c>
      <c r="N339" s="58">
        <f t="shared" si="74"/>
        <v>1787.5</v>
      </c>
      <c r="O339" s="58">
        <f t="shared" si="75"/>
        <v>1400</v>
      </c>
      <c r="P339" s="58">
        <f t="shared" si="76"/>
        <v>2368.181818181818</v>
      </c>
      <c r="Q339" s="60">
        <f t="shared" si="77"/>
        <v>6.2023809523809517</v>
      </c>
      <c r="R339" s="58">
        <f t="shared" si="78"/>
        <v>1680.6818181818182</v>
      </c>
      <c r="S339" s="58">
        <f t="shared" si="79"/>
        <v>1405.6818181818182</v>
      </c>
      <c r="T339" s="58">
        <f t="shared" si="80"/>
        <v>1018.1818181818182</v>
      </c>
      <c r="U339" s="60">
        <f t="shared" si="81"/>
        <v>4.4017857142857144</v>
      </c>
      <c r="V339" s="60">
        <f t="shared" si="82"/>
        <v>3.6815476190476191</v>
      </c>
      <c r="W339" s="60">
        <f t="shared" si="83"/>
        <v>2.666666666666667</v>
      </c>
      <c r="X339" s="61" t="s">
        <v>282</v>
      </c>
      <c r="Y339" s="1"/>
      <c r="Z339" s="1"/>
    </row>
    <row r="340" spans="1:26" ht="15.75" customHeight="1">
      <c r="A340" s="54"/>
      <c r="B340" s="162"/>
      <c r="C340" s="33"/>
      <c r="D340" s="55" t="s">
        <v>1569</v>
      </c>
      <c r="E340" s="55"/>
      <c r="F340" s="56"/>
      <c r="G340" s="57" t="s">
        <v>1570</v>
      </c>
      <c r="H340" s="58">
        <v>18000</v>
      </c>
      <c r="I340" s="58">
        <f t="shared" si="70"/>
        <v>12600</v>
      </c>
      <c r="J340" s="58">
        <f t="shared" si="71"/>
        <v>381.81818181818181</v>
      </c>
      <c r="K340" s="58">
        <v>2800</v>
      </c>
      <c r="L340" s="59">
        <f t="shared" si="72"/>
        <v>2750</v>
      </c>
      <c r="M340" s="58">
        <f t="shared" si="73"/>
        <v>2062.5</v>
      </c>
      <c r="N340" s="58">
        <f t="shared" si="74"/>
        <v>1787.5</v>
      </c>
      <c r="O340" s="58">
        <f t="shared" si="75"/>
        <v>1400</v>
      </c>
      <c r="P340" s="58">
        <f t="shared" si="76"/>
        <v>2368.181818181818</v>
      </c>
      <c r="Q340" s="60">
        <f t="shared" si="77"/>
        <v>6.2023809523809517</v>
      </c>
      <c r="R340" s="58">
        <f t="shared" si="78"/>
        <v>1680.6818181818182</v>
      </c>
      <c r="S340" s="58">
        <f t="shared" si="79"/>
        <v>1405.6818181818182</v>
      </c>
      <c r="T340" s="58">
        <f t="shared" si="80"/>
        <v>1018.1818181818182</v>
      </c>
      <c r="U340" s="60">
        <f t="shared" si="81"/>
        <v>4.4017857142857144</v>
      </c>
      <c r="V340" s="60">
        <f t="shared" si="82"/>
        <v>3.6815476190476191</v>
      </c>
      <c r="W340" s="60">
        <f t="shared" si="83"/>
        <v>2.666666666666667</v>
      </c>
      <c r="X340" s="61" t="s">
        <v>284</v>
      </c>
      <c r="Y340" s="1"/>
      <c r="Z340" s="1"/>
    </row>
    <row r="341" spans="1:26" ht="15.75" customHeight="1">
      <c r="A341" s="54"/>
      <c r="B341" s="161"/>
      <c r="C341" s="33"/>
      <c r="D341" s="55" t="s">
        <v>1571</v>
      </c>
      <c r="E341" s="55"/>
      <c r="F341" s="56"/>
      <c r="G341" s="57" t="s">
        <v>1572</v>
      </c>
      <c r="H341" s="58">
        <v>18000</v>
      </c>
      <c r="I341" s="58">
        <f t="shared" si="70"/>
        <v>12600</v>
      </c>
      <c r="J341" s="58">
        <f t="shared" si="71"/>
        <v>381.81818181818181</v>
      </c>
      <c r="K341" s="58">
        <v>2800</v>
      </c>
      <c r="L341" s="59">
        <f t="shared" si="72"/>
        <v>2750</v>
      </c>
      <c r="M341" s="58">
        <f t="shared" si="73"/>
        <v>2062.5</v>
      </c>
      <c r="N341" s="58">
        <f t="shared" si="74"/>
        <v>1787.5</v>
      </c>
      <c r="O341" s="58">
        <f t="shared" si="75"/>
        <v>1400</v>
      </c>
      <c r="P341" s="58">
        <f t="shared" si="76"/>
        <v>2368.181818181818</v>
      </c>
      <c r="Q341" s="60">
        <f t="shared" si="77"/>
        <v>6.2023809523809517</v>
      </c>
      <c r="R341" s="58">
        <f t="shared" si="78"/>
        <v>1680.6818181818182</v>
      </c>
      <c r="S341" s="58">
        <f t="shared" si="79"/>
        <v>1405.6818181818182</v>
      </c>
      <c r="T341" s="58">
        <f t="shared" si="80"/>
        <v>1018.1818181818182</v>
      </c>
      <c r="U341" s="60">
        <f t="shared" si="81"/>
        <v>4.4017857142857144</v>
      </c>
      <c r="V341" s="60">
        <f t="shared" si="82"/>
        <v>3.6815476190476191</v>
      </c>
      <c r="W341" s="60">
        <f t="shared" si="83"/>
        <v>2.666666666666667</v>
      </c>
      <c r="X341" s="61" t="s">
        <v>286</v>
      </c>
      <c r="Y341" s="1"/>
      <c r="Z341" s="1"/>
    </row>
    <row r="342" spans="1:26" ht="15.75" customHeight="1">
      <c r="A342" s="54"/>
      <c r="B342" s="160" t="s">
        <v>388</v>
      </c>
      <c r="C342" s="33"/>
      <c r="D342" s="55" t="s">
        <v>1573</v>
      </c>
      <c r="E342" s="55"/>
      <c r="F342" s="56"/>
      <c r="G342" s="57" t="s">
        <v>1574</v>
      </c>
      <c r="H342" s="58">
        <v>18000</v>
      </c>
      <c r="I342" s="58">
        <f t="shared" si="70"/>
        <v>12600</v>
      </c>
      <c r="J342" s="58">
        <f t="shared" si="71"/>
        <v>381.81818181818181</v>
      </c>
      <c r="K342" s="58">
        <v>2800</v>
      </c>
      <c r="L342" s="59">
        <f t="shared" si="72"/>
        <v>2750</v>
      </c>
      <c r="M342" s="58">
        <f t="shared" si="73"/>
        <v>2062.5</v>
      </c>
      <c r="N342" s="58">
        <f t="shared" si="74"/>
        <v>1787.5</v>
      </c>
      <c r="O342" s="58">
        <f t="shared" si="75"/>
        <v>1400</v>
      </c>
      <c r="P342" s="58">
        <f t="shared" si="76"/>
        <v>2368.181818181818</v>
      </c>
      <c r="Q342" s="60">
        <f t="shared" si="77"/>
        <v>6.2023809523809517</v>
      </c>
      <c r="R342" s="58">
        <f t="shared" si="78"/>
        <v>1680.6818181818182</v>
      </c>
      <c r="S342" s="58">
        <f t="shared" si="79"/>
        <v>1405.6818181818182</v>
      </c>
      <c r="T342" s="58">
        <f t="shared" si="80"/>
        <v>1018.1818181818182</v>
      </c>
      <c r="U342" s="60">
        <f t="shared" si="81"/>
        <v>4.4017857142857144</v>
      </c>
      <c r="V342" s="60">
        <f t="shared" si="82"/>
        <v>3.6815476190476191</v>
      </c>
      <c r="W342" s="60">
        <f t="shared" si="83"/>
        <v>2.666666666666667</v>
      </c>
      <c r="X342" s="61" t="s">
        <v>288</v>
      </c>
      <c r="Y342" s="1"/>
      <c r="Z342" s="1"/>
    </row>
    <row r="343" spans="1:26" ht="15.75" customHeight="1">
      <c r="A343" s="54"/>
      <c r="B343" s="162"/>
      <c r="C343" s="33"/>
      <c r="D343" s="55" t="s">
        <v>1575</v>
      </c>
      <c r="E343" s="55"/>
      <c r="F343" s="56"/>
      <c r="G343" s="57" t="s">
        <v>1576</v>
      </c>
      <c r="H343" s="58">
        <v>15000</v>
      </c>
      <c r="I343" s="58">
        <f t="shared" si="70"/>
        <v>10500</v>
      </c>
      <c r="J343" s="58">
        <f t="shared" si="71"/>
        <v>318.18181818181819</v>
      </c>
      <c r="K343" s="58">
        <v>2800</v>
      </c>
      <c r="L343" s="59">
        <f t="shared" si="72"/>
        <v>2750</v>
      </c>
      <c r="M343" s="58">
        <f t="shared" si="73"/>
        <v>2062.5</v>
      </c>
      <c r="N343" s="58">
        <f t="shared" si="74"/>
        <v>1787.5</v>
      </c>
      <c r="O343" s="58">
        <f t="shared" si="75"/>
        <v>1400</v>
      </c>
      <c r="P343" s="58">
        <f t="shared" si="76"/>
        <v>2431.818181818182</v>
      </c>
      <c r="Q343" s="60">
        <f t="shared" si="77"/>
        <v>7.6428571428571432</v>
      </c>
      <c r="R343" s="58">
        <f t="shared" si="78"/>
        <v>1744.3181818181818</v>
      </c>
      <c r="S343" s="58">
        <f t="shared" si="79"/>
        <v>1469.3181818181818</v>
      </c>
      <c r="T343" s="58">
        <f t="shared" si="80"/>
        <v>1081.8181818181818</v>
      </c>
      <c r="U343" s="60">
        <f t="shared" si="81"/>
        <v>5.4821428571428568</v>
      </c>
      <c r="V343" s="60">
        <f t="shared" si="82"/>
        <v>4.6178571428571429</v>
      </c>
      <c r="W343" s="60">
        <f t="shared" si="83"/>
        <v>3.4</v>
      </c>
      <c r="X343" s="61" t="s">
        <v>288</v>
      </c>
      <c r="Y343" s="1"/>
      <c r="Z343" s="1"/>
    </row>
    <row r="344" spans="1:26" ht="15.75" customHeight="1">
      <c r="A344" s="54"/>
      <c r="B344" s="161"/>
      <c r="C344" s="33"/>
      <c r="D344" s="55" t="s">
        <v>412</v>
      </c>
      <c r="E344" s="55"/>
      <c r="F344" s="56"/>
      <c r="G344" s="57" t="s">
        <v>1577</v>
      </c>
      <c r="H344" s="58">
        <v>18000</v>
      </c>
      <c r="I344" s="58">
        <f t="shared" si="70"/>
        <v>12600</v>
      </c>
      <c r="J344" s="58">
        <f t="shared" si="71"/>
        <v>381.81818181818181</v>
      </c>
      <c r="K344" s="58">
        <v>2800</v>
      </c>
      <c r="L344" s="59">
        <f t="shared" si="72"/>
        <v>2750</v>
      </c>
      <c r="M344" s="58">
        <f t="shared" si="73"/>
        <v>2062.5</v>
      </c>
      <c r="N344" s="58">
        <f t="shared" si="74"/>
        <v>1787.5</v>
      </c>
      <c r="O344" s="58">
        <f t="shared" si="75"/>
        <v>1400</v>
      </c>
      <c r="P344" s="58">
        <f t="shared" si="76"/>
        <v>2368.181818181818</v>
      </c>
      <c r="Q344" s="60">
        <f t="shared" si="77"/>
        <v>6.2023809523809517</v>
      </c>
      <c r="R344" s="58">
        <f t="shared" si="78"/>
        <v>1680.6818181818182</v>
      </c>
      <c r="S344" s="58">
        <f t="shared" si="79"/>
        <v>1405.6818181818182</v>
      </c>
      <c r="T344" s="58">
        <f t="shared" si="80"/>
        <v>1018.1818181818182</v>
      </c>
      <c r="U344" s="60">
        <f t="shared" si="81"/>
        <v>4.4017857142857144</v>
      </c>
      <c r="V344" s="60">
        <f t="shared" si="82"/>
        <v>3.6815476190476191</v>
      </c>
      <c r="W344" s="60">
        <f t="shared" si="83"/>
        <v>2.666666666666667</v>
      </c>
      <c r="X344" s="61" t="s">
        <v>289</v>
      </c>
      <c r="Y344" s="1"/>
      <c r="Z344" s="1"/>
    </row>
    <row r="345" spans="1:26" ht="15.75" customHeight="1">
      <c r="A345" s="54"/>
      <c r="B345" s="75" t="s">
        <v>328</v>
      </c>
      <c r="C345" s="33"/>
      <c r="D345" s="55" t="s">
        <v>356</v>
      </c>
      <c r="E345" s="55"/>
      <c r="F345" s="56"/>
      <c r="G345" s="57" t="s">
        <v>1578</v>
      </c>
      <c r="H345" s="58">
        <v>15000</v>
      </c>
      <c r="I345" s="58">
        <f t="shared" si="70"/>
        <v>10500</v>
      </c>
      <c r="J345" s="58">
        <f t="shared" si="71"/>
        <v>318.18181818181819</v>
      </c>
      <c r="K345" s="58">
        <v>2800</v>
      </c>
      <c r="L345" s="59">
        <f t="shared" si="72"/>
        <v>2750</v>
      </c>
      <c r="M345" s="58">
        <f t="shared" si="73"/>
        <v>2062.5</v>
      </c>
      <c r="N345" s="58">
        <f t="shared" si="74"/>
        <v>1787.5</v>
      </c>
      <c r="O345" s="58">
        <f t="shared" si="75"/>
        <v>1400</v>
      </c>
      <c r="P345" s="58">
        <f t="shared" si="76"/>
        <v>2431.818181818182</v>
      </c>
      <c r="Q345" s="60">
        <f t="shared" si="77"/>
        <v>7.6428571428571432</v>
      </c>
      <c r="R345" s="58">
        <f t="shared" si="78"/>
        <v>1744.3181818181818</v>
      </c>
      <c r="S345" s="58">
        <f t="shared" si="79"/>
        <v>1469.3181818181818</v>
      </c>
      <c r="T345" s="58">
        <f t="shared" si="80"/>
        <v>1081.8181818181818</v>
      </c>
      <c r="U345" s="60">
        <f t="shared" si="81"/>
        <v>5.4821428571428568</v>
      </c>
      <c r="V345" s="60">
        <f t="shared" si="82"/>
        <v>4.6178571428571429</v>
      </c>
      <c r="W345" s="60">
        <f t="shared" si="83"/>
        <v>3.4</v>
      </c>
      <c r="X345" s="61"/>
      <c r="Y345" s="1"/>
      <c r="Z345" s="1"/>
    </row>
    <row r="346" spans="1:26" ht="15.75" customHeight="1">
      <c r="A346" s="54"/>
      <c r="B346" s="160" t="s">
        <v>446</v>
      </c>
      <c r="C346" s="33"/>
      <c r="D346" s="55" t="s">
        <v>524</v>
      </c>
      <c r="E346" s="55"/>
      <c r="F346" s="56"/>
      <c r="G346" s="57" t="s">
        <v>1579</v>
      </c>
      <c r="H346" s="58">
        <v>15000</v>
      </c>
      <c r="I346" s="58">
        <f t="shared" si="70"/>
        <v>10500</v>
      </c>
      <c r="J346" s="58">
        <f t="shared" si="71"/>
        <v>318.18181818181819</v>
      </c>
      <c r="K346" s="58">
        <v>2800</v>
      </c>
      <c r="L346" s="59">
        <f t="shared" si="72"/>
        <v>2750</v>
      </c>
      <c r="M346" s="58">
        <f t="shared" si="73"/>
        <v>2062.5</v>
      </c>
      <c r="N346" s="58">
        <f t="shared" si="74"/>
        <v>1787.5</v>
      </c>
      <c r="O346" s="58">
        <f t="shared" si="75"/>
        <v>1400</v>
      </c>
      <c r="P346" s="58">
        <f t="shared" si="76"/>
        <v>2431.818181818182</v>
      </c>
      <c r="Q346" s="60">
        <f t="shared" si="77"/>
        <v>7.6428571428571432</v>
      </c>
      <c r="R346" s="58">
        <f t="shared" si="78"/>
        <v>1744.3181818181818</v>
      </c>
      <c r="S346" s="58">
        <f t="shared" si="79"/>
        <v>1469.3181818181818</v>
      </c>
      <c r="T346" s="58">
        <f t="shared" si="80"/>
        <v>1081.8181818181818</v>
      </c>
      <c r="U346" s="60">
        <f t="shared" si="81"/>
        <v>5.4821428571428568</v>
      </c>
      <c r="V346" s="60">
        <f t="shared" si="82"/>
        <v>4.6178571428571429</v>
      </c>
      <c r="W346" s="60">
        <f t="shared" si="83"/>
        <v>3.4</v>
      </c>
      <c r="X346" s="61" t="s">
        <v>290</v>
      </c>
      <c r="Y346" s="1"/>
      <c r="Z346" s="1"/>
    </row>
    <row r="347" spans="1:26" ht="15.75" customHeight="1">
      <c r="A347" s="54"/>
      <c r="B347" s="162"/>
      <c r="C347" s="33"/>
      <c r="D347" s="55" t="s">
        <v>543</v>
      </c>
      <c r="E347" s="55"/>
      <c r="F347" s="56"/>
      <c r="G347" s="57" t="s">
        <v>1580</v>
      </c>
      <c r="H347" s="58">
        <v>15000</v>
      </c>
      <c r="I347" s="58">
        <f t="shared" si="70"/>
        <v>10500</v>
      </c>
      <c r="J347" s="58">
        <f t="shared" si="71"/>
        <v>318.18181818181819</v>
      </c>
      <c r="K347" s="58">
        <v>2800</v>
      </c>
      <c r="L347" s="59">
        <f t="shared" si="72"/>
        <v>2750</v>
      </c>
      <c r="M347" s="58">
        <f t="shared" si="73"/>
        <v>2062.5</v>
      </c>
      <c r="N347" s="58">
        <f t="shared" si="74"/>
        <v>1787.5</v>
      </c>
      <c r="O347" s="58">
        <f t="shared" si="75"/>
        <v>1400</v>
      </c>
      <c r="P347" s="58">
        <f t="shared" si="76"/>
        <v>2431.818181818182</v>
      </c>
      <c r="Q347" s="60">
        <f t="shared" si="77"/>
        <v>7.6428571428571432</v>
      </c>
      <c r="R347" s="58">
        <f t="shared" si="78"/>
        <v>1744.3181818181818</v>
      </c>
      <c r="S347" s="58">
        <f t="shared" si="79"/>
        <v>1469.3181818181818</v>
      </c>
      <c r="T347" s="58">
        <f t="shared" si="80"/>
        <v>1081.8181818181818</v>
      </c>
      <c r="U347" s="60">
        <f t="shared" si="81"/>
        <v>5.4821428571428568</v>
      </c>
      <c r="V347" s="60">
        <f t="shared" si="82"/>
        <v>4.6178571428571429</v>
      </c>
      <c r="W347" s="60">
        <f t="shared" si="83"/>
        <v>3.4</v>
      </c>
      <c r="X347" s="61" t="s">
        <v>291</v>
      </c>
      <c r="Y347" s="1"/>
      <c r="Z347" s="1"/>
    </row>
    <row r="348" spans="1:26" ht="15.75" customHeight="1">
      <c r="A348" s="54"/>
      <c r="B348" s="162"/>
      <c r="C348" s="33"/>
      <c r="D348" s="55" t="s">
        <v>1581</v>
      </c>
      <c r="E348" s="55"/>
      <c r="F348" s="56"/>
      <c r="G348" s="57" t="s">
        <v>1582</v>
      </c>
      <c r="H348" s="58">
        <v>18000</v>
      </c>
      <c r="I348" s="58">
        <f t="shared" si="70"/>
        <v>12600</v>
      </c>
      <c r="J348" s="58">
        <f t="shared" si="71"/>
        <v>381.81818181818181</v>
      </c>
      <c r="K348" s="58">
        <v>2800</v>
      </c>
      <c r="L348" s="59">
        <f t="shared" si="72"/>
        <v>2750</v>
      </c>
      <c r="M348" s="58">
        <f t="shared" si="73"/>
        <v>2062.5</v>
      </c>
      <c r="N348" s="58">
        <f t="shared" si="74"/>
        <v>1787.5</v>
      </c>
      <c r="O348" s="58">
        <f t="shared" si="75"/>
        <v>1400</v>
      </c>
      <c r="P348" s="58">
        <f t="shared" si="76"/>
        <v>2368.181818181818</v>
      </c>
      <c r="Q348" s="60">
        <f t="shared" si="77"/>
        <v>6.2023809523809517</v>
      </c>
      <c r="R348" s="58">
        <f t="shared" si="78"/>
        <v>1680.6818181818182</v>
      </c>
      <c r="S348" s="58">
        <f t="shared" si="79"/>
        <v>1405.6818181818182</v>
      </c>
      <c r="T348" s="58">
        <f t="shared" si="80"/>
        <v>1018.1818181818182</v>
      </c>
      <c r="U348" s="60">
        <f t="shared" si="81"/>
        <v>4.4017857142857144</v>
      </c>
      <c r="V348" s="60">
        <f t="shared" si="82"/>
        <v>3.6815476190476191</v>
      </c>
      <c r="W348" s="60">
        <f t="shared" si="83"/>
        <v>2.666666666666667</v>
      </c>
      <c r="X348" s="61" t="s">
        <v>293</v>
      </c>
      <c r="Y348" s="1"/>
      <c r="Z348" s="1"/>
    </row>
    <row r="349" spans="1:26" ht="15.75" customHeight="1">
      <c r="A349" s="54"/>
      <c r="B349" s="161"/>
      <c r="C349" s="33"/>
      <c r="D349" s="55" t="s">
        <v>1583</v>
      </c>
      <c r="E349" s="55"/>
      <c r="F349" s="56"/>
      <c r="G349" s="57" t="s">
        <v>1584</v>
      </c>
      <c r="H349" s="68">
        <v>18000</v>
      </c>
      <c r="I349" s="58">
        <f t="shared" si="70"/>
        <v>12600</v>
      </c>
      <c r="J349" s="58">
        <f t="shared" si="71"/>
        <v>381.81818181818181</v>
      </c>
      <c r="K349" s="58">
        <v>2800</v>
      </c>
      <c r="L349" s="59">
        <f t="shared" si="72"/>
        <v>2750</v>
      </c>
      <c r="M349" s="58">
        <f t="shared" si="73"/>
        <v>2062.5</v>
      </c>
      <c r="N349" s="58">
        <f t="shared" si="74"/>
        <v>1787.5</v>
      </c>
      <c r="O349" s="58">
        <f t="shared" si="75"/>
        <v>1400</v>
      </c>
      <c r="P349" s="58">
        <f t="shared" si="76"/>
        <v>2368.181818181818</v>
      </c>
      <c r="Q349" s="60">
        <f t="shared" si="77"/>
        <v>6.2023809523809517</v>
      </c>
      <c r="R349" s="58">
        <f t="shared" si="78"/>
        <v>1680.6818181818182</v>
      </c>
      <c r="S349" s="58">
        <f t="shared" si="79"/>
        <v>1405.6818181818182</v>
      </c>
      <c r="T349" s="58">
        <f t="shared" si="80"/>
        <v>1018.1818181818182</v>
      </c>
      <c r="U349" s="60">
        <f t="shared" si="81"/>
        <v>4.4017857142857144</v>
      </c>
      <c r="V349" s="60">
        <f t="shared" si="82"/>
        <v>3.6815476190476191</v>
      </c>
      <c r="W349" s="60">
        <f t="shared" si="83"/>
        <v>2.666666666666667</v>
      </c>
      <c r="X349" s="61" t="s">
        <v>294</v>
      </c>
      <c r="Y349" s="1"/>
      <c r="Z349" s="1"/>
    </row>
    <row r="350" spans="1:26" ht="15.75" customHeight="1">
      <c r="A350" s="54"/>
      <c r="B350" s="75" t="s">
        <v>1390</v>
      </c>
      <c r="C350" s="33"/>
      <c r="D350" s="55" t="s">
        <v>1585</v>
      </c>
      <c r="E350" s="55" t="s">
        <v>1586</v>
      </c>
      <c r="F350" s="56"/>
      <c r="G350" s="57" t="s">
        <v>1587</v>
      </c>
      <c r="H350" s="58">
        <v>15000</v>
      </c>
      <c r="I350" s="58">
        <f t="shared" si="70"/>
        <v>10500</v>
      </c>
      <c r="J350" s="58">
        <f t="shared" si="71"/>
        <v>318.18181818181819</v>
      </c>
      <c r="K350" s="58">
        <v>2800</v>
      </c>
      <c r="L350" s="59">
        <f t="shared" si="72"/>
        <v>2750</v>
      </c>
      <c r="M350" s="58">
        <f t="shared" si="73"/>
        <v>2062.5</v>
      </c>
      <c r="N350" s="58">
        <f t="shared" si="74"/>
        <v>1787.5</v>
      </c>
      <c r="O350" s="58">
        <f t="shared" si="75"/>
        <v>1400</v>
      </c>
      <c r="P350" s="58">
        <f t="shared" si="76"/>
        <v>2431.818181818182</v>
      </c>
      <c r="Q350" s="60">
        <f t="shared" si="77"/>
        <v>7.6428571428571432</v>
      </c>
      <c r="R350" s="58">
        <f t="shared" si="78"/>
        <v>1744.3181818181818</v>
      </c>
      <c r="S350" s="58">
        <f t="shared" si="79"/>
        <v>1469.3181818181818</v>
      </c>
      <c r="T350" s="58">
        <f t="shared" si="80"/>
        <v>1081.8181818181818</v>
      </c>
      <c r="U350" s="60">
        <f t="shared" si="81"/>
        <v>5.4821428571428568</v>
      </c>
      <c r="V350" s="60">
        <f t="shared" si="82"/>
        <v>4.6178571428571429</v>
      </c>
      <c r="W350" s="60">
        <f t="shared" si="83"/>
        <v>3.4</v>
      </c>
      <c r="X350" s="61"/>
      <c r="Y350" s="1"/>
      <c r="Z350" s="1"/>
    </row>
    <row r="351" spans="1:26" ht="15.75" customHeight="1">
      <c r="A351" s="86"/>
      <c r="B351" s="75" t="s">
        <v>15</v>
      </c>
      <c r="C351" s="69"/>
      <c r="D351" s="55" t="s">
        <v>1588</v>
      </c>
      <c r="E351" s="55"/>
      <c r="F351" s="56"/>
      <c r="G351" s="57" t="s">
        <v>1589</v>
      </c>
      <c r="H351" s="58">
        <v>20000</v>
      </c>
      <c r="I351" s="58">
        <f t="shared" si="70"/>
        <v>14000</v>
      </c>
      <c r="J351" s="58">
        <f t="shared" si="71"/>
        <v>424.24242424242425</v>
      </c>
      <c r="K351" s="58">
        <v>2800</v>
      </c>
      <c r="L351" s="59">
        <f t="shared" si="72"/>
        <v>2750</v>
      </c>
      <c r="M351" s="58">
        <f t="shared" si="73"/>
        <v>2062.5</v>
      </c>
      <c r="N351" s="58">
        <f t="shared" si="74"/>
        <v>1787.5</v>
      </c>
      <c r="O351" s="58">
        <f t="shared" si="75"/>
        <v>1400</v>
      </c>
      <c r="P351" s="58">
        <f t="shared" si="76"/>
        <v>2325.757575757576</v>
      </c>
      <c r="Q351" s="60">
        <f t="shared" si="77"/>
        <v>5.4821428571428577</v>
      </c>
      <c r="R351" s="58">
        <f t="shared" si="78"/>
        <v>1638.2575757575758</v>
      </c>
      <c r="S351" s="58">
        <f t="shared" si="79"/>
        <v>1363.2575757575758</v>
      </c>
      <c r="T351" s="58">
        <f t="shared" si="80"/>
        <v>975.75757575757575</v>
      </c>
      <c r="U351" s="60">
        <f t="shared" si="81"/>
        <v>3.8616071428571428</v>
      </c>
      <c r="V351" s="60">
        <f t="shared" si="82"/>
        <v>3.2133928571428569</v>
      </c>
      <c r="W351" s="60">
        <f t="shared" si="83"/>
        <v>2.2999999999999998</v>
      </c>
      <c r="X351" s="61"/>
      <c r="Y351" s="1"/>
      <c r="Z351" s="1"/>
    </row>
    <row r="352" spans="1:26" ht="15.75" customHeight="1">
      <c r="A352" s="51" t="s">
        <v>1590</v>
      </c>
      <c r="B352" s="75" t="s">
        <v>217</v>
      </c>
      <c r="C352" s="43"/>
      <c r="D352" s="55" t="s">
        <v>251</v>
      </c>
      <c r="E352" s="55"/>
      <c r="F352" s="56"/>
      <c r="G352" s="57" t="s">
        <v>1591</v>
      </c>
      <c r="H352" s="58">
        <v>8000</v>
      </c>
      <c r="I352" s="58">
        <f t="shared" si="70"/>
        <v>5600</v>
      </c>
      <c r="J352" s="58">
        <f t="shared" si="71"/>
        <v>169.69696969696969</v>
      </c>
      <c r="K352" s="58">
        <v>950</v>
      </c>
      <c r="L352" s="59">
        <f t="shared" si="72"/>
        <v>900</v>
      </c>
      <c r="M352" s="58">
        <f t="shared" si="73"/>
        <v>675</v>
      </c>
      <c r="N352" s="58">
        <f t="shared" si="74"/>
        <v>585</v>
      </c>
      <c r="O352" s="58">
        <f t="shared" si="75"/>
        <v>475</v>
      </c>
      <c r="P352" s="58">
        <f t="shared" si="76"/>
        <v>730.30303030303025</v>
      </c>
      <c r="Q352" s="60">
        <f t="shared" si="77"/>
        <v>4.3035714285714288</v>
      </c>
      <c r="R352" s="58">
        <f t="shared" si="78"/>
        <v>505.30303030303031</v>
      </c>
      <c r="S352" s="58">
        <f t="shared" si="79"/>
        <v>415.30303030303031</v>
      </c>
      <c r="T352" s="58">
        <f t="shared" si="80"/>
        <v>305.30303030303031</v>
      </c>
      <c r="U352" s="60">
        <f t="shared" si="81"/>
        <v>2.9776785714285716</v>
      </c>
      <c r="V352" s="60">
        <f t="shared" si="82"/>
        <v>2.4473214285714286</v>
      </c>
      <c r="W352" s="60">
        <f t="shared" si="83"/>
        <v>1.799107142857143</v>
      </c>
      <c r="X352" s="61" t="s">
        <v>296</v>
      </c>
      <c r="Y352" s="1"/>
      <c r="Z352" s="1"/>
    </row>
    <row r="353" spans="1:26" ht="15.75" customHeight="1">
      <c r="A353" s="54"/>
      <c r="B353" s="75" t="s">
        <v>1592</v>
      </c>
      <c r="C353" s="33"/>
      <c r="D353" s="55">
        <v>2</v>
      </c>
      <c r="E353" s="55" t="s">
        <v>68</v>
      </c>
      <c r="F353" s="56"/>
      <c r="G353" s="57" t="s">
        <v>1593</v>
      </c>
      <c r="H353" s="58">
        <v>7000</v>
      </c>
      <c r="I353" s="58">
        <f t="shared" si="70"/>
        <v>4900</v>
      </c>
      <c r="J353" s="58">
        <f t="shared" si="71"/>
        <v>148.4848484848485</v>
      </c>
      <c r="K353" s="58">
        <v>1000</v>
      </c>
      <c r="L353" s="59">
        <f t="shared" si="72"/>
        <v>950</v>
      </c>
      <c r="M353" s="58">
        <f t="shared" si="73"/>
        <v>712.5</v>
      </c>
      <c r="N353" s="58">
        <f t="shared" si="74"/>
        <v>617.5</v>
      </c>
      <c r="O353" s="58">
        <f t="shared" si="75"/>
        <v>500</v>
      </c>
      <c r="P353" s="58">
        <f t="shared" si="76"/>
        <v>801.5151515151515</v>
      </c>
      <c r="Q353" s="60">
        <f t="shared" si="77"/>
        <v>5.3979591836734686</v>
      </c>
      <c r="R353" s="58">
        <f t="shared" si="78"/>
        <v>564.0151515151515</v>
      </c>
      <c r="S353" s="58">
        <f t="shared" si="79"/>
        <v>469.0151515151515</v>
      </c>
      <c r="T353" s="58">
        <f t="shared" si="80"/>
        <v>351.5151515151515</v>
      </c>
      <c r="U353" s="60">
        <f t="shared" si="81"/>
        <v>3.7984693877551017</v>
      </c>
      <c r="V353" s="60">
        <f t="shared" si="82"/>
        <v>3.1586734693877547</v>
      </c>
      <c r="W353" s="60">
        <f t="shared" si="83"/>
        <v>2.3673469387755097</v>
      </c>
      <c r="X353" s="61"/>
      <c r="Y353" s="1"/>
      <c r="Z353" s="1"/>
    </row>
    <row r="354" spans="1:26" ht="15.75" customHeight="1">
      <c r="A354" s="54"/>
      <c r="B354" s="160" t="s">
        <v>388</v>
      </c>
      <c r="C354" s="33"/>
      <c r="D354" s="55" t="s">
        <v>1594</v>
      </c>
      <c r="E354" s="55" t="s">
        <v>607</v>
      </c>
      <c r="F354" s="56"/>
      <c r="G354" s="57" t="s">
        <v>1595</v>
      </c>
      <c r="H354" s="58">
        <v>13000</v>
      </c>
      <c r="I354" s="58">
        <f t="shared" si="70"/>
        <v>9100</v>
      </c>
      <c r="J354" s="58">
        <f t="shared" si="71"/>
        <v>275.75757575757575</v>
      </c>
      <c r="K354" s="58">
        <v>950</v>
      </c>
      <c r="L354" s="59">
        <f t="shared" si="72"/>
        <v>900</v>
      </c>
      <c r="M354" s="58">
        <f t="shared" si="73"/>
        <v>675</v>
      </c>
      <c r="N354" s="58">
        <f t="shared" si="74"/>
        <v>585</v>
      </c>
      <c r="O354" s="58">
        <f t="shared" si="75"/>
        <v>475</v>
      </c>
      <c r="P354" s="58">
        <f t="shared" si="76"/>
        <v>624.24242424242425</v>
      </c>
      <c r="Q354" s="60">
        <f t="shared" si="77"/>
        <v>2.2637362637362637</v>
      </c>
      <c r="R354" s="58">
        <f t="shared" si="78"/>
        <v>399.24242424242425</v>
      </c>
      <c r="S354" s="58">
        <f t="shared" si="79"/>
        <v>309.24242424242425</v>
      </c>
      <c r="T354" s="58">
        <f t="shared" si="80"/>
        <v>199.24242424242425</v>
      </c>
      <c r="U354" s="60">
        <f t="shared" si="81"/>
        <v>1.4478021978021978</v>
      </c>
      <c r="V354" s="60">
        <f t="shared" si="82"/>
        <v>1.1214285714285714</v>
      </c>
      <c r="W354" s="60">
        <f t="shared" si="83"/>
        <v>0.72252747252747263</v>
      </c>
      <c r="X354" s="61"/>
      <c r="Y354" s="1"/>
      <c r="Z354" s="1"/>
    </row>
    <row r="355" spans="1:26" ht="15.75" customHeight="1">
      <c r="A355" s="54"/>
      <c r="B355" s="162"/>
      <c r="C355" s="33"/>
      <c r="D355" s="55" t="s">
        <v>1596</v>
      </c>
      <c r="E355" s="55" t="s">
        <v>607</v>
      </c>
      <c r="F355" s="56"/>
      <c r="G355" s="57" t="s">
        <v>1597</v>
      </c>
      <c r="H355" s="58">
        <v>12000</v>
      </c>
      <c r="I355" s="58">
        <f t="shared" si="70"/>
        <v>8400</v>
      </c>
      <c r="J355" s="58">
        <f t="shared" si="71"/>
        <v>254.54545454545453</v>
      </c>
      <c r="K355" s="58">
        <v>950</v>
      </c>
      <c r="L355" s="59">
        <f t="shared" si="72"/>
        <v>900</v>
      </c>
      <c r="M355" s="58">
        <f t="shared" si="73"/>
        <v>675</v>
      </c>
      <c r="N355" s="58">
        <f t="shared" si="74"/>
        <v>585</v>
      </c>
      <c r="O355" s="58">
        <f t="shared" si="75"/>
        <v>475</v>
      </c>
      <c r="P355" s="58">
        <f t="shared" si="76"/>
        <v>645.4545454545455</v>
      </c>
      <c r="Q355" s="60">
        <f t="shared" si="77"/>
        <v>2.535714285714286</v>
      </c>
      <c r="R355" s="58">
        <f t="shared" si="78"/>
        <v>420.4545454545455</v>
      </c>
      <c r="S355" s="58">
        <f t="shared" si="79"/>
        <v>330.4545454545455</v>
      </c>
      <c r="T355" s="58">
        <f t="shared" si="80"/>
        <v>220.45454545454547</v>
      </c>
      <c r="U355" s="60">
        <f t="shared" si="81"/>
        <v>1.6517857142857146</v>
      </c>
      <c r="V355" s="60">
        <f t="shared" si="82"/>
        <v>1.298214285714286</v>
      </c>
      <c r="W355" s="60">
        <f t="shared" si="83"/>
        <v>0.86607142857142871</v>
      </c>
      <c r="X355" s="61"/>
      <c r="Y355" s="1"/>
      <c r="Z355" s="1"/>
    </row>
    <row r="356" spans="1:26" ht="15.75" customHeight="1">
      <c r="A356" s="54"/>
      <c r="B356" s="162"/>
      <c r="C356" s="33"/>
      <c r="D356" s="55" t="s">
        <v>1598</v>
      </c>
      <c r="E356" s="55" t="s">
        <v>607</v>
      </c>
      <c r="F356" s="56"/>
      <c r="G356" s="57" t="s">
        <v>1599</v>
      </c>
      <c r="H356" s="58">
        <v>14000</v>
      </c>
      <c r="I356" s="58">
        <f t="shared" si="70"/>
        <v>9800</v>
      </c>
      <c r="J356" s="58">
        <f t="shared" si="71"/>
        <v>296.969696969697</v>
      </c>
      <c r="K356" s="58">
        <v>950</v>
      </c>
      <c r="L356" s="59">
        <f t="shared" si="72"/>
        <v>900</v>
      </c>
      <c r="M356" s="58">
        <f t="shared" si="73"/>
        <v>675</v>
      </c>
      <c r="N356" s="58">
        <f t="shared" si="74"/>
        <v>585</v>
      </c>
      <c r="O356" s="58">
        <f t="shared" si="75"/>
        <v>475</v>
      </c>
      <c r="P356" s="58">
        <f t="shared" si="76"/>
        <v>603.030303030303</v>
      </c>
      <c r="Q356" s="60">
        <f t="shared" si="77"/>
        <v>2.0306122448979589</v>
      </c>
      <c r="R356" s="58">
        <f t="shared" si="78"/>
        <v>378.030303030303</v>
      </c>
      <c r="S356" s="58">
        <f t="shared" si="79"/>
        <v>288.030303030303</v>
      </c>
      <c r="T356" s="58">
        <f t="shared" si="80"/>
        <v>178.030303030303</v>
      </c>
      <c r="U356" s="60">
        <f t="shared" si="81"/>
        <v>1.2729591836734693</v>
      </c>
      <c r="V356" s="60">
        <f t="shared" si="82"/>
        <v>0.96989795918367327</v>
      </c>
      <c r="W356" s="60">
        <f t="shared" si="83"/>
        <v>0.59948979591836715</v>
      </c>
      <c r="X356" s="61"/>
      <c r="Y356" s="1"/>
      <c r="Z356" s="1"/>
    </row>
    <row r="357" spans="1:26" ht="15.75" customHeight="1">
      <c r="A357" s="54"/>
      <c r="B357" s="162"/>
      <c r="C357" s="33"/>
      <c r="D357" s="55" t="s">
        <v>412</v>
      </c>
      <c r="E357" s="55" t="s">
        <v>607</v>
      </c>
      <c r="F357" s="56"/>
      <c r="G357" s="57" t="s">
        <v>1600</v>
      </c>
      <c r="H357" s="58">
        <v>15000</v>
      </c>
      <c r="I357" s="58">
        <f t="shared" si="70"/>
        <v>10500</v>
      </c>
      <c r="J357" s="58">
        <f t="shared" si="71"/>
        <v>318.18181818181819</v>
      </c>
      <c r="K357" s="58">
        <v>1050</v>
      </c>
      <c r="L357" s="59">
        <f t="shared" si="72"/>
        <v>1000</v>
      </c>
      <c r="M357" s="58">
        <f t="shared" si="73"/>
        <v>750</v>
      </c>
      <c r="N357" s="58">
        <f t="shared" si="74"/>
        <v>650</v>
      </c>
      <c r="O357" s="58">
        <f t="shared" si="75"/>
        <v>525</v>
      </c>
      <c r="P357" s="58">
        <f t="shared" si="76"/>
        <v>681.81818181818176</v>
      </c>
      <c r="Q357" s="60">
        <f t="shared" si="77"/>
        <v>2.1428571428571428</v>
      </c>
      <c r="R357" s="58">
        <f t="shared" si="78"/>
        <v>431.81818181818181</v>
      </c>
      <c r="S357" s="58">
        <f t="shared" si="79"/>
        <v>331.81818181818181</v>
      </c>
      <c r="T357" s="58">
        <f t="shared" si="80"/>
        <v>206.81818181818181</v>
      </c>
      <c r="U357" s="60">
        <f t="shared" si="81"/>
        <v>1.3571428571428572</v>
      </c>
      <c r="V357" s="60">
        <f t="shared" si="82"/>
        <v>1.0428571428571429</v>
      </c>
      <c r="W357" s="60">
        <f t="shared" si="83"/>
        <v>0.65</v>
      </c>
      <c r="X357" s="61" t="s">
        <v>301</v>
      </c>
      <c r="Y357" s="1"/>
      <c r="Z357" s="1"/>
    </row>
    <row r="358" spans="1:26" ht="15.75" customHeight="1">
      <c r="A358" s="54"/>
      <c r="B358" s="162"/>
      <c r="C358" s="33"/>
      <c r="D358" s="55" t="s">
        <v>412</v>
      </c>
      <c r="E358" s="55" t="s">
        <v>386</v>
      </c>
      <c r="F358" s="55"/>
      <c r="G358" s="57" t="s">
        <v>1601</v>
      </c>
      <c r="H358" s="58">
        <v>25000</v>
      </c>
      <c r="I358" s="58">
        <f t="shared" si="70"/>
        <v>17500</v>
      </c>
      <c r="J358" s="58">
        <f t="shared" si="71"/>
        <v>530.30303030303025</v>
      </c>
      <c r="K358" s="58">
        <v>1900</v>
      </c>
      <c r="L358" s="59">
        <f t="shared" si="72"/>
        <v>1850</v>
      </c>
      <c r="M358" s="58">
        <f t="shared" si="73"/>
        <v>1387.5</v>
      </c>
      <c r="N358" s="58">
        <f t="shared" si="74"/>
        <v>1202.5</v>
      </c>
      <c r="O358" s="58">
        <f t="shared" si="75"/>
        <v>950</v>
      </c>
      <c r="P358" s="58">
        <f t="shared" si="76"/>
        <v>1319.6969696969697</v>
      </c>
      <c r="Q358" s="60">
        <f t="shared" si="77"/>
        <v>2.4885714285714289</v>
      </c>
      <c r="R358" s="58">
        <f t="shared" si="78"/>
        <v>857.19696969696975</v>
      </c>
      <c r="S358" s="58">
        <f t="shared" si="79"/>
        <v>672.19696969696975</v>
      </c>
      <c r="T358" s="58">
        <f t="shared" si="80"/>
        <v>419.69696969696975</v>
      </c>
      <c r="U358" s="60">
        <f t="shared" si="81"/>
        <v>1.6164285714285718</v>
      </c>
      <c r="V358" s="60">
        <f t="shared" si="82"/>
        <v>1.2675714285714288</v>
      </c>
      <c r="W358" s="60">
        <f t="shared" si="83"/>
        <v>0.79142857142857159</v>
      </c>
      <c r="X358" s="61"/>
      <c r="Y358" s="1"/>
      <c r="Z358" s="1"/>
    </row>
    <row r="359" spans="1:26" ht="15.75" customHeight="1">
      <c r="A359" s="54"/>
      <c r="B359" s="162"/>
      <c r="C359" s="33"/>
      <c r="D359" s="55" t="s">
        <v>1253</v>
      </c>
      <c r="E359" s="55" t="s">
        <v>68</v>
      </c>
      <c r="F359" s="56"/>
      <c r="G359" s="57" t="s">
        <v>1602</v>
      </c>
      <c r="H359" s="58">
        <v>9000</v>
      </c>
      <c r="I359" s="58">
        <f t="shared" si="70"/>
        <v>6300</v>
      </c>
      <c r="J359" s="58">
        <f t="shared" si="71"/>
        <v>190.90909090909091</v>
      </c>
      <c r="K359" s="58">
        <v>1000</v>
      </c>
      <c r="L359" s="59">
        <f t="shared" si="72"/>
        <v>950</v>
      </c>
      <c r="M359" s="58">
        <f t="shared" si="73"/>
        <v>712.5</v>
      </c>
      <c r="N359" s="58">
        <f t="shared" si="74"/>
        <v>617.5</v>
      </c>
      <c r="O359" s="58">
        <f t="shared" si="75"/>
        <v>500</v>
      </c>
      <c r="P359" s="58">
        <f t="shared" si="76"/>
        <v>759.09090909090912</v>
      </c>
      <c r="Q359" s="60">
        <f t="shared" si="77"/>
        <v>3.9761904761904763</v>
      </c>
      <c r="R359" s="58">
        <f t="shared" si="78"/>
        <v>521.59090909090912</v>
      </c>
      <c r="S359" s="58">
        <f t="shared" si="79"/>
        <v>426.59090909090912</v>
      </c>
      <c r="T359" s="58">
        <f t="shared" si="80"/>
        <v>309.09090909090912</v>
      </c>
      <c r="U359" s="60">
        <f t="shared" si="81"/>
        <v>2.7321428571428572</v>
      </c>
      <c r="V359" s="60">
        <f t="shared" si="82"/>
        <v>2.2345238095238096</v>
      </c>
      <c r="W359" s="60">
        <f t="shared" si="83"/>
        <v>1.6190476190476193</v>
      </c>
      <c r="X359" s="61" t="s">
        <v>304</v>
      </c>
      <c r="Y359" s="1"/>
      <c r="Z359" s="1"/>
    </row>
    <row r="360" spans="1:26" ht="15.75" customHeight="1">
      <c r="A360" s="54"/>
      <c r="B360" s="161"/>
      <c r="C360" s="33"/>
      <c r="D360" s="55" t="s">
        <v>1253</v>
      </c>
      <c r="E360" s="55" t="s">
        <v>1026</v>
      </c>
      <c r="F360" s="56"/>
      <c r="G360" s="57" t="s">
        <v>1603</v>
      </c>
      <c r="H360" s="58">
        <v>9000</v>
      </c>
      <c r="I360" s="58">
        <f t="shared" si="70"/>
        <v>6300</v>
      </c>
      <c r="J360" s="58">
        <f t="shared" si="71"/>
        <v>190.90909090909091</v>
      </c>
      <c r="K360" s="58">
        <v>1000</v>
      </c>
      <c r="L360" s="59">
        <f t="shared" si="72"/>
        <v>950</v>
      </c>
      <c r="M360" s="58">
        <f t="shared" si="73"/>
        <v>712.5</v>
      </c>
      <c r="N360" s="58">
        <f t="shared" si="74"/>
        <v>617.5</v>
      </c>
      <c r="O360" s="58">
        <f t="shared" si="75"/>
        <v>500</v>
      </c>
      <c r="P360" s="58">
        <f t="shared" si="76"/>
        <v>759.09090909090912</v>
      </c>
      <c r="Q360" s="60">
        <f t="shared" si="77"/>
        <v>3.9761904761904763</v>
      </c>
      <c r="R360" s="58">
        <f t="shared" si="78"/>
        <v>521.59090909090912</v>
      </c>
      <c r="S360" s="58">
        <f t="shared" si="79"/>
        <v>426.59090909090912</v>
      </c>
      <c r="T360" s="58">
        <f t="shared" si="80"/>
        <v>309.09090909090912</v>
      </c>
      <c r="U360" s="60">
        <f t="shared" si="81"/>
        <v>2.7321428571428572</v>
      </c>
      <c r="V360" s="60">
        <f t="shared" si="82"/>
        <v>2.2345238095238096</v>
      </c>
      <c r="W360" s="60">
        <f t="shared" si="83"/>
        <v>1.6190476190476193</v>
      </c>
      <c r="X360" s="61" t="s">
        <v>305</v>
      </c>
      <c r="Y360" s="1"/>
      <c r="Z360" s="1"/>
    </row>
    <row r="361" spans="1:26" ht="15.75" customHeight="1">
      <c r="A361" s="54"/>
      <c r="B361" s="160" t="s">
        <v>446</v>
      </c>
      <c r="C361" s="33"/>
      <c r="D361" s="55" t="s">
        <v>608</v>
      </c>
      <c r="E361" s="55" t="s">
        <v>1116</v>
      </c>
      <c r="F361" s="56"/>
      <c r="G361" s="57" t="s">
        <v>1604</v>
      </c>
      <c r="H361" s="58">
        <v>28000</v>
      </c>
      <c r="I361" s="58">
        <f t="shared" si="70"/>
        <v>19600</v>
      </c>
      <c r="J361" s="58">
        <f t="shared" si="71"/>
        <v>593.93939393939399</v>
      </c>
      <c r="K361" s="58">
        <v>1900</v>
      </c>
      <c r="L361" s="59">
        <f t="shared" si="72"/>
        <v>1850</v>
      </c>
      <c r="M361" s="58">
        <f t="shared" si="73"/>
        <v>1387.5</v>
      </c>
      <c r="N361" s="58">
        <f t="shared" si="74"/>
        <v>1202.5</v>
      </c>
      <c r="O361" s="58">
        <f t="shared" si="75"/>
        <v>950</v>
      </c>
      <c r="P361" s="58">
        <f t="shared" si="76"/>
        <v>1256.060606060606</v>
      </c>
      <c r="Q361" s="60">
        <f t="shared" si="77"/>
        <v>2.1147959183673466</v>
      </c>
      <c r="R361" s="58">
        <f t="shared" si="78"/>
        <v>793.56060606060601</v>
      </c>
      <c r="S361" s="58">
        <f t="shared" si="79"/>
        <v>608.56060606060601</v>
      </c>
      <c r="T361" s="58">
        <f t="shared" si="80"/>
        <v>356.06060606060601</v>
      </c>
      <c r="U361" s="60">
        <f t="shared" si="81"/>
        <v>1.3360969387755099</v>
      </c>
      <c r="V361" s="60">
        <f t="shared" si="82"/>
        <v>1.0246173469387754</v>
      </c>
      <c r="W361" s="60">
        <f t="shared" si="83"/>
        <v>0.59948979591836715</v>
      </c>
      <c r="X361" s="61"/>
      <c r="Y361" s="1"/>
      <c r="Z361" s="1"/>
    </row>
    <row r="362" spans="1:26" ht="15.75" customHeight="1">
      <c r="A362" s="54"/>
      <c r="B362" s="162"/>
      <c r="C362" s="33"/>
      <c r="D362" s="55" t="s">
        <v>608</v>
      </c>
      <c r="E362" s="55" t="s">
        <v>1605</v>
      </c>
      <c r="F362" s="56"/>
      <c r="G362" s="57" t="s">
        <v>1606</v>
      </c>
      <c r="H362" s="58">
        <v>12000</v>
      </c>
      <c r="I362" s="58">
        <f t="shared" si="70"/>
        <v>8400</v>
      </c>
      <c r="J362" s="58">
        <f t="shared" si="71"/>
        <v>254.54545454545453</v>
      </c>
      <c r="K362" s="58">
        <v>900</v>
      </c>
      <c r="L362" s="59">
        <f t="shared" si="72"/>
        <v>850</v>
      </c>
      <c r="M362" s="58">
        <f t="shared" si="73"/>
        <v>637.5</v>
      </c>
      <c r="N362" s="58">
        <f t="shared" si="74"/>
        <v>552.5</v>
      </c>
      <c r="O362" s="58">
        <f t="shared" si="75"/>
        <v>450</v>
      </c>
      <c r="P362" s="58">
        <f t="shared" si="76"/>
        <v>595.4545454545455</v>
      </c>
      <c r="Q362" s="60">
        <f t="shared" si="77"/>
        <v>2.3392857142857144</v>
      </c>
      <c r="R362" s="58">
        <f t="shared" si="78"/>
        <v>382.9545454545455</v>
      </c>
      <c r="S362" s="58">
        <f t="shared" si="79"/>
        <v>297.9545454545455</v>
      </c>
      <c r="T362" s="58">
        <f t="shared" si="80"/>
        <v>195.45454545454547</v>
      </c>
      <c r="U362" s="60">
        <f t="shared" si="81"/>
        <v>1.504464285714286</v>
      </c>
      <c r="V362" s="60">
        <f t="shared" si="82"/>
        <v>1.1705357142857145</v>
      </c>
      <c r="W362" s="60">
        <f t="shared" si="83"/>
        <v>0.7678571428571429</v>
      </c>
      <c r="X362" s="61"/>
      <c r="Y362" s="1"/>
      <c r="Z362" s="1"/>
    </row>
    <row r="363" spans="1:26" ht="15.75" customHeight="1">
      <c r="A363" s="54"/>
      <c r="B363" s="162"/>
      <c r="C363" s="33"/>
      <c r="D363" s="55" t="s">
        <v>608</v>
      </c>
      <c r="E363" s="55" t="s">
        <v>1607</v>
      </c>
      <c r="F363" s="56"/>
      <c r="G363" s="57" t="s">
        <v>1608</v>
      </c>
      <c r="H363" s="58">
        <v>15000</v>
      </c>
      <c r="I363" s="58">
        <f t="shared" si="70"/>
        <v>10500</v>
      </c>
      <c r="J363" s="58">
        <f t="shared" si="71"/>
        <v>318.18181818181819</v>
      </c>
      <c r="K363" s="58">
        <v>900</v>
      </c>
      <c r="L363" s="59">
        <f t="shared" si="72"/>
        <v>850</v>
      </c>
      <c r="M363" s="58">
        <f t="shared" si="73"/>
        <v>637.5</v>
      </c>
      <c r="N363" s="58">
        <f t="shared" si="74"/>
        <v>552.5</v>
      </c>
      <c r="O363" s="58">
        <f t="shared" si="75"/>
        <v>450</v>
      </c>
      <c r="P363" s="58">
        <f t="shared" si="76"/>
        <v>531.81818181818176</v>
      </c>
      <c r="Q363" s="60">
        <f t="shared" si="77"/>
        <v>1.6714285714285713</v>
      </c>
      <c r="R363" s="58">
        <f t="shared" si="78"/>
        <v>319.31818181818181</v>
      </c>
      <c r="S363" s="58">
        <f t="shared" si="79"/>
        <v>234.31818181818181</v>
      </c>
      <c r="T363" s="58">
        <f t="shared" si="80"/>
        <v>131.81818181818181</v>
      </c>
      <c r="U363" s="60">
        <f t="shared" si="81"/>
        <v>1.0035714285714286</v>
      </c>
      <c r="V363" s="60">
        <f t="shared" si="82"/>
        <v>0.73642857142857143</v>
      </c>
      <c r="W363" s="60">
        <f t="shared" si="83"/>
        <v>0.41428571428571426</v>
      </c>
      <c r="X363" s="61"/>
      <c r="Y363" s="1"/>
      <c r="Z363" s="1"/>
    </row>
    <row r="364" spans="1:26" ht="15.75" customHeight="1">
      <c r="A364" s="54"/>
      <c r="B364" s="162"/>
      <c r="C364" s="33"/>
      <c r="D364" s="55" t="s">
        <v>450</v>
      </c>
      <c r="E364" s="55" t="s">
        <v>1609</v>
      </c>
      <c r="F364" s="56"/>
      <c r="G364" s="57" t="s">
        <v>1610</v>
      </c>
      <c r="H364" s="58">
        <v>6000</v>
      </c>
      <c r="I364" s="58">
        <f t="shared" si="70"/>
        <v>4200</v>
      </c>
      <c r="J364" s="58">
        <f t="shared" si="71"/>
        <v>127.27272727272727</v>
      </c>
      <c r="K364" s="58">
        <v>700</v>
      </c>
      <c r="L364" s="59">
        <f t="shared" si="72"/>
        <v>650</v>
      </c>
      <c r="M364" s="58">
        <f t="shared" si="73"/>
        <v>487.5</v>
      </c>
      <c r="N364" s="58">
        <f t="shared" si="74"/>
        <v>422.5</v>
      </c>
      <c r="O364" s="58">
        <f t="shared" si="75"/>
        <v>350</v>
      </c>
      <c r="P364" s="58">
        <f t="shared" si="76"/>
        <v>522.72727272727275</v>
      </c>
      <c r="Q364" s="60">
        <f t="shared" si="77"/>
        <v>4.1071428571428577</v>
      </c>
      <c r="R364" s="58">
        <f t="shared" si="78"/>
        <v>360.22727272727275</v>
      </c>
      <c r="S364" s="58">
        <f t="shared" si="79"/>
        <v>295.22727272727275</v>
      </c>
      <c r="T364" s="58">
        <f t="shared" si="80"/>
        <v>222.72727272727275</v>
      </c>
      <c r="U364" s="60">
        <f t="shared" si="81"/>
        <v>2.8303571428571432</v>
      </c>
      <c r="V364" s="60">
        <f t="shared" si="82"/>
        <v>2.3196428571428576</v>
      </c>
      <c r="W364" s="60">
        <f t="shared" si="83"/>
        <v>1.7500000000000002</v>
      </c>
      <c r="X364" s="61"/>
      <c r="Y364" s="1"/>
      <c r="Z364" s="1"/>
    </row>
    <row r="365" spans="1:26" ht="15.75" customHeight="1">
      <c r="A365" s="54"/>
      <c r="B365" s="162"/>
      <c r="C365" s="33"/>
      <c r="D365" s="55" t="s">
        <v>450</v>
      </c>
      <c r="E365" s="55" t="s">
        <v>1611</v>
      </c>
      <c r="F365" s="56"/>
      <c r="G365" s="57" t="s">
        <v>1612</v>
      </c>
      <c r="H365" s="58">
        <v>13000</v>
      </c>
      <c r="I365" s="58">
        <f t="shared" si="70"/>
        <v>9100</v>
      </c>
      <c r="J365" s="58">
        <f t="shared" si="71"/>
        <v>275.75757575757575</v>
      </c>
      <c r="K365" s="58">
        <v>700</v>
      </c>
      <c r="L365" s="59">
        <f t="shared" si="72"/>
        <v>650</v>
      </c>
      <c r="M365" s="58">
        <f t="shared" si="73"/>
        <v>487.5</v>
      </c>
      <c r="N365" s="58">
        <f t="shared" si="74"/>
        <v>422.5</v>
      </c>
      <c r="O365" s="58">
        <f t="shared" si="75"/>
        <v>350</v>
      </c>
      <c r="P365" s="58">
        <f t="shared" si="76"/>
        <v>374.24242424242425</v>
      </c>
      <c r="Q365" s="60">
        <f t="shared" si="77"/>
        <v>1.3571428571428572</v>
      </c>
      <c r="R365" s="58">
        <f t="shared" si="78"/>
        <v>211.74242424242425</v>
      </c>
      <c r="S365" s="58">
        <f t="shared" si="79"/>
        <v>146.74242424242425</v>
      </c>
      <c r="T365" s="58">
        <f t="shared" si="80"/>
        <v>74.242424242424249</v>
      </c>
      <c r="U365" s="60">
        <f t="shared" si="81"/>
        <v>0.7678571428571429</v>
      </c>
      <c r="V365" s="60">
        <f t="shared" si="82"/>
        <v>0.53214285714285714</v>
      </c>
      <c r="W365" s="60">
        <f t="shared" si="83"/>
        <v>0.26923076923076927</v>
      </c>
      <c r="X365" s="61"/>
      <c r="Y365" s="1"/>
      <c r="Z365" s="1"/>
    </row>
    <row r="366" spans="1:26" ht="15.75" customHeight="1">
      <c r="A366" s="54"/>
      <c r="B366" s="162"/>
      <c r="C366" s="33"/>
      <c r="D366" s="55" t="s">
        <v>450</v>
      </c>
      <c r="E366" s="55" t="s">
        <v>1611</v>
      </c>
      <c r="F366" s="93" t="s">
        <v>1613</v>
      </c>
      <c r="G366" s="57" t="s">
        <v>1614</v>
      </c>
      <c r="H366" s="58">
        <v>10000</v>
      </c>
      <c r="I366" s="58">
        <f t="shared" si="70"/>
        <v>7000</v>
      </c>
      <c r="J366" s="58">
        <f t="shared" si="71"/>
        <v>212.12121212121212</v>
      </c>
      <c r="K366" s="58">
        <v>700</v>
      </c>
      <c r="L366" s="59">
        <f t="shared" si="72"/>
        <v>650</v>
      </c>
      <c r="M366" s="58">
        <f t="shared" si="73"/>
        <v>487.5</v>
      </c>
      <c r="N366" s="58">
        <f t="shared" si="74"/>
        <v>422.5</v>
      </c>
      <c r="O366" s="58">
        <f t="shared" si="75"/>
        <v>350</v>
      </c>
      <c r="P366" s="58">
        <f t="shared" si="76"/>
        <v>437.87878787878788</v>
      </c>
      <c r="Q366" s="60">
        <f t="shared" si="77"/>
        <v>2.0642857142857141</v>
      </c>
      <c r="R366" s="58">
        <f t="shared" si="78"/>
        <v>275.37878787878788</v>
      </c>
      <c r="S366" s="58">
        <f t="shared" si="79"/>
        <v>210.37878787878788</v>
      </c>
      <c r="T366" s="58">
        <f t="shared" si="80"/>
        <v>137.87878787878788</v>
      </c>
      <c r="U366" s="60">
        <f t="shared" si="81"/>
        <v>1.2982142857142858</v>
      </c>
      <c r="V366" s="60">
        <f t="shared" si="82"/>
        <v>0.99178571428571427</v>
      </c>
      <c r="W366" s="60">
        <f t="shared" si="83"/>
        <v>0.65</v>
      </c>
      <c r="X366" s="61"/>
      <c r="Y366" s="1"/>
      <c r="Z366" s="1"/>
    </row>
    <row r="367" spans="1:26" ht="15.75" customHeight="1">
      <c r="A367" s="54"/>
      <c r="B367" s="162"/>
      <c r="C367" s="33"/>
      <c r="D367" s="55" t="s">
        <v>450</v>
      </c>
      <c r="E367" s="55" t="s">
        <v>1615</v>
      </c>
      <c r="F367" s="56"/>
      <c r="G367" s="57" t="s">
        <v>1616</v>
      </c>
      <c r="H367" s="94">
        <v>10000</v>
      </c>
      <c r="I367" s="58">
        <f t="shared" si="70"/>
        <v>7000</v>
      </c>
      <c r="J367" s="58">
        <f t="shared" si="71"/>
        <v>212.12121212121212</v>
      </c>
      <c r="K367" s="58">
        <v>700</v>
      </c>
      <c r="L367" s="59">
        <f t="shared" si="72"/>
        <v>650</v>
      </c>
      <c r="M367" s="58">
        <f t="shared" si="73"/>
        <v>487.5</v>
      </c>
      <c r="N367" s="58">
        <f t="shared" si="74"/>
        <v>422.5</v>
      </c>
      <c r="O367" s="58">
        <f t="shared" si="75"/>
        <v>350</v>
      </c>
      <c r="P367" s="58">
        <f t="shared" si="76"/>
        <v>437.87878787878788</v>
      </c>
      <c r="Q367" s="60">
        <f t="shared" si="77"/>
        <v>2.0642857142857141</v>
      </c>
      <c r="R367" s="58">
        <f t="shared" si="78"/>
        <v>275.37878787878788</v>
      </c>
      <c r="S367" s="58">
        <f t="shared" si="79"/>
        <v>210.37878787878788</v>
      </c>
      <c r="T367" s="58">
        <f t="shared" si="80"/>
        <v>137.87878787878788</v>
      </c>
      <c r="U367" s="60">
        <f t="shared" si="81"/>
        <v>1.2982142857142858</v>
      </c>
      <c r="V367" s="60">
        <f t="shared" si="82"/>
        <v>0.99178571428571427</v>
      </c>
      <c r="W367" s="60">
        <f t="shared" si="83"/>
        <v>0.65</v>
      </c>
      <c r="X367" s="61"/>
      <c r="Y367" s="1"/>
      <c r="Z367" s="1"/>
    </row>
    <row r="368" spans="1:26" ht="15.75" customHeight="1">
      <c r="A368" s="54"/>
      <c r="B368" s="161"/>
      <c r="C368" s="33"/>
      <c r="D368" s="55" t="s">
        <v>450</v>
      </c>
      <c r="E368" s="55" t="s">
        <v>1615</v>
      </c>
      <c r="F368" s="56"/>
      <c r="G368" s="57" t="s">
        <v>1617</v>
      </c>
      <c r="H368" s="58">
        <v>15000</v>
      </c>
      <c r="I368" s="58">
        <f t="shared" si="70"/>
        <v>10500</v>
      </c>
      <c r="J368" s="58">
        <f t="shared" si="71"/>
        <v>318.18181818181819</v>
      </c>
      <c r="K368" s="58">
        <v>700</v>
      </c>
      <c r="L368" s="59">
        <f t="shared" si="72"/>
        <v>650</v>
      </c>
      <c r="M368" s="58">
        <f t="shared" si="73"/>
        <v>487.5</v>
      </c>
      <c r="N368" s="58">
        <f t="shared" si="74"/>
        <v>422.5</v>
      </c>
      <c r="O368" s="58">
        <f t="shared" si="75"/>
        <v>350</v>
      </c>
      <c r="P368" s="58">
        <f t="shared" si="76"/>
        <v>331.81818181818181</v>
      </c>
      <c r="Q368" s="60">
        <f t="shared" si="77"/>
        <v>1.0428571428571429</v>
      </c>
      <c r="R368" s="58">
        <f t="shared" si="78"/>
        <v>169.31818181818181</v>
      </c>
      <c r="S368" s="58">
        <f t="shared" si="79"/>
        <v>104.31818181818181</v>
      </c>
      <c r="T368" s="58">
        <f t="shared" si="80"/>
        <v>31.818181818181813</v>
      </c>
      <c r="U368" s="60">
        <f t="shared" si="81"/>
        <v>0.53214285714285714</v>
      </c>
      <c r="V368" s="60">
        <f t="shared" si="82"/>
        <v>0.32785714285714285</v>
      </c>
      <c r="W368" s="60">
        <f t="shared" si="83"/>
        <v>9.9999999999999978E-2</v>
      </c>
      <c r="X368" s="61"/>
      <c r="Y368" s="1"/>
      <c r="Z368" s="1"/>
    </row>
    <row r="369" spans="1:26" ht="15.75" customHeight="1">
      <c r="A369" s="54"/>
      <c r="B369" s="160" t="s">
        <v>655</v>
      </c>
      <c r="C369" s="33"/>
      <c r="D369" s="55" t="s">
        <v>684</v>
      </c>
      <c r="E369" s="55" t="s">
        <v>756</v>
      </c>
      <c r="F369" s="56"/>
      <c r="G369" s="57" t="s">
        <v>1618</v>
      </c>
      <c r="H369" s="58">
        <v>12000</v>
      </c>
      <c r="I369" s="58">
        <f t="shared" si="70"/>
        <v>8400</v>
      </c>
      <c r="J369" s="58">
        <f t="shared" si="71"/>
        <v>254.54545454545453</v>
      </c>
      <c r="K369" s="58">
        <v>1100</v>
      </c>
      <c r="L369" s="59">
        <f t="shared" si="72"/>
        <v>1050</v>
      </c>
      <c r="M369" s="58">
        <f t="shared" si="73"/>
        <v>787.5</v>
      </c>
      <c r="N369" s="58">
        <f t="shared" si="74"/>
        <v>682.5</v>
      </c>
      <c r="O369" s="58">
        <f t="shared" si="75"/>
        <v>550</v>
      </c>
      <c r="P369" s="58">
        <f t="shared" si="76"/>
        <v>795.4545454545455</v>
      </c>
      <c r="Q369" s="60">
        <f t="shared" si="77"/>
        <v>3.1250000000000004</v>
      </c>
      <c r="R369" s="58">
        <f t="shared" si="78"/>
        <v>532.9545454545455</v>
      </c>
      <c r="S369" s="58">
        <f t="shared" si="79"/>
        <v>427.9545454545455</v>
      </c>
      <c r="T369" s="58">
        <f t="shared" si="80"/>
        <v>295.4545454545455</v>
      </c>
      <c r="U369" s="60">
        <f t="shared" si="81"/>
        <v>2.0937500000000004</v>
      </c>
      <c r="V369" s="60">
        <f t="shared" si="82"/>
        <v>1.6812500000000004</v>
      </c>
      <c r="W369" s="60">
        <f t="shared" si="83"/>
        <v>1.160714285714286</v>
      </c>
      <c r="X369" s="61"/>
      <c r="Y369" s="1"/>
      <c r="Z369" s="1"/>
    </row>
    <row r="370" spans="1:26" ht="15.75" customHeight="1">
      <c r="A370" s="54"/>
      <c r="B370" s="162"/>
      <c r="C370" s="33"/>
      <c r="D370" s="55" t="s">
        <v>684</v>
      </c>
      <c r="E370" s="55" t="s">
        <v>1619</v>
      </c>
      <c r="F370" s="56"/>
      <c r="G370" s="57" t="s">
        <v>1620</v>
      </c>
      <c r="H370" s="58">
        <v>20000</v>
      </c>
      <c r="I370" s="58">
        <f t="shared" si="70"/>
        <v>14000</v>
      </c>
      <c r="J370" s="58">
        <f t="shared" si="71"/>
        <v>424.24242424242425</v>
      </c>
      <c r="K370" s="58">
        <v>2700</v>
      </c>
      <c r="L370" s="59">
        <f t="shared" si="72"/>
        <v>2650</v>
      </c>
      <c r="M370" s="58">
        <f t="shared" si="73"/>
        <v>1987.5</v>
      </c>
      <c r="N370" s="58">
        <f t="shared" si="74"/>
        <v>1722.5</v>
      </c>
      <c r="O370" s="58">
        <f t="shared" si="75"/>
        <v>1350</v>
      </c>
      <c r="P370" s="58">
        <f t="shared" si="76"/>
        <v>2225.757575757576</v>
      </c>
      <c r="Q370" s="60">
        <f t="shared" si="77"/>
        <v>5.2464285714285719</v>
      </c>
      <c r="R370" s="58">
        <f t="shared" si="78"/>
        <v>1563.2575757575758</v>
      </c>
      <c r="S370" s="58">
        <f t="shared" si="79"/>
        <v>1298.2575757575758</v>
      </c>
      <c r="T370" s="58">
        <f t="shared" si="80"/>
        <v>925.75757575757575</v>
      </c>
      <c r="U370" s="60">
        <f t="shared" si="81"/>
        <v>3.6848214285714285</v>
      </c>
      <c r="V370" s="60">
        <f t="shared" si="82"/>
        <v>3.0601785714285712</v>
      </c>
      <c r="W370" s="60">
        <f t="shared" si="83"/>
        <v>2.1821428571428569</v>
      </c>
      <c r="X370" s="61"/>
      <c r="Y370" s="1"/>
      <c r="Z370" s="1"/>
    </row>
    <row r="371" spans="1:26" ht="15.75" customHeight="1">
      <c r="A371" s="54"/>
      <c r="B371" s="161"/>
      <c r="C371" s="33"/>
      <c r="D371" s="55" t="s">
        <v>1621</v>
      </c>
      <c r="E371" s="55" t="s">
        <v>1622</v>
      </c>
      <c r="F371" s="56"/>
      <c r="G371" s="57" t="s">
        <v>1623</v>
      </c>
      <c r="H371" s="58">
        <v>13000</v>
      </c>
      <c r="I371" s="58">
        <f t="shared" si="70"/>
        <v>9100</v>
      </c>
      <c r="J371" s="58">
        <f t="shared" si="71"/>
        <v>275.75757575757575</v>
      </c>
      <c r="K371" s="58">
        <v>680</v>
      </c>
      <c r="L371" s="59">
        <f t="shared" si="72"/>
        <v>630</v>
      </c>
      <c r="M371" s="58">
        <f t="shared" si="73"/>
        <v>472.5</v>
      </c>
      <c r="N371" s="58">
        <f t="shared" si="74"/>
        <v>409.5</v>
      </c>
      <c r="O371" s="58">
        <f t="shared" si="75"/>
        <v>340</v>
      </c>
      <c r="P371" s="58">
        <f t="shared" si="76"/>
        <v>354.24242424242425</v>
      </c>
      <c r="Q371" s="60">
        <f t="shared" si="77"/>
        <v>1.2846153846153847</v>
      </c>
      <c r="R371" s="58">
        <f t="shared" si="78"/>
        <v>196.74242424242425</v>
      </c>
      <c r="S371" s="58">
        <f t="shared" si="79"/>
        <v>133.74242424242425</v>
      </c>
      <c r="T371" s="58">
        <f t="shared" si="80"/>
        <v>64.242424242424249</v>
      </c>
      <c r="U371" s="60">
        <f t="shared" si="81"/>
        <v>0.71346153846153848</v>
      </c>
      <c r="V371" s="60">
        <f t="shared" si="82"/>
        <v>0.48500000000000004</v>
      </c>
      <c r="W371" s="60">
        <f t="shared" si="83"/>
        <v>0.232967032967033</v>
      </c>
      <c r="X371" s="61"/>
      <c r="Y371" s="1"/>
      <c r="Z371" s="1"/>
    </row>
    <row r="372" spans="1:26" ht="15.75" customHeight="1">
      <c r="A372" s="54"/>
      <c r="B372" s="75" t="s">
        <v>1380</v>
      </c>
      <c r="C372" s="33"/>
      <c r="D372" s="55" t="s">
        <v>1624</v>
      </c>
      <c r="E372" s="55"/>
      <c r="F372" s="56"/>
      <c r="G372" s="57" t="s">
        <v>1625</v>
      </c>
      <c r="H372" s="58">
        <v>8000</v>
      </c>
      <c r="I372" s="58">
        <f t="shared" si="70"/>
        <v>5600</v>
      </c>
      <c r="J372" s="58">
        <f t="shared" si="71"/>
        <v>169.69696969696969</v>
      </c>
      <c r="K372" s="58">
        <v>560</v>
      </c>
      <c r="L372" s="59">
        <f t="shared" si="72"/>
        <v>510</v>
      </c>
      <c r="M372" s="58">
        <f t="shared" si="73"/>
        <v>382.5</v>
      </c>
      <c r="N372" s="58">
        <f t="shared" si="74"/>
        <v>331.5</v>
      </c>
      <c r="O372" s="58">
        <f t="shared" si="75"/>
        <v>280</v>
      </c>
      <c r="P372" s="58">
        <f t="shared" si="76"/>
        <v>340.30303030303031</v>
      </c>
      <c r="Q372" s="60">
        <f t="shared" si="77"/>
        <v>2.0053571428571431</v>
      </c>
      <c r="R372" s="58">
        <f t="shared" si="78"/>
        <v>212.80303030303031</v>
      </c>
      <c r="S372" s="58">
        <f t="shared" si="79"/>
        <v>161.80303030303031</v>
      </c>
      <c r="T372" s="58">
        <f t="shared" si="80"/>
        <v>110.30303030303031</v>
      </c>
      <c r="U372" s="60">
        <f t="shared" si="81"/>
        <v>1.2540178571428573</v>
      </c>
      <c r="V372" s="60">
        <f t="shared" si="82"/>
        <v>0.95348214285714294</v>
      </c>
      <c r="W372" s="60">
        <f t="shared" si="83"/>
        <v>0.65000000000000013</v>
      </c>
      <c r="X372" s="61" t="s">
        <v>309</v>
      </c>
      <c r="Y372" s="1"/>
      <c r="Z372" s="1"/>
    </row>
    <row r="373" spans="1:26" ht="15.75" customHeight="1">
      <c r="A373" s="54"/>
      <c r="B373" s="160" t="s">
        <v>15</v>
      </c>
      <c r="C373" s="33"/>
      <c r="D373" s="55" t="s">
        <v>1626</v>
      </c>
      <c r="E373" s="55"/>
      <c r="F373" s="56"/>
      <c r="G373" s="57" t="s">
        <v>1627</v>
      </c>
      <c r="H373" s="58">
        <v>10000</v>
      </c>
      <c r="I373" s="58">
        <f t="shared" si="70"/>
        <v>7000</v>
      </c>
      <c r="J373" s="58">
        <f t="shared" si="71"/>
        <v>212.12121212121212</v>
      </c>
      <c r="K373" s="58">
        <v>1400</v>
      </c>
      <c r="L373" s="59">
        <f t="shared" si="72"/>
        <v>1350</v>
      </c>
      <c r="M373" s="58">
        <f t="shared" si="73"/>
        <v>1012.5</v>
      </c>
      <c r="N373" s="58">
        <f t="shared" si="74"/>
        <v>877.5</v>
      </c>
      <c r="O373" s="58">
        <f t="shared" si="75"/>
        <v>700</v>
      </c>
      <c r="P373" s="58">
        <f t="shared" si="76"/>
        <v>1137.878787878788</v>
      </c>
      <c r="Q373" s="60">
        <f t="shared" si="77"/>
        <v>5.3642857142857148</v>
      </c>
      <c r="R373" s="58">
        <f t="shared" si="78"/>
        <v>800.37878787878788</v>
      </c>
      <c r="S373" s="58">
        <f t="shared" si="79"/>
        <v>665.37878787878788</v>
      </c>
      <c r="T373" s="58">
        <f t="shared" si="80"/>
        <v>487.87878787878788</v>
      </c>
      <c r="U373" s="60">
        <f t="shared" si="81"/>
        <v>3.7732142857142859</v>
      </c>
      <c r="V373" s="60">
        <f t="shared" si="82"/>
        <v>3.1367857142857143</v>
      </c>
      <c r="W373" s="60">
        <f t="shared" si="83"/>
        <v>2.2999999999999998</v>
      </c>
      <c r="X373" s="61"/>
      <c r="Y373" s="1"/>
      <c r="Z373" s="1"/>
    </row>
    <row r="374" spans="1:26" ht="15.75" customHeight="1">
      <c r="A374" s="54"/>
      <c r="B374" s="162"/>
      <c r="C374" s="33"/>
      <c r="D374" s="65" t="s">
        <v>1628</v>
      </c>
      <c r="E374" s="65" t="s">
        <v>1629</v>
      </c>
      <c r="F374" s="66"/>
      <c r="G374" s="67" t="s">
        <v>1630</v>
      </c>
      <c r="H374" s="95">
        <v>35000</v>
      </c>
      <c r="I374" s="58">
        <f t="shared" si="70"/>
        <v>24500</v>
      </c>
      <c r="J374" s="58">
        <f t="shared" si="71"/>
        <v>742.42424242424238</v>
      </c>
      <c r="K374" s="58">
        <v>2200</v>
      </c>
      <c r="L374" s="59">
        <f t="shared" si="72"/>
        <v>2150</v>
      </c>
      <c r="M374" s="58">
        <f t="shared" si="73"/>
        <v>1612.5</v>
      </c>
      <c r="N374" s="58">
        <f t="shared" si="74"/>
        <v>1397.5</v>
      </c>
      <c r="O374" s="58">
        <f t="shared" si="75"/>
        <v>1100</v>
      </c>
      <c r="P374" s="58">
        <f t="shared" si="76"/>
        <v>1407.5757575757575</v>
      </c>
      <c r="Q374" s="60">
        <f t="shared" si="77"/>
        <v>1.8959183673469389</v>
      </c>
      <c r="R374" s="58">
        <f t="shared" si="78"/>
        <v>870.07575757575762</v>
      </c>
      <c r="S374" s="58">
        <f t="shared" si="79"/>
        <v>655.07575757575762</v>
      </c>
      <c r="T374" s="58">
        <f t="shared" si="80"/>
        <v>357.57575757575762</v>
      </c>
      <c r="U374" s="60">
        <f t="shared" si="81"/>
        <v>1.1719387755102042</v>
      </c>
      <c r="V374" s="60">
        <f t="shared" si="82"/>
        <v>0.88234693877551029</v>
      </c>
      <c r="W374" s="60">
        <f t="shared" si="83"/>
        <v>0.4816326530612246</v>
      </c>
      <c r="X374" s="61" t="s">
        <v>310</v>
      </c>
      <c r="Y374" s="1"/>
      <c r="Z374" s="1"/>
    </row>
    <row r="375" spans="1:26" ht="15.75" customHeight="1">
      <c r="A375" s="54"/>
      <c r="B375" s="162"/>
      <c r="C375" s="33"/>
      <c r="D375" s="55" t="s">
        <v>1631</v>
      </c>
      <c r="E375" s="55" t="s">
        <v>1632</v>
      </c>
      <c r="F375" s="56"/>
      <c r="G375" s="57" t="s">
        <v>1633</v>
      </c>
      <c r="H375" s="58">
        <v>15000</v>
      </c>
      <c r="I375" s="58">
        <f t="shared" si="70"/>
        <v>10500</v>
      </c>
      <c r="J375" s="58">
        <f t="shared" si="71"/>
        <v>318.18181818181819</v>
      </c>
      <c r="K375" s="58">
        <v>1500</v>
      </c>
      <c r="L375" s="59">
        <f t="shared" si="72"/>
        <v>1450</v>
      </c>
      <c r="M375" s="58">
        <f t="shared" si="73"/>
        <v>1087.5</v>
      </c>
      <c r="N375" s="58">
        <f t="shared" si="74"/>
        <v>942.5</v>
      </c>
      <c r="O375" s="58">
        <f t="shared" si="75"/>
        <v>750</v>
      </c>
      <c r="P375" s="58">
        <f t="shared" si="76"/>
        <v>1131.8181818181818</v>
      </c>
      <c r="Q375" s="60">
        <f t="shared" si="77"/>
        <v>3.5571428571428569</v>
      </c>
      <c r="R375" s="58">
        <f t="shared" si="78"/>
        <v>769.31818181818176</v>
      </c>
      <c r="S375" s="58">
        <f t="shared" si="79"/>
        <v>624.31818181818176</v>
      </c>
      <c r="T375" s="58">
        <f t="shared" si="80"/>
        <v>431.81818181818181</v>
      </c>
      <c r="U375" s="60">
        <f t="shared" si="81"/>
        <v>2.4178571428571427</v>
      </c>
      <c r="V375" s="60">
        <f t="shared" si="82"/>
        <v>1.962142857142857</v>
      </c>
      <c r="W375" s="60">
        <f t="shared" si="83"/>
        <v>1.3571428571428572</v>
      </c>
      <c r="X375" s="61" t="s">
        <v>311</v>
      </c>
      <c r="Y375" s="1"/>
      <c r="Z375" s="1"/>
    </row>
    <row r="376" spans="1:26" ht="15.75" customHeight="1">
      <c r="A376" s="54"/>
      <c r="B376" s="161"/>
      <c r="C376" s="33"/>
      <c r="D376" s="55" t="s">
        <v>1634</v>
      </c>
      <c r="E376" s="55" t="s">
        <v>1635</v>
      </c>
      <c r="F376" s="56"/>
      <c r="G376" s="57" t="s">
        <v>1636</v>
      </c>
      <c r="H376" s="58">
        <v>18000</v>
      </c>
      <c r="I376" s="58">
        <f t="shared" si="70"/>
        <v>12600</v>
      </c>
      <c r="J376" s="58">
        <f t="shared" si="71"/>
        <v>381.81818181818181</v>
      </c>
      <c r="K376" s="58">
        <v>1800</v>
      </c>
      <c r="L376" s="59">
        <f t="shared" si="72"/>
        <v>1750</v>
      </c>
      <c r="M376" s="58">
        <f t="shared" si="73"/>
        <v>1312.5</v>
      </c>
      <c r="N376" s="58">
        <f t="shared" si="74"/>
        <v>1137.5</v>
      </c>
      <c r="O376" s="58">
        <f t="shared" si="75"/>
        <v>900</v>
      </c>
      <c r="P376" s="58">
        <f t="shared" si="76"/>
        <v>1368.1818181818182</v>
      </c>
      <c r="Q376" s="60">
        <f t="shared" si="77"/>
        <v>3.5833333333333335</v>
      </c>
      <c r="R376" s="58">
        <f t="shared" si="78"/>
        <v>930.68181818181824</v>
      </c>
      <c r="S376" s="58">
        <f t="shared" si="79"/>
        <v>755.68181818181824</v>
      </c>
      <c r="T376" s="58">
        <f t="shared" si="80"/>
        <v>518.18181818181824</v>
      </c>
      <c r="U376" s="60">
        <f t="shared" si="81"/>
        <v>2.4375</v>
      </c>
      <c r="V376" s="60">
        <f t="shared" si="82"/>
        <v>1.979166666666667</v>
      </c>
      <c r="W376" s="60">
        <f t="shared" si="83"/>
        <v>1.3571428571428574</v>
      </c>
      <c r="X376" s="61" t="s">
        <v>312</v>
      </c>
      <c r="Y376" s="1"/>
      <c r="Z376" s="1"/>
    </row>
    <row r="377" spans="1:26" ht="15.75" customHeight="1">
      <c r="A377" s="54"/>
      <c r="B377" s="160" t="s">
        <v>684</v>
      </c>
      <c r="C377" s="33"/>
      <c r="D377" s="55" t="s">
        <v>1637</v>
      </c>
      <c r="E377" s="55" t="s">
        <v>1638</v>
      </c>
      <c r="F377" s="56" t="s">
        <v>1116</v>
      </c>
      <c r="G377" s="57" t="s">
        <v>1639</v>
      </c>
      <c r="H377" s="58">
        <v>20000</v>
      </c>
      <c r="I377" s="58">
        <f t="shared" si="70"/>
        <v>14000</v>
      </c>
      <c r="J377" s="58">
        <f t="shared" si="71"/>
        <v>424.24242424242425</v>
      </c>
      <c r="K377" s="58">
        <v>2200</v>
      </c>
      <c r="L377" s="59">
        <f t="shared" si="72"/>
        <v>2150</v>
      </c>
      <c r="M377" s="58">
        <f t="shared" si="73"/>
        <v>1612.5</v>
      </c>
      <c r="N377" s="58">
        <f t="shared" si="74"/>
        <v>1397.5</v>
      </c>
      <c r="O377" s="58">
        <f t="shared" si="75"/>
        <v>1100</v>
      </c>
      <c r="P377" s="58">
        <f t="shared" si="76"/>
        <v>1725.7575757575758</v>
      </c>
      <c r="Q377" s="60">
        <f t="shared" si="77"/>
        <v>4.0678571428571431</v>
      </c>
      <c r="R377" s="58">
        <f t="shared" si="78"/>
        <v>1188.2575757575758</v>
      </c>
      <c r="S377" s="58">
        <f t="shared" si="79"/>
        <v>973.25757575757575</v>
      </c>
      <c r="T377" s="58">
        <f t="shared" si="80"/>
        <v>675.75757575757575</v>
      </c>
      <c r="U377" s="60">
        <f t="shared" si="81"/>
        <v>2.8008928571428573</v>
      </c>
      <c r="V377" s="60">
        <f t="shared" si="82"/>
        <v>2.2941071428571429</v>
      </c>
      <c r="W377" s="60">
        <f t="shared" si="83"/>
        <v>1.5928571428571427</v>
      </c>
      <c r="X377" s="61" t="s">
        <v>313</v>
      </c>
      <c r="Y377" s="1"/>
      <c r="Z377" s="1"/>
    </row>
    <row r="378" spans="1:26" ht="15.75" customHeight="1">
      <c r="A378" s="54"/>
      <c r="B378" s="162"/>
      <c r="C378" s="33"/>
      <c r="D378" s="55" t="s">
        <v>1640</v>
      </c>
      <c r="E378" s="55" t="s">
        <v>1641</v>
      </c>
      <c r="F378" s="56" t="s">
        <v>1642</v>
      </c>
      <c r="G378" s="57" t="s">
        <v>1643</v>
      </c>
      <c r="H378" s="58">
        <v>25000</v>
      </c>
      <c r="I378" s="58">
        <f t="shared" si="70"/>
        <v>17500</v>
      </c>
      <c r="J378" s="58">
        <f t="shared" si="71"/>
        <v>530.30303030303025</v>
      </c>
      <c r="K378" s="58">
        <v>2600</v>
      </c>
      <c r="L378" s="59">
        <f t="shared" si="72"/>
        <v>2550</v>
      </c>
      <c r="M378" s="58">
        <f t="shared" si="73"/>
        <v>1912.5</v>
      </c>
      <c r="N378" s="58">
        <f t="shared" si="74"/>
        <v>1657.5</v>
      </c>
      <c r="O378" s="58">
        <f t="shared" si="75"/>
        <v>1300</v>
      </c>
      <c r="P378" s="58">
        <f t="shared" si="76"/>
        <v>2019.6969696969697</v>
      </c>
      <c r="Q378" s="60">
        <f t="shared" si="77"/>
        <v>3.8085714285714292</v>
      </c>
      <c r="R378" s="58">
        <f t="shared" si="78"/>
        <v>1382.1969696969697</v>
      </c>
      <c r="S378" s="58">
        <f t="shared" si="79"/>
        <v>1127.1969696969697</v>
      </c>
      <c r="T378" s="58">
        <f t="shared" si="80"/>
        <v>769.69696969696975</v>
      </c>
      <c r="U378" s="60">
        <f t="shared" si="81"/>
        <v>2.6064285714285718</v>
      </c>
      <c r="V378" s="60">
        <f t="shared" si="82"/>
        <v>2.1255714285714289</v>
      </c>
      <c r="W378" s="60">
        <f t="shared" si="83"/>
        <v>1.4514285714285717</v>
      </c>
      <c r="X378" s="61" t="s">
        <v>315</v>
      </c>
      <c r="Y378" s="1"/>
      <c r="Z378" s="1"/>
    </row>
    <row r="379" spans="1:26" ht="15.75" customHeight="1">
      <c r="A379" s="54"/>
      <c r="B379" s="162"/>
      <c r="C379" s="33"/>
      <c r="D379" s="55" t="s">
        <v>1644</v>
      </c>
      <c r="E379" s="55"/>
      <c r="F379" s="56" t="s">
        <v>1645</v>
      </c>
      <c r="G379" s="57" t="s">
        <v>1646</v>
      </c>
      <c r="H379" s="58">
        <v>20000</v>
      </c>
      <c r="I379" s="58">
        <f t="shared" si="70"/>
        <v>14000</v>
      </c>
      <c r="J379" s="58">
        <f t="shared" si="71"/>
        <v>424.24242424242425</v>
      </c>
      <c r="K379" s="58">
        <v>2200</v>
      </c>
      <c r="L379" s="59">
        <f t="shared" si="72"/>
        <v>2150</v>
      </c>
      <c r="M379" s="58">
        <f t="shared" si="73"/>
        <v>1612.5</v>
      </c>
      <c r="N379" s="58">
        <f t="shared" si="74"/>
        <v>1397.5</v>
      </c>
      <c r="O379" s="58">
        <f t="shared" si="75"/>
        <v>1100</v>
      </c>
      <c r="P379" s="58">
        <f t="shared" si="76"/>
        <v>1725.7575757575758</v>
      </c>
      <c r="Q379" s="60">
        <f t="shared" si="77"/>
        <v>4.0678571428571431</v>
      </c>
      <c r="R379" s="58">
        <f t="shared" si="78"/>
        <v>1188.2575757575758</v>
      </c>
      <c r="S379" s="58">
        <f t="shared" si="79"/>
        <v>973.25757575757575</v>
      </c>
      <c r="T379" s="58">
        <f t="shared" si="80"/>
        <v>675.75757575757575</v>
      </c>
      <c r="U379" s="60">
        <f t="shared" si="81"/>
        <v>2.8008928571428573</v>
      </c>
      <c r="V379" s="60">
        <f t="shared" si="82"/>
        <v>2.2941071428571429</v>
      </c>
      <c r="W379" s="60">
        <f t="shared" si="83"/>
        <v>1.5928571428571427</v>
      </c>
      <c r="X379" s="61"/>
      <c r="Y379" s="1"/>
      <c r="Z379" s="1"/>
    </row>
    <row r="380" spans="1:26" ht="15.75" customHeight="1">
      <c r="A380" s="54"/>
      <c r="B380" s="162"/>
      <c r="C380" s="33"/>
      <c r="D380" s="65" t="s">
        <v>1647</v>
      </c>
      <c r="E380" s="65"/>
      <c r="F380" s="66" t="s">
        <v>1648</v>
      </c>
      <c r="G380" s="67" t="s">
        <v>1649</v>
      </c>
      <c r="H380" s="68">
        <v>18000</v>
      </c>
      <c r="I380" s="58">
        <f t="shared" si="70"/>
        <v>12600</v>
      </c>
      <c r="J380" s="58">
        <f t="shared" si="71"/>
        <v>381.81818181818181</v>
      </c>
      <c r="K380" s="58">
        <v>1800</v>
      </c>
      <c r="L380" s="59">
        <f t="shared" si="72"/>
        <v>1750</v>
      </c>
      <c r="M380" s="58">
        <f t="shared" si="73"/>
        <v>1312.5</v>
      </c>
      <c r="N380" s="58">
        <f t="shared" si="74"/>
        <v>1137.5</v>
      </c>
      <c r="O380" s="58">
        <f t="shared" si="75"/>
        <v>900</v>
      </c>
      <c r="P380" s="58">
        <f t="shared" si="76"/>
        <v>1368.1818181818182</v>
      </c>
      <c r="Q380" s="60">
        <f t="shared" si="77"/>
        <v>3.5833333333333335</v>
      </c>
      <c r="R380" s="58">
        <f t="shared" si="78"/>
        <v>930.68181818181824</v>
      </c>
      <c r="S380" s="58">
        <f t="shared" si="79"/>
        <v>755.68181818181824</v>
      </c>
      <c r="T380" s="58">
        <f t="shared" si="80"/>
        <v>518.18181818181824</v>
      </c>
      <c r="U380" s="60">
        <f t="shared" si="81"/>
        <v>2.4375</v>
      </c>
      <c r="V380" s="60">
        <f t="shared" si="82"/>
        <v>1.979166666666667</v>
      </c>
      <c r="W380" s="60">
        <f t="shared" si="83"/>
        <v>1.3571428571428574</v>
      </c>
      <c r="X380" s="61"/>
      <c r="Y380" s="1"/>
      <c r="Z380" s="1"/>
    </row>
    <row r="381" spans="1:26" ht="15.75" customHeight="1">
      <c r="A381" s="54"/>
      <c r="B381" s="162"/>
      <c r="C381" s="33"/>
      <c r="D381" s="65" t="s">
        <v>1650</v>
      </c>
      <c r="E381" s="65"/>
      <c r="F381" s="66"/>
      <c r="G381" s="67" t="s">
        <v>1651</v>
      </c>
      <c r="H381" s="68">
        <v>18000</v>
      </c>
      <c r="I381" s="58">
        <f t="shared" si="70"/>
        <v>12600</v>
      </c>
      <c r="J381" s="58">
        <f t="shared" si="71"/>
        <v>381.81818181818181</v>
      </c>
      <c r="K381" s="58">
        <v>1800</v>
      </c>
      <c r="L381" s="59">
        <f t="shared" si="72"/>
        <v>1750</v>
      </c>
      <c r="M381" s="58">
        <f t="shared" si="73"/>
        <v>1312.5</v>
      </c>
      <c r="N381" s="58">
        <f t="shared" si="74"/>
        <v>1137.5</v>
      </c>
      <c r="O381" s="58">
        <f t="shared" si="75"/>
        <v>900</v>
      </c>
      <c r="P381" s="58">
        <f t="shared" si="76"/>
        <v>1368.1818181818182</v>
      </c>
      <c r="Q381" s="60">
        <f t="shared" si="77"/>
        <v>3.5833333333333335</v>
      </c>
      <c r="R381" s="58">
        <f t="shared" si="78"/>
        <v>930.68181818181824</v>
      </c>
      <c r="S381" s="58">
        <f t="shared" si="79"/>
        <v>755.68181818181824</v>
      </c>
      <c r="T381" s="58">
        <f t="shared" si="80"/>
        <v>518.18181818181824</v>
      </c>
      <c r="U381" s="60">
        <f t="shared" si="81"/>
        <v>2.4375</v>
      </c>
      <c r="V381" s="60">
        <f t="shared" si="82"/>
        <v>1.979166666666667</v>
      </c>
      <c r="W381" s="60">
        <f t="shared" si="83"/>
        <v>1.3571428571428574</v>
      </c>
      <c r="X381" s="61" t="s">
        <v>316</v>
      </c>
      <c r="Y381" s="1"/>
      <c r="Z381" s="1"/>
    </row>
    <row r="382" spans="1:26" ht="15.75" customHeight="1">
      <c r="A382" s="54"/>
      <c r="B382" s="162"/>
      <c r="C382" s="33"/>
      <c r="D382" s="65" t="s">
        <v>1652</v>
      </c>
      <c r="E382" s="65" t="s">
        <v>1629</v>
      </c>
      <c r="F382" s="66"/>
      <c r="G382" s="67" t="s">
        <v>1630</v>
      </c>
      <c r="H382" s="68">
        <v>18000</v>
      </c>
      <c r="I382" s="58">
        <f t="shared" si="70"/>
        <v>12600</v>
      </c>
      <c r="J382" s="58">
        <f t="shared" si="71"/>
        <v>381.81818181818181</v>
      </c>
      <c r="K382" s="58">
        <v>1800</v>
      </c>
      <c r="L382" s="59">
        <f t="shared" si="72"/>
        <v>1750</v>
      </c>
      <c r="M382" s="58">
        <f t="shared" si="73"/>
        <v>1312.5</v>
      </c>
      <c r="N382" s="58">
        <f t="shared" si="74"/>
        <v>1137.5</v>
      </c>
      <c r="O382" s="58">
        <f t="shared" si="75"/>
        <v>900</v>
      </c>
      <c r="P382" s="58">
        <f t="shared" si="76"/>
        <v>1368.1818181818182</v>
      </c>
      <c r="Q382" s="60">
        <f t="shared" si="77"/>
        <v>3.5833333333333335</v>
      </c>
      <c r="R382" s="58">
        <f t="shared" si="78"/>
        <v>930.68181818181824</v>
      </c>
      <c r="S382" s="58">
        <f t="shared" si="79"/>
        <v>755.68181818181824</v>
      </c>
      <c r="T382" s="58">
        <f t="shared" si="80"/>
        <v>518.18181818181824</v>
      </c>
      <c r="U382" s="60">
        <f t="shared" si="81"/>
        <v>2.4375</v>
      </c>
      <c r="V382" s="60">
        <f t="shared" si="82"/>
        <v>1.979166666666667</v>
      </c>
      <c r="W382" s="60">
        <f t="shared" si="83"/>
        <v>1.3571428571428574</v>
      </c>
      <c r="X382" s="61" t="s">
        <v>310</v>
      </c>
      <c r="Y382" s="1"/>
      <c r="Z382" s="1"/>
    </row>
    <row r="383" spans="1:26" ht="15.75" customHeight="1">
      <c r="A383" s="54"/>
      <c r="B383" s="161"/>
      <c r="C383" s="33"/>
      <c r="D383" s="65" t="s">
        <v>1653</v>
      </c>
      <c r="E383" s="65" t="s">
        <v>1654</v>
      </c>
      <c r="F383" s="66"/>
      <c r="G383" s="67" t="s">
        <v>1655</v>
      </c>
      <c r="H383" s="68">
        <v>16000</v>
      </c>
      <c r="I383" s="58">
        <f t="shared" si="70"/>
        <v>11200</v>
      </c>
      <c r="J383" s="58">
        <f t="shared" si="71"/>
        <v>339.39393939393938</v>
      </c>
      <c r="K383" s="58">
        <v>1600</v>
      </c>
      <c r="L383" s="59">
        <f t="shared" si="72"/>
        <v>1550</v>
      </c>
      <c r="M383" s="58">
        <f t="shared" si="73"/>
        <v>1162.5</v>
      </c>
      <c r="N383" s="58">
        <f t="shared" si="74"/>
        <v>1007.5</v>
      </c>
      <c r="O383" s="58">
        <f t="shared" si="75"/>
        <v>800</v>
      </c>
      <c r="P383" s="58">
        <f t="shared" si="76"/>
        <v>1210.6060606060605</v>
      </c>
      <c r="Q383" s="60">
        <f t="shared" si="77"/>
        <v>3.5669642857142856</v>
      </c>
      <c r="R383" s="58">
        <f t="shared" si="78"/>
        <v>823.10606060606062</v>
      </c>
      <c r="S383" s="58">
        <f t="shared" si="79"/>
        <v>668.10606060606062</v>
      </c>
      <c r="T383" s="58">
        <f t="shared" si="80"/>
        <v>460.60606060606062</v>
      </c>
      <c r="U383" s="60">
        <f t="shared" si="81"/>
        <v>2.4252232142857144</v>
      </c>
      <c r="V383" s="60">
        <f t="shared" si="82"/>
        <v>1.9685267857142859</v>
      </c>
      <c r="W383" s="60">
        <f t="shared" si="83"/>
        <v>1.3571428571428572</v>
      </c>
      <c r="X383" s="61"/>
      <c r="Y383" s="1"/>
      <c r="Z383" s="1"/>
    </row>
    <row r="384" spans="1:26" ht="15.75" customHeight="1">
      <c r="A384" s="54"/>
      <c r="B384" s="75" t="s">
        <v>944</v>
      </c>
      <c r="C384" s="33"/>
      <c r="D384" s="55" t="s">
        <v>1656</v>
      </c>
      <c r="E384" s="55" t="s">
        <v>1657</v>
      </c>
      <c r="F384" s="55"/>
      <c r="G384" s="57" t="s">
        <v>1658</v>
      </c>
      <c r="H384" s="58">
        <v>35000</v>
      </c>
      <c r="I384" s="58">
        <f t="shared" si="70"/>
        <v>24500</v>
      </c>
      <c r="J384" s="58">
        <f t="shared" si="71"/>
        <v>742.42424242424238</v>
      </c>
      <c r="K384" s="58">
        <v>4200</v>
      </c>
      <c r="L384" s="59">
        <f t="shared" si="72"/>
        <v>4150</v>
      </c>
      <c r="M384" s="58">
        <f t="shared" si="73"/>
        <v>3112.5</v>
      </c>
      <c r="N384" s="58">
        <f t="shared" si="74"/>
        <v>2697.5</v>
      </c>
      <c r="O384" s="58">
        <f t="shared" si="75"/>
        <v>2100</v>
      </c>
      <c r="P384" s="58">
        <f t="shared" si="76"/>
        <v>3407.5757575757575</v>
      </c>
      <c r="Q384" s="60">
        <f t="shared" si="77"/>
        <v>4.5897959183673471</v>
      </c>
      <c r="R384" s="58">
        <f t="shared" si="78"/>
        <v>2370.0757575757575</v>
      </c>
      <c r="S384" s="58">
        <f t="shared" si="79"/>
        <v>1955.0757575757575</v>
      </c>
      <c r="T384" s="58">
        <f t="shared" si="80"/>
        <v>1357.5757575757575</v>
      </c>
      <c r="U384" s="60">
        <f t="shared" si="81"/>
        <v>3.1923469387755103</v>
      </c>
      <c r="V384" s="60">
        <f t="shared" si="82"/>
        <v>2.6333673469387757</v>
      </c>
      <c r="W384" s="60">
        <f t="shared" si="83"/>
        <v>1.8285714285714285</v>
      </c>
      <c r="X384" s="61"/>
      <c r="Y384" s="1"/>
      <c r="Z384" s="1"/>
    </row>
    <row r="385" spans="1:26" ht="15.75" customHeight="1">
      <c r="A385" s="54"/>
      <c r="B385" s="75" t="s">
        <v>1659</v>
      </c>
      <c r="C385" s="33"/>
      <c r="D385" s="55" t="s">
        <v>1660</v>
      </c>
      <c r="E385" s="55" t="s">
        <v>1661</v>
      </c>
      <c r="F385" s="55"/>
      <c r="G385" s="57" t="s">
        <v>1662</v>
      </c>
      <c r="H385" s="58">
        <v>45000</v>
      </c>
      <c r="I385" s="58">
        <f t="shared" si="70"/>
        <v>31499.999999999996</v>
      </c>
      <c r="J385" s="58">
        <f t="shared" si="71"/>
        <v>954.54545454545439</v>
      </c>
      <c r="K385" s="58">
        <v>4400</v>
      </c>
      <c r="L385" s="59">
        <f t="shared" si="72"/>
        <v>4350</v>
      </c>
      <c r="M385" s="58">
        <f t="shared" si="73"/>
        <v>3262.5</v>
      </c>
      <c r="N385" s="58">
        <f t="shared" si="74"/>
        <v>2827.5</v>
      </c>
      <c r="O385" s="58">
        <f t="shared" si="75"/>
        <v>2200</v>
      </c>
      <c r="P385" s="58">
        <f t="shared" si="76"/>
        <v>3395.4545454545455</v>
      </c>
      <c r="Q385" s="60">
        <f t="shared" si="77"/>
        <v>3.5571428571428578</v>
      </c>
      <c r="R385" s="58">
        <f t="shared" si="78"/>
        <v>2307.9545454545455</v>
      </c>
      <c r="S385" s="58">
        <f t="shared" si="79"/>
        <v>1872.9545454545455</v>
      </c>
      <c r="T385" s="58">
        <f t="shared" si="80"/>
        <v>1245.4545454545455</v>
      </c>
      <c r="U385" s="60">
        <f t="shared" si="81"/>
        <v>2.4178571428571431</v>
      </c>
      <c r="V385" s="60">
        <f t="shared" si="82"/>
        <v>1.9621428571428574</v>
      </c>
      <c r="W385" s="60">
        <f t="shared" si="83"/>
        <v>1.304761904761905</v>
      </c>
      <c r="X385" s="61"/>
      <c r="Y385" s="1"/>
      <c r="Z385" s="1"/>
    </row>
    <row r="386" spans="1:26" ht="15.75" customHeight="1">
      <c r="A386" s="54"/>
      <c r="B386" s="75" t="s">
        <v>1663</v>
      </c>
      <c r="C386" s="33"/>
      <c r="D386" s="55" t="s">
        <v>918</v>
      </c>
      <c r="E386" s="55"/>
      <c r="F386" s="55"/>
      <c r="G386" s="57" t="s">
        <v>1664</v>
      </c>
      <c r="H386" s="58">
        <v>25000</v>
      </c>
      <c r="I386" s="58">
        <f t="shared" si="70"/>
        <v>17500</v>
      </c>
      <c r="J386" s="58">
        <f t="shared" si="71"/>
        <v>530.30303030303025</v>
      </c>
      <c r="K386" s="58">
        <v>3950</v>
      </c>
      <c r="L386" s="59">
        <f t="shared" si="72"/>
        <v>3900</v>
      </c>
      <c r="M386" s="58">
        <f t="shared" si="73"/>
        <v>2925</v>
      </c>
      <c r="N386" s="58">
        <f t="shared" si="74"/>
        <v>2535</v>
      </c>
      <c r="O386" s="58">
        <f t="shared" si="75"/>
        <v>1975</v>
      </c>
      <c r="P386" s="58">
        <f t="shared" si="76"/>
        <v>3369.69696969697</v>
      </c>
      <c r="Q386" s="60">
        <f t="shared" si="77"/>
        <v>6.354285714285715</v>
      </c>
      <c r="R386" s="58">
        <f t="shared" si="78"/>
        <v>2394.69696969697</v>
      </c>
      <c r="S386" s="58">
        <f t="shared" si="79"/>
        <v>2004.6969696969697</v>
      </c>
      <c r="T386" s="58">
        <f t="shared" si="80"/>
        <v>1444.6969696969697</v>
      </c>
      <c r="U386" s="60">
        <f t="shared" si="81"/>
        <v>4.5157142857142869</v>
      </c>
      <c r="V386" s="60">
        <f t="shared" si="82"/>
        <v>3.7802857142857147</v>
      </c>
      <c r="W386" s="60">
        <f t="shared" si="83"/>
        <v>2.7242857142857146</v>
      </c>
      <c r="X386" s="61"/>
      <c r="Y386" s="1"/>
      <c r="Z386" s="1"/>
    </row>
    <row r="387" spans="1:26" ht="15.75" customHeight="1">
      <c r="A387" s="51" t="s">
        <v>340</v>
      </c>
      <c r="B387" s="160" t="s">
        <v>1665</v>
      </c>
      <c r="C387" s="43"/>
      <c r="D387" s="55" t="s">
        <v>543</v>
      </c>
      <c r="E387" s="55" t="s">
        <v>577</v>
      </c>
      <c r="F387" s="56"/>
      <c r="G387" s="57" t="s">
        <v>1666</v>
      </c>
      <c r="H387" s="58">
        <v>35000</v>
      </c>
      <c r="I387" s="58">
        <f t="shared" si="70"/>
        <v>24500</v>
      </c>
      <c r="J387" s="58">
        <f t="shared" si="71"/>
        <v>742.42424242424238</v>
      </c>
      <c r="K387" s="58">
        <v>2850</v>
      </c>
      <c r="L387" s="59">
        <f t="shared" si="72"/>
        <v>2800</v>
      </c>
      <c r="M387" s="58">
        <f t="shared" si="73"/>
        <v>2100</v>
      </c>
      <c r="N387" s="58">
        <f t="shared" si="74"/>
        <v>1820</v>
      </c>
      <c r="O387" s="58">
        <f t="shared" si="75"/>
        <v>1425</v>
      </c>
      <c r="P387" s="58">
        <f t="shared" si="76"/>
        <v>2057.5757575757575</v>
      </c>
      <c r="Q387" s="60">
        <f t="shared" si="77"/>
        <v>2.7714285714285714</v>
      </c>
      <c r="R387" s="58">
        <f t="shared" si="78"/>
        <v>1357.5757575757575</v>
      </c>
      <c r="S387" s="58">
        <f t="shared" si="79"/>
        <v>1077.5757575757575</v>
      </c>
      <c r="T387" s="58">
        <f t="shared" si="80"/>
        <v>682.57575757575762</v>
      </c>
      <c r="U387" s="60">
        <f t="shared" si="81"/>
        <v>1.8285714285714285</v>
      </c>
      <c r="V387" s="60">
        <f t="shared" si="82"/>
        <v>1.4514285714285715</v>
      </c>
      <c r="W387" s="60">
        <f t="shared" si="83"/>
        <v>0.91938775510204096</v>
      </c>
      <c r="X387" s="61"/>
      <c r="Y387" s="1"/>
      <c r="Z387" s="1"/>
    </row>
    <row r="388" spans="1:26" ht="15.75" customHeight="1">
      <c r="A388" s="54"/>
      <c r="B388" s="162"/>
      <c r="C388" s="33"/>
      <c r="D388" s="55" t="s">
        <v>608</v>
      </c>
      <c r="E388" s="55" t="s">
        <v>607</v>
      </c>
      <c r="F388" s="56"/>
      <c r="G388" s="57" t="s">
        <v>1667</v>
      </c>
      <c r="H388" s="58">
        <v>28000</v>
      </c>
      <c r="I388" s="58">
        <f t="shared" ref="I388:I410" si="84">H388*0.7</f>
        <v>19600</v>
      </c>
      <c r="J388" s="58">
        <f t="shared" ref="J388:J410" si="85">I388/33</f>
        <v>593.93939393939399</v>
      </c>
      <c r="K388" s="58">
        <v>2400</v>
      </c>
      <c r="L388" s="59">
        <f t="shared" ref="L388:L410" si="86">K388-50</f>
        <v>2350</v>
      </c>
      <c r="M388" s="58">
        <f t="shared" ref="M388:M410" si="87">L388*0.75</f>
        <v>1762.5</v>
      </c>
      <c r="N388" s="58">
        <f t="shared" ref="N388:N410" si="88">L388*0.65</f>
        <v>1527.5</v>
      </c>
      <c r="O388" s="58">
        <f t="shared" ref="O388:O410" si="89">K388*0.5</f>
        <v>1200</v>
      </c>
      <c r="P388" s="58">
        <f t="shared" ref="P388:P410" si="90">L388-J388</f>
        <v>1756.060606060606</v>
      </c>
      <c r="Q388" s="60">
        <f t="shared" ref="Q388:Q410" si="91">((L388-J388)/J388)</f>
        <v>2.9566326530612241</v>
      </c>
      <c r="R388" s="58">
        <f t="shared" ref="R388:R410" si="92">M388-J388</f>
        <v>1168.560606060606</v>
      </c>
      <c r="S388" s="58">
        <f t="shared" ref="S388:S410" si="93">N388-J388</f>
        <v>933.56060606060601</v>
      </c>
      <c r="T388" s="58">
        <f t="shared" ref="T388:T410" si="94">O388-J388</f>
        <v>606.06060606060601</v>
      </c>
      <c r="U388" s="60">
        <f t="shared" ref="U388:U410" si="95">(M388-J388)/J388</f>
        <v>1.967474489795918</v>
      </c>
      <c r="V388" s="60">
        <f t="shared" ref="V388:V410" si="96">(N388-J388)/J388</f>
        <v>1.5718112244897957</v>
      </c>
      <c r="W388" s="60">
        <f t="shared" ref="W388:W410" si="97">(O388-J388)/J388</f>
        <v>1.0204081632653059</v>
      </c>
      <c r="X388" s="61"/>
      <c r="Y388" s="1"/>
      <c r="Z388" s="1"/>
    </row>
    <row r="389" spans="1:26" ht="15.75" customHeight="1">
      <c r="A389" s="54"/>
      <c r="B389" s="162"/>
      <c r="C389" s="33"/>
      <c r="D389" s="55" t="s">
        <v>608</v>
      </c>
      <c r="E389" s="55" t="s">
        <v>498</v>
      </c>
      <c r="F389" s="96" t="s">
        <v>1668</v>
      </c>
      <c r="G389" s="57" t="s">
        <v>1669</v>
      </c>
      <c r="H389" s="58">
        <v>40000</v>
      </c>
      <c r="I389" s="58">
        <f t="shared" si="84"/>
        <v>28000</v>
      </c>
      <c r="J389" s="58">
        <f t="shared" si="85"/>
        <v>848.4848484848485</v>
      </c>
      <c r="K389" s="58">
        <v>2900</v>
      </c>
      <c r="L389" s="59">
        <f t="shared" si="86"/>
        <v>2850</v>
      </c>
      <c r="M389" s="58">
        <f t="shared" si="87"/>
        <v>2137.5</v>
      </c>
      <c r="N389" s="58">
        <f t="shared" si="88"/>
        <v>1852.5</v>
      </c>
      <c r="O389" s="58">
        <f t="shared" si="89"/>
        <v>1450</v>
      </c>
      <c r="P389" s="58">
        <f t="shared" si="90"/>
        <v>2001.5151515151515</v>
      </c>
      <c r="Q389" s="60">
        <f t="shared" si="91"/>
        <v>2.3589285714285713</v>
      </c>
      <c r="R389" s="58">
        <f t="shared" si="92"/>
        <v>1289.0151515151515</v>
      </c>
      <c r="S389" s="58">
        <f t="shared" si="93"/>
        <v>1004.0151515151515</v>
      </c>
      <c r="T389" s="58">
        <f t="shared" si="94"/>
        <v>601.5151515151515</v>
      </c>
      <c r="U389" s="60">
        <f t="shared" si="95"/>
        <v>1.5191964285714286</v>
      </c>
      <c r="V389" s="60">
        <f t="shared" si="96"/>
        <v>1.1833035714285713</v>
      </c>
      <c r="W389" s="60">
        <f t="shared" si="97"/>
        <v>0.70892857142857135</v>
      </c>
      <c r="X389" s="61"/>
      <c r="Y389" s="1"/>
      <c r="Z389" s="1"/>
    </row>
    <row r="390" spans="1:26" ht="15.75" customHeight="1">
      <c r="A390" s="54"/>
      <c r="B390" s="162"/>
      <c r="C390" s="33"/>
      <c r="D390" s="55" t="s">
        <v>608</v>
      </c>
      <c r="E390" s="55" t="s">
        <v>577</v>
      </c>
      <c r="F390" s="96" t="s">
        <v>1670</v>
      </c>
      <c r="G390" s="57" t="s">
        <v>1671</v>
      </c>
      <c r="H390" s="58">
        <v>38000</v>
      </c>
      <c r="I390" s="58">
        <f t="shared" si="84"/>
        <v>26600</v>
      </c>
      <c r="J390" s="58">
        <f t="shared" si="85"/>
        <v>806.06060606060601</v>
      </c>
      <c r="K390" s="58">
        <v>3200</v>
      </c>
      <c r="L390" s="59">
        <f t="shared" si="86"/>
        <v>3150</v>
      </c>
      <c r="M390" s="58">
        <f t="shared" si="87"/>
        <v>2362.5</v>
      </c>
      <c r="N390" s="58">
        <f t="shared" si="88"/>
        <v>2047.5</v>
      </c>
      <c r="O390" s="58">
        <f t="shared" si="89"/>
        <v>1600</v>
      </c>
      <c r="P390" s="58">
        <f t="shared" si="90"/>
        <v>2343.939393939394</v>
      </c>
      <c r="Q390" s="60">
        <f t="shared" si="91"/>
        <v>2.9078947368421053</v>
      </c>
      <c r="R390" s="58">
        <f t="shared" si="92"/>
        <v>1556.439393939394</v>
      </c>
      <c r="S390" s="58">
        <f t="shared" si="93"/>
        <v>1241.439393939394</v>
      </c>
      <c r="T390" s="58">
        <f t="shared" si="94"/>
        <v>793.93939393939399</v>
      </c>
      <c r="U390" s="60">
        <f t="shared" si="95"/>
        <v>1.9309210526315792</v>
      </c>
      <c r="V390" s="60">
        <f t="shared" si="96"/>
        <v>1.5401315789473686</v>
      </c>
      <c r="W390" s="60">
        <f t="shared" si="97"/>
        <v>0.98496240601503771</v>
      </c>
      <c r="X390" s="61"/>
      <c r="Y390" s="1"/>
      <c r="Z390" s="1"/>
    </row>
    <row r="391" spans="1:26" ht="15.75" customHeight="1">
      <c r="A391" s="54"/>
      <c r="B391" s="162"/>
      <c r="C391" s="33"/>
      <c r="D391" s="55" t="s">
        <v>450</v>
      </c>
      <c r="E391" s="55" t="s">
        <v>607</v>
      </c>
      <c r="F391" s="56"/>
      <c r="G391" s="57" t="s">
        <v>1672</v>
      </c>
      <c r="H391" s="58">
        <v>18000</v>
      </c>
      <c r="I391" s="58">
        <f t="shared" si="84"/>
        <v>12600</v>
      </c>
      <c r="J391" s="58">
        <f t="shared" si="85"/>
        <v>381.81818181818181</v>
      </c>
      <c r="K391" s="58">
        <v>1400</v>
      </c>
      <c r="L391" s="59">
        <f t="shared" si="86"/>
        <v>1350</v>
      </c>
      <c r="M391" s="58">
        <f t="shared" si="87"/>
        <v>1012.5</v>
      </c>
      <c r="N391" s="58">
        <f t="shared" si="88"/>
        <v>877.5</v>
      </c>
      <c r="O391" s="58">
        <f t="shared" si="89"/>
        <v>700</v>
      </c>
      <c r="P391" s="58">
        <f t="shared" si="90"/>
        <v>968.18181818181824</v>
      </c>
      <c r="Q391" s="60">
        <f t="shared" si="91"/>
        <v>2.535714285714286</v>
      </c>
      <c r="R391" s="58">
        <f t="shared" si="92"/>
        <v>630.68181818181824</v>
      </c>
      <c r="S391" s="58">
        <f t="shared" si="93"/>
        <v>495.68181818181819</v>
      </c>
      <c r="T391" s="58">
        <f t="shared" si="94"/>
        <v>318.18181818181819</v>
      </c>
      <c r="U391" s="60">
        <f t="shared" si="95"/>
        <v>1.6517857142857144</v>
      </c>
      <c r="V391" s="60">
        <f t="shared" si="96"/>
        <v>1.2982142857142858</v>
      </c>
      <c r="W391" s="60">
        <f t="shared" si="97"/>
        <v>0.83333333333333337</v>
      </c>
      <c r="X391" s="61"/>
      <c r="Y391" s="1"/>
      <c r="Z391" s="1"/>
    </row>
    <row r="392" spans="1:26" ht="15.75" customHeight="1">
      <c r="A392" s="54"/>
      <c r="B392" s="162"/>
      <c r="C392" s="33"/>
      <c r="D392" s="55" t="s">
        <v>450</v>
      </c>
      <c r="E392" s="55" t="s">
        <v>68</v>
      </c>
      <c r="F392" s="56"/>
      <c r="G392" s="57" t="s">
        <v>1673</v>
      </c>
      <c r="H392" s="58">
        <v>23000</v>
      </c>
      <c r="I392" s="58">
        <f t="shared" si="84"/>
        <v>16099.999999999998</v>
      </c>
      <c r="J392" s="58">
        <f t="shared" si="85"/>
        <v>487.87878787878782</v>
      </c>
      <c r="K392" s="58">
        <v>1600</v>
      </c>
      <c r="L392" s="59">
        <f t="shared" si="86"/>
        <v>1550</v>
      </c>
      <c r="M392" s="58">
        <f t="shared" si="87"/>
        <v>1162.5</v>
      </c>
      <c r="N392" s="58">
        <f t="shared" si="88"/>
        <v>1007.5</v>
      </c>
      <c r="O392" s="58">
        <f t="shared" si="89"/>
        <v>800</v>
      </c>
      <c r="P392" s="58">
        <f t="shared" si="90"/>
        <v>1062.1212121212122</v>
      </c>
      <c r="Q392" s="60">
        <f t="shared" si="91"/>
        <v>2.1770186335403734</v>
      </c>
      <c r="R392" s="58">
        <f t="shared" si="92"/>
        <v>674.62121212121224</v>
      </c>
      <c r="S392" s="58">
        <f t="shared" si="93"/>
        <v>519.62121212121224</v>
      </c>
      <c r="T392" s="58">
        <f t="shared" si="94"/>
        <v>312.12121212121218</v>
      </c>
      <c r="U392" s="60">
        <f t="shared" si="95"/>
        <v>1.3827639751552798</v>
      </c>
      <c r="V392" s="60">
        <f t="shared" si="96"/>
        <v>1.0650621118012427</v>
      </c>
      <c r="W392" s="60">
        <f t="shared" si="97"/>
        <v>0.63975155279503126</v>
      </c>
      <c r="X392" s="61"/>
      <c r="Y392" s="1"/>
      <c r="Z392" s="1"/>
    </row>
    <row r="393" spans="1:26" ht="15.75" customHeight="1">
      <c r="A393" s="54"/>
      <c r="B393" s="162"/>
      <c r="C393" s="33"/>
      <c r="D393" s="55" t="s">
        <v>450</v>
      </c>
      <c r="E393" s="55" t="s">
        <v>1674</v>
      </c>
      <c r="F393" s="56" t="s">
        <v>1675</v>
      </c>
      <c r="G393" s="57" t="s">
        <v>1676</v>
      </c>
      <c r="H393" s="58">
        <v>24000</v>
      </c>
      <c r="I393" s="58">
        <f t="shared" si="84"/>
        <v>16800</v>
      </c>
      <c r="J393" s="58">
        <f t="shared" si="85"/>
        <v>509.09090909090907</v>
      </c>
      <c r="K393" s="58">
        <v>1700</v>
      </c>
      <c r="L393" s="59">
        <f t="shared" si="86"/>
        <v>1650</v>
      </c>
      <c r="M393" s="58">
        <f t="shared" si="87"/>
        <v>1237.5</v>
      </c>
      <c r="N393" s="58">
        <f t="shared" si="88"/>
        <v>1072.5</v>
      </c>
      <c r="O393" s="58">
        <f t="shared" si="89"/>
        <v>850</v>
      </c>
      <c r="P393" s="58">
        <f t="shared" si="90"/>
        <v>1140.909090909091</v>
      </c>
      <c r="Q393" s="60">
        <f t="shared" si="91"/>
        <v>2.2410714285714288</v>
      </c>
      <c r="R393" s="58">
        <f t="shared" si="92"/>
        <v>728.40909090909099</v>
      </c>
      <c r="S393" s="58">
        <f t="shared" si="93"/>
        <v>563.40909090909099</v>
      </c>
      <c r="T393" s="58">
        <f t="shared" si="94"/>
        <v>340.90909090909093</v>
      </c>
      <c r="U393" s="60">
        <f t="shared" si="95"/>
        <v>1.4308035714285716</v>
      </c>
      <c r="V393" s="60">
        <f t="shared" si="96"/>
        <v>1.1066964285714287</v>
      </c>
      <c r="W393" s="60">
        <f t="shared" si="97"/>
        <v>0.66964285714285721</v>
      </c>
      <c r="X393" s="61"/>
      <c r="Y393" s="1"/>
      <c r="Z393" s="1"/>
    </row>
    <row r="394" spans="1:26" ht="15.75" customHeight="1">
      <c r="A394" s="54"/>
      <c r="B394" s="161"/>
      <c r="C394" s="33"/>
      <c r="D394" s="55" t="s">
        <v>1163</v>
      </c>
      <c r="E394" s="55" t="s">
        <v>607</v>
      </c>
      <c r="F394" s="56"/>
      <c r="G394" s="57" t="s">
        <v>1677</v>
      </c>
      <c r="H394" s="58">
        <v>18000</v>
      </c>
      <c r="I394" s="58">
        <f t="shared" si="84"/>
        <v>12600</v>
      </c>
      <c r="J394" s="58">
        <f t="shared" si="85"/>
        <v>381.81818181818181</v>
      </c>
      <c r="K394" s="58">
        <v>1400</v>
      </c>
      <c r="L394" s="59">
        <f t="shared" si="86"/>
        <v>1350</v>
      </c>
      <c r="M394" s="58">
        <f t="shared" si="87"/>
        <v>1012.5</v>
      </c>
      <c r="N394" s="58">
        <f t="shared" si="88"/>
        <v>877.5</v>
      </c>
      <c r="O394" s="58">
        <f t="shared" si="89"/>
        <v>700</v>
      </c>
      <c r="P394" s="58">
        <f t="shared" si="90"/>
        <v>968.18181818181824</v>
      </c>
      <c r="Q394" s="60">
        <f t="shared" si="91"/>
        <v>2.535714285714286</v>
      </c>
      <c r="R394" s="58">
        <f t="shared" si="92"/>
        <v>630.68181818181824</v>
      </c>
      <c r="S394" s="58">
        <f t="shared" si="93"/>
        <v>495.68181818181819</v>
      </c>
      <c r="T394" s="58">
        <f t="shared" si="94"/>
        <v>318.18181818181819</v>
      </c>
      <c r="U394" s="60">
        <f t="shared" si="95"/>
        <v>1.6517857142857144</v>
      </c>
      <c r="V394" s="60">
        <f t="shared" si="96"/>
        <v>1.2982142857142858</v>
      </c>
      <c r="W394" s="60">
        <f t="shared" si="97"/>
        <v>0.83333333333333337</v>
      </c>
      <c r="X394" s="61"/>
      <c r="Y394" s="1"/>
      <c r="Z394" s="1"/>
    </row>
    <row r="395" spans="1:26" ht="15.75" customHeight="1">
      <c r="A395" s="54"/>
      <c r="B395" s="75" t="s">
        <v>66</v>
      </c>
      <c r="C395" s="33"/>
      <c r="D395" s="55" t="s">
        <v>1678</v>
      </c>
      <c r="E395" s="55" t="s">
        <v>1679</v>
      </c>
      <c r="F395" s="56"/>
      <c r="G395" s="57" t="s">
        <v>1680</v>
      </c>
      <c r="H395" s="58">
        <v>20000</v>
      </c>
      <c r="I395" s="58">
        <f t="shared" si="84"/>
        <v>14000</v>
      </c>
      <c r="J395" s="58">
        <f t="shared" si="85"/>
        <v>424.24242424242425</v>
      </c>
      <c r="K395" s="58">
        <v>1450</v>
      </c>
      <c r="L395" s="59">
        <f t="shared" si="86"/>
        <v>1400</v>
      </c>
      <c r="M395" s="58">
        <f t="shared" si="87"/>
        <v>1050</v>
      </c>
      <c r="N395" s="58">
        <f t="shared" si="88"/>
        <v>910</v>
      </c>
      <c r="O395" s="58">
        <f t="shared" si="89"/>
        <v>725</v>
      </c>
      <c r="P395" s="58">
        <f t="shared" si="90"/>
        <v>975.75757575757575</v>
      </c>
      <c r="Q395" s="60">
        <f t="shared" si="91"/>
        <v>2.2999999999999998</v>
      </c>
      <c r="R395" s="58">
        <f t="shared" si="92"/>
        <v>625.75757575757575</v>
      </c>
      <c r="S395" s="58">
        <f t="shared" si="93"/>
        <v>485.75757575757575</v>
      </c>
      <c r="T395" s="58">
        <f t="shared" si="94"/>
        <v>300.75757575757575</v>
      </c>
      <c r="U395" s="60">
        <f t="shared" si="95"/>
        <v>1.4749999999999999</v>
      </c>
      <c r="V395" s="60">
        <f t="shared" si="96"/>
        <v>1.145</v>
      </c>
      <c r="W395" s="60">
        <f t="shared" si="97"/>
        <v>0.70892857142857135</v>
      </c>
      <c r="X395" s="61"/>
      <c r="Y395" s="1"/>
      <c r="Z395" s="1"/>
    </row>
    <row r="396" spans="1:26" ht="15.75" customHeight="1">
      <c r="A396" s="54"/>
      <c r="B396" s="160" t="s">
        <v>1336</v>
      </c>
      <c r="C396" s="33"/>
      <c r="D396" s="55" t="s">
        <v>1681</v>
      </c>
      <c r="E396" s="55" t="s">
        <v>607</v>
      </c>
      <c r="F396" s="56"/>
      <c r="G396" s="57" t="s">
        <v>1682</v>
      </c>
      <c r="H396" s="58">
        <v>18000</v>
      </c>
      <c r="I396" s="58">
        <f t="shared" si="84"/>
        <v>12600</v>
      </c>
      <c r="J396" s="58">
        <f t="shared" si="85"/>
        <v>381.81818181818181</v>
      </c>
      <c r="K396" s="58">
        <v>1450</v>
      </c>
      <c r="L396" s="59">
        <f t="shared" si="86"/>
        <v>1400</v>
      </c>
      <c r="M396" s="58">
        <f t="shared" si="87"/>
        <v>1050</v>
      </c>
      <c r="N396" s="58">
        <f t="shared" si="88"/>
        <v>910</v>
      </c>
      <c r="O396" s="58">
        <f t="shared" si="89"/>
        <v>725</v>
      </c>
      <c r="P396" s="58">
        <f t="shared" si="90"/>
        <v>1018.1818181818182</v>
      </c>
      <c r="Q396" s="60">
        <f t="shared" si="91"/>
        <v>2.666666666666667</v>
      </c>
      <c r="R396" s="58">
        <f t="shared" si="92"/>
        <v>668.18181818181824</v>
      </c>
      <c r="S396" s="58">
        <f t="shared" si="93"/>
        <v>528.18181818181824</v>
      </c>
      <c r="T396" s="58">
        <f t="shared" si="94"/>
        <v>343.18181818181819</v>
      </c>
      <c r="U396" s="60">
        <f t="shared" si="95"/>
        <v>1.7500000000000002</v>
      </c>
      <c r="V396" s="60">
        <f t="shared" si="96"/>
        <v>1.3833333333333335</v>
      </c>
      <c r="W396" s="60">
        <f t="shared" si="97"/>
        <v>0.89880952380952384</v>
      </c>
      <c r="X396" s="61"/>
      <c r="Y396" s="1"/>
      <c r="Z396" s="1"/>
    </row>
    <row r="397" spans="1:26" ht="15.75" customHeight="1">
      <c r="A397" s="54"/>
      <c r="B397" s="162"/>
      <c r="C397" s="33"/>
      <c r="D397" s="55" t="s">
        <v>1683</v>
      </c>
      <c r="E397" s="55" t="s">
        <v>607</v>
      </c>
      <c r="F397" s="56"/>
      <c r="G397" s="57" t="s">
        <v>1684</v>
      </c>
      <c r="H397" s="58">
        <v>18000</v>
      </c>
      <c r="I397" s="58">
        <f t="shared" si="84"/>
        <v>12600</v>
      </c>
      <c r="J397" s="58">
        <f t="shared" si="85"/>
        <v>381.81818181818181</v>
      </c>
      <c r="K397" s="58">
        <v>1450</v>
      </c>
      <c r="L397" s="59">
        <f t="shared" si="86"/>
        <v>1400</v>
      </c>
      <c r="M397" s="58">
        <f t="shared" si="87"/>
        <v>1050</v>
      </c>
      <c r="N397" s="58">
        <f t="shared" si="88"/>
        <v>910</v>
      </c>
      <c r="O397" s="58">
        <f t="shared" si="89"/>
        <v>725</v>
      </c>
      <c r="P397" s="58">
        <f t="shared" si="90"/>
        <v>1018.1818181818182</v>
      </c>
      <c r="Q397" s="60">
        <f t="shared" si="91"/>
        <v>2.666666666666667</v>
      </c>
      <c r="R397" s="58">
        <f t="shared" si="92"/>
        <v>668.18181818181824</v>
      </c>
      <c r="S397" s="58">
        <f t="shared" si="93"/>
        <v>528.18181818181824</v>
      </c>
      <c r="T397" s="58">
        <f t="shared" si="94"/>
        <v>343.18181818181819</v>
      </c>
      <c r="U397" s="60">
        <f t="shared" si="95"/>
        <v>1.7500000000000002</v>
      </c>
      <c r="V397" s="60">
        <f t="shared" si="96"/>
        <v>1.3833333333333335</v>
      </c>
      <c r="W397" s="60">
        <f t="shared" si="97"/>
        <v>0.89880952380952384</v>
      </c>
      <c r="X397" s="61"/>
      <c r="Y397" s="1"/>
      <c r="Z397" s="1"/>
    </row>
    <row r="398" spans="1:26" ht="15.75" customHeight="1">
      <c r="A398" s="54"/>
      <c r="B398" s="161"/>
      <c r="C398" s="33"/>
      <c r="D398" s="55" t="s">
        <v>1683</v>
      </c>
      <c r="E398" s="55" t="s">
        <v>607</v>
      </c>
      <c r="F398" s="56"/>
      <c r="G398" s="57" t="s">
        <v>1685</v>
      </c>
      <c r="H398" s="58">
        <v>20000</v>
      </c>
      <c r="I398" s="58">
        <f t="shared" si="84"/>
        <v>14000</v>
      </c>
      <c r="J398" s="58">
        <f t="shared" si="85"/>
        <v>424.24242424242425</v>
      </c>
      <c r="K398" s="58">
        <v>1450</v>
      </c>
      <c r="L398" s="59">
        <f t="shared" si="86"/>
        <v>1400</v>
      </c>
      <c r="M398" s="58">
        <f t="shared" si="87"/>
        <v>1050</v>
      </c>
      <c r="N398" s="58">
        <f t="shared" si="88"/>
        <v>910</v>
      </c>
      <c r="O398" s="58">
        <f t="shared" si="89"/>
        <v>725</v>
      </c>
      <c r="P398" s="58">
        <f t="shared" si="90"/>
        <v>975.75757575757575</v>
      </c>
      <c r="Q398" s="60">
        <f t="shared" si="91"/>
        <v>2.2999999999999998</v>
      </c>
      <c r="R398" s="58">
        <f t="shared" si="92"/>
        <v>625.75757575757575</v>
      </c>
      <c r="S398" s="58">
        <f t="shared" si="93"/>
        <v>485.75757575757575</v>
      </c>
      <c r="T398" s="58">
        <f t="shared" si="94"/>
        <v>300.75757575757575</v>
      </c>
      <c r="U398" s="60">
        <f t="shared" si="95"/>
        <v>1.4749999999999999</v>
      </c>
      <c r="V398" s="60">
        <f t="shared" si="96"/>
        <v>1.145</v>
      </c>
      <c r="W398" s="60">
        <f t="shared" si="97"/>
        <v>0.70892857142857135</v>
      </c>
      <c r="X398" s="61"/>
      <c r="Y398" s="1"/>
      <c r="Z398" s="1"/>
    </row>
    <row r="399" spans="1:26" ht="15.75" customHeight="1">
      <c r="A399" s="54"/>
      <c r="B399" s="160" t="s">
        <v>655</v>
      </c>
      <c r="C399" s="33"/>
      <c r="D399" s="55" t="s">
        <v>1686</v>
      </c>
      <c r="E399" s="55" t="s">
        <v>68</v>
      </c>
      <c r="F399" s="56"/>
      <c r="G399" s="57" t="s">
        <v>1687</v>
      </c>
      <c r="H399" s="58">
        <v>18000</v>
      </c>
      <c r="I399" s="58">
        <f t="shared" si="84"/>
        <v>12600</v>
      </c>
      <c r="J399" s="58">
        <f t="shared" si="85"/>
        <v>381.81818181818181</v>
      </c>
      <c r="K399" s="58">
        <v>1400</v>
      </c>
      <c r="L399" s="59">
        <f t="shared" si="86"/>
        <v>1350</v>
      </c>
      <c r="M399" s="58">
        <f t="shared" si="87"/>
        <v>1012.5</v>
      </c>
      <c r="N399" s="58">
        <f t="shared" si="88"/>
        <v>877.5</v>
      </c>
      <c r="O399" s="58">
        <f t="shared" si="89"/>
        <v>700</v>
      </c>
      <c r="P399" s="58">
        <f t="shared" si="90"/>
        <v>968.18181818181824</v>
      </c>
      <c r="Q399" s="60">
        <f t="shared" si="91"/>
        <v>2.535714285714286</v>
      </c>
      <c r="R399" s="58">
        <f t="shared" si="92"/>
        <v>630.68181818181824</v>
      </c>
      <c r="S399" s="58">
        <f t="shared" si="93"/>
        <v>495.68181818181819</v>
      </c>
      <c r="T399" s="58">
        <f t="shared" si="94"/>
        <v>318.18181818181819</v>
      </c>
      <c r="U399" s="60">
        <f t="shared" si="95"/>
        <v>1.6517857142857144</v>
      </c>
      <c r="V399" s="60">
        <f t="shared" si="96"/>
        <v>1.2982142857142858</v>
      </c>
      <c r="W399" s="60">
        <f t="shared" si="97"/>
        <v>0.83333333333333337</v>
      </c>
      <c r="X399" s="61"/>
      <c r="Y399" s="1"/>
      <c r="Z399" s="1"/>
    </row>
    <row r="400" spans="1:26" ht="15.75" customHeight="1">
      <c r="A400" s="54"/>
      <c r="B400" s="162"/>
      <c r="C400" s="33"/>
      <c r="D400" s="55" t="s">
        <v>1688</v>
      </c>
      <c r="E400" s="55" t="s">
        <v>607</v>
      </c>
      <c r="F400" s="56"/>
      <c r="G400" s="57" t="s">
        <v>1689</v>
      </c>
      <c r="H400" s="58">
        <v>20000</v>
      </c>
      <c r="I400" s="58">
        <f t="shared" si="84"/>
        <v>14000</v>
      </c>
      <c r="J400" s="58">
        <f t="shared" si="85"/>
        <v>424.24242424242425</v>
      </c>
      <c r="K400" s="58">
        <v>1400</v>
      </c>
      <c r="L400" s="59">
        <f t="shared" si="86"/>
        <v>1350</v>
      </c>
      <c r="M400" s="58">
        <f t="shared" si="87"/>
        <v>1012.5</v>
      </c>
      <c r="N400" s="58">
        <f t="shared" si="88"/>
        <v>877.5</v>
      </c>
      <c r="O400" s="58">
        <f t="shared" si="89"/>
        <v>700</v>
      </c>
      <c r="P400" s="58">
        <f t="shared" si="90"/>
        <v>925.75757575757575</v>
      </c>
      <c r="Q400" s="60">
        <f t="shared" si="91"/>
        <v>2.1821428571428569</v>
      </c>
      <c r="R400" s="58">
        <f t="shared" si="92"/>
        <v>588.25757575757575</v>
      </c>
      <c r="S400" s="58">
        <f t="shared" si="93"/>
        <v>453.25757575757575</v>
      </c>
      <c r="T400" s="58">
        <f t="shared" si="94"/>
        <v>275.75757575757575</v>
      </c>
      <c r="U400" s="60">
        <f t="shared" si="95"/>
        <v>1.3866071428571429</v>
      </c>
      <c r="V400" s="60">
        <f t="shared" si="96"/>
        <v>1.0683928571428571</v>
      </c>
      <c r="W400" s="60">
        <f t="shared" si="97"/>
        <v>0.65</v>
      </c>
      <c r="X400" s="61"/>
      <c r="Y400" s="1"/>
      <c r="Z400" s="1"/>
    </row>
    <row r="401" spans="1:26" ht="15.75" customHeight="1">
      <c r="A401" s="54"/>
      <c r="B401" s="162"/>
      <c r="C401" s="33"/>
      <c r="D401" s="55" t="s">
        <v>775</v>
      </c>
      <c r="E401" s="55" t="s">
        <v>607</v>
      </c>
      <c r="F401" s="56"/>
      <c r="G401" s="57" t="s">
        <v>1690</v>
      </c>
      <c r="H401" s="58">
        <v>18000</v>
      </c>
      <c r="I401" s="58">
        <f t="shared" si="84"/>
        <v>12600</v>
      </c>
      <c r="J401" s="58">
        <f t="shared" si="85"/>
        <v>381.81818181818181</v>
      </c>
      <c r="K401" s="58">
        <v>1400</v>
      </c>
      <c r="L401" s="59">
        <f t="shared" si="86"/>
        <v>1350</v>
      </c>
      <c r="M401" s="58">
        <f t="shared" si="87"/>
        <v>1012.5</v>
      </c>
      <c r="N401" s="58">
        <f t="shared" si="88"/>
        <v>877.5</v>
      </c>
      <c r="O401" s="58">
        <f t="shared" si="89"/>
        <v>700</v>
      </c>
      <c r="P401" s="58">
        <f t="shared" si="90"/>
        <v>968.18181818181824</v>
      </c>
      <c r="Q401" s="60">
        <f t="shared" si="91"/>
        <v>2.535714285714286</v>
      </c>
      <c r="R401" s="58">
        <f t="shared" si="92"/>
        <v>630.68181818181824</v>
      </c>
      <c r="S401" s="58">
        <f t="shared" si="93"/>
        <v>495.68181818181819</v>
      </c>
      <c r="T401" s="58">
        <f t="shared" si="94"/>
        <v>318.18181818181819</v>
      </c>
      <c r="U401" s="60">
        <f t="shared" si="95"/>
        <v>1.6517857142857144</v>
      </c>
      <c r="V401" s="60">
        <f t="shared" si="96"/>
        <v>1.2982142857142858</v>
      </c>
      <c r="W401" s="60">
        <f t="shared" si="97"/>
        <v>0.83333333333333337</v>
      </c>
      <c r="X401" s="61"/>
      <c r="Y401" s="1"/>
      <c r="Z401" s="1"/>
    </row>
    <row r="402" spans="1:26" ht="15.75" customHeight="1">
      <c r="A402" s="54"/>
      <c r="B402" s="161"/>
      <c r="C402" s="33"/>
      <c r="D402" s="55" t="s">
        <v>1691</v>
      </c>
      <c r="E402" s="55" t="s">
        <v>607</v>
      </c>
      <c r="F402" s="56"/>
      <c r="G402" s="57" t="s">
        <v>1692</v>
      </c>
      <c r="H402" s="58">
        <v>18000</v>
      </c>
      <c r="I402" s="58">
        <f t="shared" si="84"/>
        <v>12600</v>
      </c>
      <c r="J402" s="58">
        <f t="shared" si="85"/>
        <v>381.81818181818181</v>
      </c>
      <c r="K402" s="58">
        <v>1400</v>
      </c>
      <c r="L402" s="59">
        <f t="shared" si="86"/>
        <v>1350</v>
      </c>
      <c r="M402" s="58">
        <f t="shared" si="87"/>
        <v>1012.5</v>
      </c>
      <c r="N402" s="58">
        <f t="shared" si="88"/>
        <v>877.5</v>
      </c>
      <c r="O402" s="58">
        <f t="shared" si="89"/>
        <v>700</v>
      </c>
      <c r="P402" s="58">
        <f t="shared" si="90"/>
        <v>968.18181818181824</v>
      </c>
      <c r="Q402" s="60">
        <f t="shared" si="91"/>
        <v>2.535714285714286</v>
      </c>
      <c r="R402" s="58">
        <f t="shared" si="92"/>
        <v>630.68181818181824</v>
      </c>
      <c r="S402" s="58">
        <f t="shared" si="93"/>
        <v>495.68181818181819</v>
      </c>
      <c r="T402" s="58">
        <f t="shared" si="94"/>
        <v>318.18181818181819</v>
      </c>
      <c r="U402" s="60">
        <f t="shared" si="95"/>
        <v>1.6517857142857144</v>
      </c>
      <c r="V402" s="60">
        <f t="shared" si="96"/>
        <v>1.2982142857142858</v>
      </c>
      <c r="W402" s="60">
        <f t="shared" si="97"/>
        <v>0.83333333333333337</v>
      </c>
      <c r="X402" s="61"/>
      <c r="Y402" s="1"/>
      <c r="Z402" s="1"/>
    </row>
    <row r="403" spans="1:26" ht="15.75" customHeight="1">
      <c r="A403" s="54"/>
      <c r="B403" s="75" t="s">
        <v>217</v>
      </c>
      <c r="C403" s="33"/>
      <c r="D403" s="55" t="s">
        <v>1693</v>
      </c>
      <c r="E403" s="55" t="s">
        <v>607</v>
      </c>
      <c r="F403" s="56"/>
      <c r="G403" s="57" t="s">
        <v>1694</v>
      </c>
      <c r="H403" s="58">
        <v>15000</v>
      </c>
      <c r="I403" s="58">
        <f t="shared" si="84"/>
        <v>10500</v>
      </c>
      <c r="J403" s="58">
        <f t="shared" si="85"/>
        <v>318.18181818181819</v>
      </c>
      <c r="K403" s="58">
        <v>1300</v>
      </c>
      <c r="L403" s="59">
        <f t="shared" si="86"/>
        <v>1250</v>
      </c>
      <c r="M403" s="58">
        <f t="shared" si="87"/>
        <v>937.5</v>
      </c>
      <c r="N403" s="58">
        <f t="shared" si="88"/>
        <v>812.5</v>
      </c>
      <c r="O403" s="58">
        <f t="shared" si="89"/>
        <v>650</v>
      </c>
      <c r="P403" s="58">
        <f t="shared" si="90"/>
        <v>931.81818181818176</v>
      </c>
      <c r="Q403" s="60">
        <f t="shared" si="91"/>
        <v>2.9285714285714284</v>
      </c>
      <c r="R403" s="58">
        <f t="shared" si="92"/>
        <v>619.31818181818176</v>
      </c>
      <c r="S403" s="58">
        <f t="shared" si="93"/>
        <v>494.31818181818181</v>
      </c>
      <c r="T403" s="58">
        <f t="shared" si="94"/>
        <v>331.81818181818181</v>
      </c>
      <c r="U403" s="60">
        <f t="shared" si="95"/>
        <v>1.9464285714285712</v>
      </c>
      <c r="V403" s="60">
        <f t="shared" si="96"/>
        <v>1.5535714285714286</v>
      </c>
      <c r="W403" s="60">
        <f t="shared" si="97"/>
        <v>1.0428571428571429</v>
      </c>
      <c r="X403" s="61"/>
      <c r="Y403" s="1"/>
      <c r="Z403" s="1"/>
    </row>
    <row r="404" spans="1:26" ht="15.75" customHeight="1">
      <c r="A404" s="54"/>
      <c r="B404" s="75" t="s">
        <v>1409</v>
      </c>
      <c r="C404" s="33"/>
      <c r="D404" s="55" t="s">
        <v>1410</v>
      </c>
      <c r="E404" s="55" t="s">
        <v>68</v>
      </c>
      <c r="F404" s="56"/>
      <c r="G404" s="57" t="s">
        <v>1695</v>
      </c>
      <c r="H404" s="58">
        <v>28000</v>
      </c>
      <c r="I404" s="58">
        <f t="shared" si="84"/>
        <v>19600</v>
      </c>
      <c r="J404" s="58">
        <f t="shared" si="85"/>
        <v>593.93939393939399</v>
      </c>
      <c r="K404" s="58">
        <v>1800</v>
      </c>
      <c r="L404" s="59">
        <f t="shared" si="86"/>
        <v>1750</v>
      </c>
      <c r="M404" s="58">
        <f t="shared" si="87"/>
        <v>1312.5</v>
      </c>
      <c r="N404" s="58">
        <f t="shared" si="88"/>
        <v>1137.5</v>
      </c>
      <c r="O404" s="58">
        <f t="shared" si="89"/>
        <v>900</v>
      </c>
      <c r="P404" s="58">
        <f t="shared" si="90"/>
        <v>1156.060606060606</v>
      </c>
      <c r="Q404" s="60">
        <f t="shared" si="91"/>
        <v>1.9464285714285712</v>
      </c>
      <c r="R404" s="58">
        <f t="shared" si="92"/>
        <v>718.56060606060601</v>
      </c>
      <c r="S404" s="58">
        <f t="shared" si="93"/>
        <v>543.56060606060601</v>
      </c>
      <c r="T404" s="58">
        <f t="shared" si="94"/>
        <v>306.06060606060601</v>
      </c>
      <c r="U404" s="60">
        <f t="shared" si="95"/>
        <v>1.2098214285714284</v>
      </c>
      <c r="V404" s="60">
        <f t="shared" si="96"/>
        <v>0.91517857142857129</v>
      </c>
      <c r="W404" s="60">
        <f t="shared" si="97"/>
        <v>0.51530612244897944</v>
      </c>
      <c r="X404" s="61"/>
      <c r="Y404" s="1"/>
      <c r="Z404" s="1"/>
    </row>
    <row r="405" spans="1:26" ht="15.75" customHeight="1">
      <c r="A405" s="97" t="s">
        <v>1696</v>
      </c>
      <c r="B405" s="160" t="s">
        <v>446</v>
      </c>
      <c r="C405" s="43"/>
      <c r="D405" s="55" t="s">
        <v>1436</v>
      </c>
      <c r="E405" s="76" t="s">
        <v>1697</v>
      </c>
      <c r="F405" s="56"/>
      <c r="G405" s="57" t="s">
        <v>1698</v>
      </c>
      <c r="H405" s="58">
        <v>18000</v>
      </c>
      <c r="I405" s="58">
        <f t="shared" si="84"/>
        <v>12600</v>
      </c>
      <c r="J405" s="58">
        <f t="shared" si="85"/>
        <v>381.81818181818181</v>
      </c>
      <c r="K405" s="58">
        <v>1850</v>
      </c>
      <c r="L405" s="59">
        <f t="shared" si="86"/>
        <v>1800</v>
      </c>
      <c r="M405" s="58">
        <f t="shared" si="87"/>
        <v>1350</v>
      </c>
      <c r="N405" s="58">
        <f t="shared" si="88"/>
        <v>1170</v>
      </c>
      <c r="O405" s="58">
        <f t="shared" si="89"/>
        <v>925</v>
      </c>
      <c r="P405" s="58">
        <f t="shared" si="90"/>
        <v>1418.1818181818182</v>
      </c>
      <c r="Q405" s="60">
        <f t="shared" si="91"/>
        <v>3.7142857142857144</v>
      </c>
      <c r="R405" s="58">
        <f t="shared" si="92"/>
        <v>968.18181818181824</v>
      </c>
      <c r="S405" s="58">
        <f t="shared" si="93"/>
        <v>788.18181818181824</v>
      </c>
      <c r="T405" s="58">
        <f t="shared" si="94"/>
        <v>543.18181818181824</v>
      </c>
      <c r="U405" s="60">
        <f t="shared" si="95"/>
        <v>2.535714285714286</v>
      </c>
      <c r="V405" s="60">
        <f t="shared" si="96"/>
        <v>2.0642857142857145</v>
      </c>
      <c r="W405" s="60">
        <f t="shared" si="97"/>
        <v>1.4226190476190479</v>
      </c>
      <c r="X405" s="61"/>
      <c r="Y405" s="1"/>
      <c r="Z405" s="1"/>
    </row>
    <row r="406" spans="1:26" ht="15.75" customHeight="1">
      <c r="A406" s="54"/>
      <c r="B406" s="161"/>
      <c r="C406" s="33"/>
      <c r="D406" s="55" t="s">
        <v>1699</v>
      </c>
      <c r="E406" s="76" t="s">
        <v>1697</v>
      </c>
      <c r="F406" s="56"/>
      <c r="G406" s="57"/>
      <c r="H406" s="58">
        <v>18000</v>
      </c>
      <c r="I406" s="58">
        <f t="shared" si="84"/>
        <v>12600</v>
      </c>
      <c r="J406" s="58">
        <f t="shared" si="85"/>
        <v>381.81818181818181</v>
      </c>
      <c r="K406" s="58">
        <v>1850</v>
      </c>
      <c r="L406" s="59">
        <f t="shared" si="86"/>
        <v>1800</v>
      </c>
      <c r="M406" s="58">
        <f t="shared" si="87"/>
        <v>1350</v>
      </c>
      <c r="N406" s="58">
        <f t="shared" si="88"/>
        <v>1170</v>
      </c>
      <c r="O406" s="58">
        <f t="shared" si="89"/>
        <v>925</v>
      </c>
      <c r="P406" s="58">
        <f t="shared" si="90"/>
        <v>1418.1818181818182</v>
      </c>
      <c r="Q406" s="60">
        <f t="shared" si="91"/>
        <v>3.7142857142857144</v>
      </c>
      <c r="R406" s="58">
        <f t="shared" si="92"/>
        <v>968.18181818181824</v>
      </c>
      <c r="S406" s="58">
        <f t="shared" si="93"/>
        <v>788.18181818181824</v>
      </c>
      <c r="T406" s="58">
        <f t="shared" si="94"/>
        <v>543.18181818181824</v>
      </c>
      <c r="U406" s="60">
        <f t="shared" si="95"/>
        <v>2.535714285714286</v>
      </c>
      <c r="V406" s="60">
        <f t="shared" si="96"/>
        <v>2.0642857142857145</v>
      </c>
      <c r="W406" s="60">
        <f t="shared" si="97"/>
        <v>1.4226190476190479</v>
      </c>
      <c r="X406" s="61"/>
      <c r="Y406" s="1"/>
      <c r="Z406" s="1"/>
    </row>
    <row r="407" spans="1:26" ht="15.75" customHeight="1">
      <c r="A407" s="54"/>
      <c r="B407" s="160" t="s">
        <v>217</v>
      </c>
      <c r="C407" s="33"/>
      <c r="D407" s="55" t="s">
        <v>1700</v>
      </c>
      <c r="E407" s="76" t="s">
        <v>1697</v>
      </c>
      <c r="F407" s="56"/>
      <c r="G407" s="57" t="s">
        <v>1701</v>
      </c>
      <c r="H407" s="58">
        <v>18000</v>
      </c>
      <c r="I407" s="58">
        <f t="shared" si="84"/>
        <v>12600</v>
      </c>
      <c r="J407" s="58">
        <f t="shared" si="85"/>
        <v>381.81818181818181</v>
      </c>
      <c r="K407" s="58">
        <v>1850</v>
      </c>
      <c r="L407" s="59">
        <f t="shared" si="86"/>
        <v>1800</v>
      </c>
      <c r="M407" s="58">
        <f t="shared" si="87"/>
        <v>1350</v>
      </c>
      <c r="N407" s="58">
        <f t="shared" si="88"/>
        <v>1170</v>
      </c>
      <c r="O407" s="58">
        <f t="shared" si="89"/>
        <v>925</v>
      </c>
      <c r="P407" s="58">
        <f t="shared" si="90"/>
        <v>1418.1818181818182</v>
      </c>
      <c r="Q407" s="60">
        <f t="shared" si="91"/>
        <v>3.7142857142857144</v>
      </c>
      <c r="R407" s="58">
        <f t="shared" si="92"/>
        <v>968.18181818181824</v>
      </c>
      <c r="S407" s="58">
        <f t="shared" si="93"/>
        <v>788.18181818181824</v>
      </c>
      <c r="T407" s="58">
        <f t="shared" si="94"/>
        <v>543.18181818181824</v>
      </c>
      <c r="U407" s="60">
        <f t="shared" si="95"/>
        <v>2.535714285714286</v>
      </c>
      <c r="V407" s="60">
        <f t="shared" si="96"/>
        <v>2.0642857142857145</v>
      </c>
      <c r="W407" s="60">
        <f t="shared" si="97"/>
        <v>1.4226190476190479</v>
      </c>
      <c r="X407" s="61"/>
      <c r="Y407" s="1"/>
      <c r="Z407" s="1"/>
    </row>
    <row r="408" spans="1:26" ht="15.75" customHeight="1">
      <c r="A408" s="54"/>
      <c r="B408" s="161"/>
      <c r="C408" s="33"/>
      <c r="D408" s="55" t="s">
        <v>251</v>
      </c>
      <c r="E408" s="76" t="s">
        <v>1697</v>
      </c>
      <c r="F408" s="56"/>
      <c r="G408" s="57" t="s">
        <v>1702</v>
      </c>
      <c r="H408" s="58">
        <v>18000</v>
      </c>
      <c r="I408" s="58">
        <f t="shared" si="84"/>
        <v>12600</v>
      </c>
      <c r="J408" s="58">
        <f t="shared" si="85"/>
        <v>381.81818181818181</v>
      </c>
      <c r="K408" s="58">
        <v>1850</v>
      </c>
      <c r="L408" s="59">
        <f t="shared" si="86"/>
        <v>1800</v>
      </c>
      <c r="M408" s="58">
        <f t="shared" si="87"/>
        <v>1350</v>
      </c>
      <c r="N408" s="58">
        <f t="shared" si="88"/>
        <v>1170</v>
      </c>
      <c r="O408" s="58">
        <f t="shared" si="89"/>
        <v>925</v>
      </c>
      <c r="P408" s="58">
        <f t="shared" si="90"/>
        <v>1418.1818181818182</v>
      </c>
      <c r="Q408" s="60">
        <f t="shared" si="91"/>
        <v>3.7142857142857144</v>
      </c>
      <c r="R408" s="58">
        <f t="shared" si="92"/>
        <v>968.18181818181824</v>
      </c>
      <c r="S408" s="58">
        <f t="shared" si="93"/>
        <v>788.18181818181824</v>
      </c>
      <c r="T408" s="58">
        <f t="shared" si="94"/>
        <v>543.18181818181824</v>
      </c>
      <c r="U408" s="60">
        <f t="shared" si="95"/>
        <v>2.535714285714286</v>
      </c>
      <c r="V408" s="60">
        <f t="shared" si="96"/>
        <v>2.0642857142857145</v>
      </c>
      <c r="W408" s="60">
        <f t="shared" si="97"/>
        <v>1.4226190476190479</v>
      </c>
      <c r="X408" s="61" t="s">
        <v>47</v>
      </c>
      <c r="Y408" s="1"/>
      <c r="Z408" s="1"/>
    </row>
    <row r="409" spans="1:26" ht="15.75" customHeight="1">
      <c r="A409" s="54"/>
      <c r="B409" s="75" t="s">
        <v>388</v>
      </c>
      <c r="C409" s="33"/>
      <c r="D409" s="55" t="s">
        <v>1703</v>
      </c>
      <c r="E409" s="76" t="s">
        <v>1697</v>
      </c>
      <c r="F409" s="56"/>
      <c r="G409" s="57" t="s">
        <v>1704</v>
      </c>
      <c r="H409" s="58">
        <v>18000</v>
      </c>
      <c r="I409" s="58">
        <f t="shared" si="84"/>
        <v>12600</v>
      </c>
      <c r="J409" s="58">
        <f t="shared" si="85"/>
        <v>381.81818181818181</v>
      </c>
      <c r="K409" s="58">
        <v>1850</v>
      </c>
      <c r="L409" s="59">
        <f t="shared" si="86"/>
        <v>1800</v>
      </c>
      <c r="M409" s="58">
        <f t="shared" si="87"/>
        <v>1350</v>
      </c>
      <c r="N409" s="58">
        <f t="shared" si="88"/>
        <v>1170</v>
      </c>
      <c r="O409" s="58">
        <f t="shared" si="89"/>
        <v>925</v>
      </c>
      <c r="P409" s="58">
        <f t="shared" si="90"/>
        <v>1418.1818181818182</v>
      </c>
      <c r="Q409" s="60">
        <f t="shared" si="91"/>
        <v>3.7142857142857144</v>
      </c>
      <c r="R409" s="58">
        <f t="shared" si="92"/>
        <v>968.18181818181824</v>
      </c>
      <c r="S409" s="58">
        <f t="shared" si="93"/>
        <v>788.18181818181824</v>
      </c>
      <c r="T409" s="58">
        <f t="shared" si="94"/>
        <v>543.18181818181824</v>
      </c>
      <c r="U409" s="60">
        <f t="shared" si="95"/>
        <v>2.535714285714286</v>
      </c>
      <c r="V409" s="60">
        <f t="shared" si="96"/>
        <v>2.0642857142857145</v>
      </c>
      <c r="W409" s="60">
        <f t="shared" si="97"/>
        <v>1.4226190476190479</v>
      </c>
      <c r="X409" s="61"/>
      <c r="Y409" s="1"/>
      <c r="Z409" s="1"/>
    </row>
    <row r="410" spans="1:26" ht="15.75" customHeight="1">
      <c r="A410" s="86"/>
      <c r="B410" s="75" t="s">
        <v>1390</v>
      </c>
      <c r="C410" s="69"/>
      <c r="D410" s="55" t="s">
        <v>1705</v>
      </c>
      <c r="E410" s="76" t="s">
        <v>1697</v>
      </c>
      <c r="F410" s="56"/>
      <c r="G410" s="57" t="s">
        <v>1706</v>
      </c>
      <c r="H410" s="58">
        <v>18000</v>
      </c>
      <c r="I410" s="58">
        <f t="shared" si="84"/>
        <v>12600</v>
      </c>
      <c r="J410" s="58">
        <f t="shared" si="85"/>
        <v>381.81818181818181</v>
      </c>
      <c r="K410" s="58">
        <v>1850</v>
      </c>
      <c r="L410" s="59">
        <f t="shared" si="86"/>
        <v>1800</v>
      </c>
      <c r="M410" s="58">
        <f t="shared" si="87"/>
        <v>1350</v>
      </c>
      <c r="N410" s="58">
        <f t="shared" si="88"/>
        <v>1170</v>
      </c>
      <c r="O410" s="58">
        <f t="shared" si="89"/>
        <v>925</v>
      </c>
      <c r="P410" s="58">
        <f t="shared" si="90"/>
        <v>1418.1818181818182</v>
      </c>
      <c r="Q410" s="60">
        <f t="shared" si="91"/>
        <v>3.7142857142857144</v>
      </c>
      <c r="R410" s="58">
        <f t="shared" si="92"/>
        <v>968.18181818181824</v>
      </c>
      <c r="S410" s="58">
        <f t="shared" si="93"/>
        <v>788.18181818181824</v>
      </c>
      <c r="T410" s="58">
        <f t="shared" si="94"/>
        <v>543.18181818181824</v>
      </c>
      <c r="U410" s="60">
        <f t="shared" si="95"/>
        <v>2.535714285714286</v>
      </c>
      <c r="V410" s="60">
        <f t="shared" si="96"/>
        <v>2.0642857142857145</v>
      </c>
      <c r="W410" s="60">
        <f t="shared" si="97"/>
        <v>1.4226190476190479</v>
      </c>
      <c r="X410" s="61"/>
      <c r="Y410" s="1"/>
      <c r="Z410" s="1"/>
    </row>
    <row r="411" spans="1:26" ht="15.75" customHeight="1">
      <c r="A411" s="98"/>
      <c r="B411" s="32"/>
      <c r="C411" s="33"/>
      <c r="D411" s="34"/>
      <c r="E411" s="99"/>
      <c r="F411" s="35"/>
      <c r="G411" s="36"/>
      <c r="H411" s="37"/>
      <c r="I411" s="37"/>
      <c r="J411" s="37"/>
      <c r="K411" s="37"/>
      <c r="L411" s="38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9"/>
      <c r="Y411" s="1"/>
      <c r="Z411" s="1"/>
    </row>
    <row r="412" spans="1:26" ht="15.75" customHeight="1">
      <c r="A412" s="98"/>
      <c r="B412" s="32"/>
      <c r="C412" s="33"/>
      <c r="D412" s="34"/>
      <c r="E412" s="34"/>
      <c r="F412" s="35"/>
      <c r="G412" s="36"/>
      <c r="H412" s="37"/>
      <c r="I412" s="37"/>
      <c r="J412" s="37"/>
      <c r="K412" s="37"/>
      <c r="L412" s="38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9"/>
      <c r="Y412" s="1"/>
      <c r="Z412" s="1"/>
    </row>
    <row r="413" spans="1:26" ht="15.75" customHeight="1">
      <c r="A413" s="98"/>
      <c r="B413" s="32"/>
      <c r="C413" s="33"/>
      <c r="D413" s="34"/>
      <c r="E413" s="34"/>
      <c r="F413" s="35"/>
      <c r="G413" s="36"/>
      <c r="H413" s="37"/>
      <c r="I413" s="37"/>
      <c r="J413" s="37"/>
      <c r="K413" s="37"/>
      <c r="L413" s="38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9"/>
      <c r="Y413" s="1"/>
      <c r="Z413" s="1"/>
    </row>
    <row r="414" spans="1:26" ht="15.75" customHeight="1">
      <c r="A414" s="98"/>
      <c r="B414" s="32"/>
      <c r="C414" s="33"/>
      <c r="D414" s="34"/>
      <c r="E414" s="34"/>
      <c r="F414" s="35"/>
      <c r="G414" s="36"/>
      <c r="H414" s="37"/>
      <c r="I414" s="37"/>
      <c r="J414" s="37"/>
      <c r="K414" s="37"/>
      <c r="L414" s="38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9"/>
      <c r="Y414" s="1"/>
      <c r="Z414" s="1"/>
    </row>
    <row r="415" spans="1:26" ht="15.75" customHeight="1">
      <c r="A415" s="98"/>
      <c r="B415" s="32"/>
      <c r="C415" s="33"/>
      <c r="D415" s="34"/>
      <c r="E415" s="34"/>
      <c r="F415" s="35"/>
      <c r="G415" s="36"/>
      <c r="H415" s="37"/>
      <c r="I415" s="37"/>
      <c r="J415" s="37"/>
      <c r="K415" s="37"/>
      <c r="L415" s="38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9"/>
      <c r="Y415" s="1"/>
      <c r="Z415" s="1"/>
    </row>
    <row r="416" spans="1:26" ht="15.75" customHeight="1">
      <c r="A416" s="98"/>
      <c r="B416" s="32"/>
      <c r="C416" s="33"/>
      <c r="D416" s="34"/>
      <c r="E416" s="34"/>
      <c r="F416" s="35"/>
      <c r="G416" s="36"/>
      <c r="H416" s="37"/>
      <c r="I416" s="37"/>
      <c r="J416" s="37"/>
      <c r="K416" s="37"/>
      <c r="L416" s="38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9"/>
      <c r="Y416" s="1"/>
      <c r="Z416" s="1"/>
    </row>
    <row r="417" spans="1:26" ht="15.75" customHeight="1">
      <c r="A417" s="98"/>
      <c r="B417" s="32"/>
      <c r="C417" s="33"/>
      <c r="D417" s="34"/>
      <c r="E417" s="34"/>
      <c r="F417" s="35"/>
      <c r="G417" s="36"/>
      <c r="H417" s="37"/>
      <c r="I417" s="37"/>
      <c r="J417" s="37"/>
      <c r="K417" s="37"/>
      <c r="L417" s="38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9"/>
      <c r="Y417" s="1"/>
      <c r="Z417" s="1"/>
    </row>
    <row r="418" spans="1:26" ht="15.75" customHeight="1">
      <c r="A418" s="98"/>
      <c r="B418" s="32"/>
      <c r="C418" s="33"/>
      <c r="D418" s="34"/>
      <c r="E418" s="34"/>
      <c r="F418" s="35"/>
      <c r="G418" s="36"/>
      <c r="H418" s="37"/>
      <c r="I418" s="37"/>
      <c r="J418" s="37"/>
      <c r="K418" s="37"/>
      <c r="L418" s="38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9"/>
      <c r="Y418" s="1"/>
      <c r="Z418" s="1"/>
    </row>
    <row r="419" spans="1:26" ht="15.75" customHeight="1">
      <c r="A419" s="98"/>
      <c r="B419" s="32"/>
      <c r="C419" s="33"/>
      <c r="D419" s="34"/>
      <c r="E419" s="34"/>
      <c r="F419" s="35"/>
      <c r="G419" s="36"/>
      <c r="H419" s="37"/>
      <c r="I419" s="37"/>
      <c r="J419" s="37"/>
      <c r="K419" s="37"/>
      <c r="L419" s="38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9"/>
      <c r="Y419" s="1"/>
      <c r="Z419" s="1"/>
    </row>
    <row r="420" spans="1:26" ht="15.75" customHeight="1">
      <c r="A420" s="98"/>
      <c r="B420" s="32"/>
      <c r="C420" s="33"/>
      <c r="D420" s="34"/>
      <c r="E420" s="34"/>
      <c r="F420" s="35"/>
      <c r="G420" s="36"/>
      <c r="H420" s="37"/>
      <c r="I420" s="37"/>
      <c r="J420" s="37"/>
      <c r="K420" s="37"/>
      <c r="L420" s="38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9"/>
      <c r="Y420" s="1"/>
      <c r="Z420" s="1"/>
    </row>
    <row r="421" spans="1:26" ht="15.75" customHeight="1">
      <c r="A421" s="98"/>
      <c r="B421" s="32"/>
      <c r="C421" s="33"/>
      <c r="D421" s="34"/>
      <c r="E421" s="34"/>
      <c r="F421" s="35"/>
      <c r="G421" s="36"/>
      <c r="H421" s="37"/>
      <c r="I421" s="37"/>
      <c r="J421" s="37"/>
      <c r="K421" s="37"/>
      <c r="L421" s="38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9"/>
      <c r="Y421" s="1"/>
      <c r="Z421" s="1"/>
    </row>
    <row r="422" spans="1:26" ht="15.75" customHeight="1">
      <c r="A422" s="98"/>
      <c r="B422" s="32"/>
      <c r="C422" s="33"/>
      <c r="D422" s="34"/>
      <c r="E422" s="34"/>
      <c r="F422" s="35"/>
      <c r="G422" s="36"/>
      <c r="H422" s="37"/>
      <c r="I422" s="37"/>
      <c r="J422" s="37"/>
      <c r="K422" s="37"/>
      <c r="L422" s="38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9"/>
      <c r="Y422" s="1"/>
      <c r="Z422" s="1"/>
    </row>
    <row r="423" spans="1:26" ht="15.75" customHeight="1">
      <c r="A423" s="98"/>
      <c r="B423" s="32"/>
      <c r="C423" s="33"/>
      <c r="D423" s="34"/>
      <c r="E423" s="34"/>
      <c r="F423" s="35"/>
      <c r="G423" s="36"/>
      <c r="H423" s="37"/>
      <c r="I423" s="37"/>
      <c r="J423" s="37"/>
      <c r="K423" s="37"/>
      <c r="L423" s="38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9"/>
      <c r="Y423" s="1"/>
      <c r="Z423" s="1"/>
    </row>
    <row r="424" spans="1:26" ht="15.75" customHeight="1">
      <c r="A424" s="98"/>
      <c r="B424" s="32"/>
      <c r="C424" s="33"/>
      <c r="D424" s="34"/>
      <c r="E424" s="34"/>
      <c r="F424" s="35"/>
      <c r="G424" s="36"/>
      <c r="H424" s="37"/>
      <c r="I424" s="37"/>
      <c r="J424" s="37"/>
      <c r="K424" s="37"/>
      <c r="L424" s="38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9"/>
      <c r="Y424" s="1"/>
      <c r="Z424" s="1"/>
    </row>
    <row r="425" spans="1:26" ht="15.75" customHeight="1">
      <c r="A425" s="98"/>
      <c r="B425" s="32"/>
      <c r="C425" s="33"/>
      <c r="D425" s="34"/>
      <c r="E425" s="34"/>
      <c r="F425" s="35"/>
      <c r="G425" s="36"/>
      <c r="H425" s="37"/>
      <c r="I425" s="37"/>
      <c r="J425" s="37"/>
      <c r="K425" s="37"/>
      <c r="L425" s="38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9"/>
      <c r="Y425" s="1"/>
      <c r="Z425" s="1"/>
    </row>
    <row r="426" spans="1:26" ht="15.75" customHeight="1">
      <c r="A426" s="98"/>
      <c r="B426" s="32"/>
      <c r="C426" s="33"/>
      <c r="D426" s="34"/>
      <c r="E426" s="34"/>
      <c r="F426" s="35"/>
      <c r="G426" s="36"/>
      <c r="H426" s="37"/>
      <c r="I426" s="37"/>
      <c r="J426" s="37"/>
      <c r="K426" s="37"/>
      <c r="L426" s="38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9"/>
      <c r="Y426" s="1"/>
      <c r="Z426" s="1"/>
    </row>
    <row r="427" spans="1:26" ht="15.75" customHeight="1">
      <c r="A427" s="98"/>
      <c r="B427" s="32"/>
      <c r="C427" s="33"/>
      <c r="D427" s="34"/>
      <c r="E427" s="34"/>
      <c r="F427" s="35"/>
      <c r="G427" s="36"/>
      <c r="H427" s="37"/>
      <c r="I427" s="37"/>
      <c r="J427" s="37"/>
      <c r="K427" s="37"/>
      <c r="L427" s="38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9"/>
      <c r="Y427" s="1"/>
      <c r="Z427" s="1"/>
    </row>
    <row r="428" spans="1:26" ht="15.75" customHeight="1">
      <c r="A428" s="98"/>
      <c r="B428" s="32"/>
      <c r="C428" s="33"/>
      <c r="D428" s="34"/>
      <c r="E428" s="34"/>
      <c r="F428" s="35"/>
      <c r="G428" s="36"/>
      <c r="H428" s="37"/>
      <c r="I428" s="37"/>
      <c r="J428" s="37"/>
      <c r="K428" s="37"/>
      <c r="L428" s="38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9"/>
      <c r="Y428" s="1"/>
      <c r="Z428" s="1"/>
    </row>
    <row r="429" spans="1:26" ht="15.75" customHeight="1">
      <c r="A429" s="98"/>
      <c r="B429" s="32"/>
      <c r="C429" s="33"/>
      <c r="D429" s="34"/>
      <c r="E429" s="34"/>
      <c r="F429" s="35"/>
      <c r="G429" s="36"/>
      <c r="H429" s="37"/>
      <c r="I429" s="37"/>
      <c r="J429" s="37"/>
      <c r="K429" s="37"/>
      <c r="L429" s="38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9"/>
      <c r="Y429" s="1"/>
      <c r="Z429" s="1"/>
    </row>
    <row r="430" spans="1:26" ht="15.75" customHeight="1">
      <c r="A430" s="98"/>
      <c r="B430" s="32"/>
      <c r="C430" s="33"/>
      <c r="D430" s="34"/>
      <c r="E430" s="34"/>
      <c r="F430" s="35"/>
      <c r="G430" s="36"/>
      <c r="H430" s="37"/>
      <c r="I430" s="37"/>
      <c r="J430" s="37"/>
      <c r="K430" s="37"/>
      <c r="L430" s="38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9"/>
      <c r="Y430" s="1"/>
      <c r="Z430" s="1"/>
    </row>
    <row r="431" spans="1:26" ht="15.75" customHeight="1">
      <c r="A431" s="98"/>
      <c r="B431" s="32"/>
      <c r="C431" s="33"/>
      <c r="D431" s="34"/>
      <c r="E431" s="34"/>
      <c r="F431" s="35"/>
      <c r="G431" s="36"/>
      <c r="H431" s="37"/>
      <c r="I431" s="37"/>
      <c r="J431" s="37"/>
      <c r="K431" s="37"/>
      <c r="L431" s="38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9"/>
      <c r="Y431" s="1"/>
      <c r="Z431" s="1"/>
    </row>
    <row r="432" spans="1:26" ht="15.75" customHeight="1">
      <c r="A432" s="98"/>
      <c r="B432" s="32"/>
      <c r="C432" s="33"/>
      <c r="D432" s="34"/>
      <c r="E432" s="34"/>
      <c r="F432" s="35"/>
      <c r="G432" s="36"/>
      <c r="H432" s="37"/>
      <c r="I432" s="37"/>
      <c r="J432" s="37"/>
      <c r="K432" s="37"/>
      <c r="L432" s="38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9"/>
      <c r="Y432" s="1"/>
      <c r="Z432" s="1"/>
    </row>
    <row r="433" spans="1:26" ht="15.75" customHeight="1">
      <c r="A433" s="98"/>
      <c r="B433" s="32"/>
      <c r="C433" s="33"/>
      <c r="D433" s="34"/>
      <c r="E433" s="34"/>
      <c r="F433" s="35"/>
      <c r="G433" s="36"/>
      <c r="H433" s="37"/>
      <c r="I433" s="37"/>
      <c r="J433" s="37"/>
      <c r="K433" s="37"/>
      <c r="L433" s="38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9"/>
      <c r="Y433" s="1"/>
      <c r="Z433" s="1"/>
    </row>
    <row r="434" spans="1:26" ht="15.75" customHeight="1">
      <c r="A434" s="98"/>
      <c r="B434" s="32"/>
      <c r="C434" s="33"/>
      <c r="D434" s="34"/>
      <c r="E434" s="34"/>
      <c r="F434" s="35"/>
      <c r="G434" s="36"/>
      <c r="H434" s="37"/>
      <c r="I434" s="37"/>
      <c r="J434" s="37"/>
      <c r="K434" s="37"/>
      <c r="L434" s="38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9"/>
      <c r="Y434" s="1"/>
      <c r="Z434" s="1"/>
    </row>
    <row r="435" spans="1:26" ht="15.75" customHeight="1">
      <c r="A435" s="98"/>
      <c r="B435" s="32"/>
      <c r="C435" s="33"/>
      <c r="D435" s="34"/>
      <c r="E435" s="34"/>
      <c r="F435" s="35"/>
      <c r="G435" s="36"/>
      <c r="H435" s="37"/>
      <c r="I435" s="37"/>
      <c r="J435" s="37"/>
      <c r="K435" s="37"/>
      <c r="L435" s="38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9"/>
      <c r="Y435" s="1"/>
      <c r="Z435" s="1"/>
    </row>
    <row r="436" spans="1:26" ht="15.75" customHeight="1">
      <c r="A436" s="98"/>
      <c r="B436" s="32"/>
      <c r="C436" s="33"/>
      <c r="D436" s="34"/>
      <c r="E436" s="34"/>
      <c r="F436" s="35"/>
      <c r="G436" s="36"/>
      <c r="H436" s="37"/>
      <c r="I436" s="37"/>
      <c r="J436" s="37"/>
      <c r="K436" s="37"/>
      <c r="L436" s="38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9"/>
      <c r="Y436" s="1"/>
      <c r="Z436" s="1"/>
    </row>
    <row r="437" spans="1:26" ht="15.75" customHeight="1">
      <c r="A437" s="98"/>
      <c r="B437" s="32"/>
      <c r="C437" s="33"/>
      <c r="D437" s="34"/>
      <c r="E437" s="34"/>
      <c r="F437" s="35"/>
      <c r="G437" s="36"/>
      <c r="H437" s="37"/>
      <c r="I437" s="37"/>
      <c r="J437" s="37"/>
      <c r="K437" s="37"/>
      <c r="L437" s="38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9"/>
      <c r="Y437" s="1"/>
      <c r="Z437" s="1"/>
    </row>
    <row r="438" spans="1:26" ht="15.75" customHeight="1">
      <c r="A438" s="98"/>
      <c r="B438" s="32"/>
      <c r="C438" s="33"/>
      <c r="D438" s="34"/>
      <c r="E438" s="34"/>
      <c r="F438" s="35"/>
      <c r="G438" s="36"/>
      <c r="H438" s="37"/>
      <c r="I438" s="37"/>
      <c r="J438" s="37"/>
      <c r="K438" s="37"/>
      <c r="L438" s="38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9"/>
      <c r="Y438" s="1"/>
      <c r="Z438" s="1"/>
    </row>
    <row r="439" spans="1:26" ht="15.75" customHeight="1">
      <c r="A439" s="98"/>
      <c r="B439" s="32"/>
      <c r="C439" s="33"/>
      <c r="D439" s="34"/>
      <c r="E439" s="34"/>
      <c r="F439" s="35"/>
      <c r="G439" s="36"/>
      <c r="H439" s="37"/>
      <c r="I439" s="37"/>
      <c r="J439" s="37"/>
      <c r="K439" s="37"/>
      <c r="L439" s="38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9"/>
      <c r="Y439" s="1"/>
      <c r="Z439" s="1"/>
    </row>
    <row r="440" spans="1:26" ht="15.75" customHeight="1">
      <c r="A440" s="98"/>
      <c r="B440" s="32"/>
      <c r="C440" s="33"/>
      <c r="D440" s="34"/>
      <c r="E440" s="34"/>
      <c r="F440" s="35"/>
      <c r="G440" s="36"/>
      <c r="H440" s="37"/>
      <c r="I440" s="37"/>
      <c r="J440" s="37"/>
      <c r="K440" s="37"/>
      <c r="L440" s="38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9"/>
      <c r="Y440" s="1"/>
      <c r="Z440" s="1"/>
    </row>
    <row r="441" spans="1:26" ht="15.75" customHeight="1">
      <c r="A441" s="98"/>
      <c r="B441" s="32"/>
      <c r="C441" s="33"/>
      <c r="D441" s="34"/>
      <c r="E441" s="34"/>
      <c r="F441" s="35"/>
      <c r="G441" s="36"/>
      <c r="H441" s="37"/>
      <c r="I441" s="37"/>
      <c r="J441" s="37"/>
      <c r="K441" s="37"/>
      <c r="L441" s="38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9"/>
      <c r="Y441" s="1"/>
      <c r="Z441" s="1"/>
    </row>
    <row r="442" spans="1:26" ht="15.75" customHeight="1">
      <c r="A442" s="98"/>
      <c r="B442" s="32"/>
      <c r="C442" s="33"/>
      <c r="D442" s="34"/>
      <c r="E442" s="34"/>
      <c r="F442" s="35"/>
      <c r="G442" s="36"/>
      <c r="H442" s="37"/>
      <c r="I442" s="37"/>
      <c r="J442" s="37"/>
      <c r="K442" s="37"/>
      <c r="L442" s="38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9"/>
      <c r="Y442" s="1"/>
      <c r="Z442" s="1"/>
    </row>
    <row r="443" spans="1:26" ht="15.75" customHeight="1">
      <c r="A443" s="98"/>
      <c r="B443" s="32"/>
      <c r="C443" s="33"/>
      <c r="D443" s="34"/>
      <c r="E443" s="34"/>
      <c r="F443" s="35"/>
      <c r="G443" s="36"/>
      <c r="H443" s="37"/>
      <c r="I443" s="37"/>
      <c r="J443" s="37"/>
      <c r="K443" s="37"/>
      <c r="L443" s="38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9"/>
      <c r="Y443" s="1"/>
      <c r="Z443" s="1"/>
    </row>
    <row r="444" spans="1:26" ht="15.75" customHeight="1">
      <c r="A444" s="98"/>
      <c r="B444" s="32"/>
      <c r="C444" s="33"/>
      <c r="D444" s="34"/>
      <c r="E444" s="34"/>
      <c r="F444" s="35"/>
      <c r="G444" s="36"/>
      <c r="H444" s="37"/>
      <c r="I444" s="37"/>
      <c r="J444" s="37"/>
      <c r="K444" s="37"/>
      <c r="L444" s="38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9"/>
      <c r="Y444" s="1"/>
      <c r="Z444" s="1"/>
    </row>
    <row r="445" spans="1:26" ht="15.75" customHeight="1">
      <c r="A445" s="98"/>
      <c r="B445" s="32"/>
      <c r="C445" s="33"/>
      <c r="D445" s="34"/>
      <c r="E445" s="34"/>
      <c r="F445" s="35"/>
      <c r="G445" s="36"/>
      <c r="H445" s="37"/>
      <c r="I445" s="37"/>
      <c r="J445" s="37"/>
      <c r="K445" s="37"/>
      <c r="L445" s="38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9"/>
      <c r="Y445" s="1"/>
      <c r="Z445" s="1"/>
    </row>
    <row r="446" spans="1:26" ht="15.75" customHeight="1">
      <c r="A446" s="98"/>
      <c r="B446" s="32"/>
      <c r="C446" s="33"/>
      <c r="D446" s="34"/>
      <c r="E446" s="34"/>
      <c r="F446" s="35"/>
      <c r="G446" s="36"/>
      <c r="H446" s="37"/>
      <c r="I446" s="37"/>
      <c r="J446" s="37"/>
      <c r="K446" s="37"/>
      <c r="L446" s="38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9"/>
      <c r="Y446" s="1"/>
      <c r="Z446" s="1"/>
    </row>
    <row r="447" spans="1:26" ht="15.75" customHeight="1">
      <c r="A447" s="98"/>
      <c r="B447" s="32"/>
      <c r="C447" s="33"/>
      <c r="D447" s="34"/>
      <c r="E447" s="34"/>
      <c r="F447" s="35"/>
      <c r="G447" s="36"/>
      <c r="H447" s="37"/>
      <c r="I447" s="37"/>
      <c r="J447" s="37"/>
      <c r="K447" s="37"/>
      <c r="L447" s="38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9"/>
      <c r="Y447" s="1"/>
      <c r="Z447" s="1"/>
    </row>
    <row r="448" spans="1:26" ht="15.75" customHeight="1">
      <c r="A448" s="98"/>
      <c r="B448" s="32"/>
      <c r="C448" s="33"/>
      <c r="D448" s="34"/>
      <c r="E448" s="34"/>
      <c r="F448" s="35"/>
      <c r="G448" s="36"/>
      <c r="H448" s="37"/>
      <c r="I448" s="37"/>
      <c r="J448" s="37"/>
      <c r="K448" s="37"/>
      <c r="L448" s="38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9"/>
      <c r="Y448" s="1"/>
      <c r="Z448" s="1"/>
    </row>
    <row r="449" spans="1:26" ht="15.75" customHeight="1">
      <c r="A449" s="98"/>
      <c r="B449" s="32"/>
      <c r="C449" s="33"/>
      <c r="D449" s="34"/>
      <c r="E449" s="34"/>
      <c r="F449" s="35"/>
      <c r="G449" s="36"/>
      <c r="H449" s="37"/>
      <c r="I449" s="37"/>
      <c r="J449" s="37"/>
      <c r="K449" s="37"/>
      <c r="L449" s="38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9"/>
      <c r="Y449" s="1"/>
      <c r="Z449" s="1"/>
    </row>
    <row r="450" spans="1:26" ht="15.75" customHeight="1">
      <c r="A450" s="98"/>
      <c r="B450" s="32"/>
      <c r="C450" s="33"/>
      <c r="D450" s="34"/>
      <c r="E450" s="34"/>
      <c r="F450" s="35"/>
      <c r="G450" s="36"/>
      <c r="H450" s="37"/>
      <c r="I450" s="37"/>
      <c r="J450" s="37"/>
      <c r="K450" s="37"/>
      <c r="L450" s="38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9"/>
      <c r="Y450" s="1"/>
      <c r="Z450" s="1"/>
    </row>
    <row r="451" spans="1:26" ht="15.75" customHeight="1">
      <c r="A451" s="98"/>
      <c r="B451" s="32"/>
      <c r="C451" s="33"/>
      <c r="D451" s="34"/>
      <c r="E451" s="34"/>
      <c r="F451" s="35"/>
      <c r="G451" s="36"/>
      <c r="H451" s="37"/>
      <c r="I451" s="37"/>
      <c r="J451" s="37"/>
      <c r="K451" s="37"/>
      <c r="L451" s="38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9"/>
      <c r="Y451" s="1"/>
      <c r="Z451" s="1"/>
    </row>
    <row r="452" spans="1:26" ht="15.75" customHeight="1">
      <c r="A452" s="98"/>
      <c r="B452" s="32"/>
      <c r="C452" s="33"/>
      <c r="D452" s="34"/>
      <c r="E452" s="34"/>
      <c r="F452" s="35"/>
      <c r="G452" s="36"/>
      <c r="H452" s="37"/>
      <c r="I452" s="37"/>
      <c r="J452" s="37"/>
      <c r="K452" s="37"/>
      <c r="L452" s="38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9"/>
      <c r="Y452" s="1"/>
      <c r="Z452" s="1"/>
    </row>
    <row r="453" spans="1:26" ht="15.75" customHeight="1">
      <c r="A453" s="98"/>
      <c r="B453" s="32"/>
      <c r="C453" s="33"/>
      <c r="D453" s="34"/>
      <c r="E453" s="34"/>
      <c r="F453" s="35"/>
      <c r="G453" s="36"/>
      <c r="H453" s="37"/>
      <c r="I453" s="37"/>
      <c r="J453" s="37"/>
      <c r="K453" s="37"/>
      <c r="L453" s="38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9"/>
      <c r="Y453" s="1"/>
      <c r="Z453" s="1"/>
    </row>
    <row r="454" spans="1:26" ht="15.75" customHeight="1">
      <c r="A454" s="98"/>
      <c r="B454" s="32"/>
      <c r="C454" s="33"/>
      <c r="D454" s="34"/>
      <c r="E454" s="34"/>
      <c r="F454" s="35"/>
      <c r="G454" s="36"/>
      <c r="H454" s="37"/>
      <c r="I454" s="37"/>
      <c r="J454" s="37"/>
      <c r="K454" s="37"/>
      <c r="L454" s="38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9"/>
      <c r="Y454" s="1"/>
      <c r="Z454" s="1"/>
    </row>
    <row r="455" spans="1:26" ht="15.75" customHeight="1">
      <c r="A455" s="98"/>
      <c r="B455" s="32"/>
      <c r="C455" s="33"/>
      <c r="D455" s="34"/>
      <c r="E455" s="34"/>
      <c r="F455" s="35"/>
      <c r="G455" s="36"/>
      <c r="H455" s="37"/>
      <c r="I455" s="37"/>
      <c r="J455" s="37"/>
      <c r="K455" s="37"/>
      <c r="L455" s="38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9"/>
      <c r="Y455" s="1"/>
      <c r="Z455" s="1"/>
    </row>
    <row r="456" spans="1:26" ht="15.75" customHeight="1">
      <c r="A456" s="98"/>
      <c r="B456" s="32"/>
      <c r="C456" s="33"/>
      <c r="D456" s="34"/>
      <c r="E456" s="34"/>
      <c r="F456" s="35"/>
      <c r="G456" s="36"/>
      <c r="H456" s="37"/>
      <c r="I456" s="37"/>
      <c r="J456" s="37"/>
      <c r="K456" s="37"/>
      <c r="L456" s="38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9"/>
      <c r="Y456" s="1"/>
      <c r="Z456" s="1"/>
    </row>
    <row r="457" spans="1:26" ht="15.75" customHeight="1">
      <c r="A457" s="98"/>
      <c r="B457" s="32"/>
      <c r="C457" s="33"/>
      <c r="D457" s="34"/>
      <c r="E457" s="34"/>
      <c r="F457" s="35"/>
      <c r="G457" s="36"/>
      <c r="H457" s="37"/>
      <c r="I457" s="37"/>
      <c r="J457" s="37"/>
      <c r="K457" s="37"/>
      <c r="L457" s="38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9"/>
      <c r="Y457" s="1"/>
      <c r="Z457" s="1"/>
    </row>
    <row r="458" spans="1:26" ht="15.75" customHeight="1">
      <c r="A458" s="98"/>
      <c r="B458" s="32"/>
      <c r="C458" s="33"/>
      <c r="D458" s="34"/>
      <c r="E458" s="34"/>
      <c r="F458" s="35"/>
      <c r="G458" s="36"/>
      <c r="H458" s="37"/>
      <c r="I458" s="37"/>
      <c r="J458" s="37"/>
      <c r="K458" s="37"/>
      <c r="L458" s="38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9"/>
      <c r="Y458" s="1"/>
      <c r="Z458" s="1"/>
    </row>
    <row r="459" spans="1:26" ht="15.75" customHeight="1">
      <c r="A459" s="98"/>
      <c r="B459" s="32"/>
      <c r="C459" s="33"/>
      <c r="D459" s="34"/>
      <c r="E459" s="34"/>
      <c r="F459" s="35"/>
      <c r="G459" s="36"/>
      <c r="H459" s="37"/>
      <c r="I459" s="37"/>
      <c r="J459" s="37"/>
      <c r="K459" s="37"/>
      <c r="L459" s="38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9"/>
      <c r="Y459" s="1"/>
      <c r="Z459" s="1"/>
    </row>
    <row r="460" spans="1:26" ht="15.75" customHeight="1">
      <c r="A460" s="98"/>
      <c r="B460" s="32"/>
      <c r="C460" s="33"/>
      <c r="D460" s="34"/>
      <c r="E460" s="34"/>
      <c r="F460" s="35"/>
      <c r="G460" s="36"/>
      <c r="H460" s="37"/>
      <c r="I460" s="37"/>
      <c r="J460" s="37"/>
      <c r="K460" s="37"/>
      <c r="L460" s="38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9"/>
      <c r="Y460" s="1"/>
      <c r="Z460" s="1"/>
    </row>
    <row r="461" spans="1:26" ht="15.75" customHeight="1">
      <c r="A461" s="98"/>
      <c r="B461" s="32"/>
      <c r="C461" s="33"/>
      <c r="D461" s="34"/>
      <c r="E461" s="34"/>
      <c r="F461" s="35"/>
      <c r="G461" s="36"/>
      <c r="H461" s="37"/>
      <c r="I461" s="37"/>
      <c r="J461" s="37"/>
      <c r="K461" s="37"/>
      <c r="L461" s="38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9"/>
      <c r="Y461" s="1"/>
      <c r="Z461" s="1"/>
    </row>
    <row r="462" spans="1:26" ht="15.75" customHeight="1">
      <c r="A462" s="98"/>
      <c r="B462" s="32"/>
      <c r="C462" s="33"/>
      <c r="D462" s="34"/>
      <c r="E462" s="34"/>
      <c r="F462" s="35"/>
      <c r="G462" s="36"/>
      <c r="H462" s="37"/>
      <c r="I462" s="37"/>
      <c r="J462" s="37"/>
      <c r="K462" s="37"/>
      <c r="L462" s="38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9"/>
      <c r="Y462" s="1"/>
      <c r="Z462" s="1"/>
    </row>
    <row r="463" spans="1:26" ht="15.75" customHeight="1">
      <c r="A463" s="98"/>
      <c r="B463" s="32"/>
      <c r="C463" s="33"/>
      <c r="D463" s="34"/>
      <c r="E463" s="34"/>
      <c r="F463" s="35"/>
      <c r="G463" s="36"/>
      <c r="H463" s="37"/>
      <c r="I463" s="37"/>
      <c r="J463" s="37"/>
      <c r="K463" s="37"/>
      <c r="L463" s="38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9"/>
      <c r="Y463" s="1"/>
      <c r="Z463" s="1"/>
    </row>
    <row r="464" spans="1:26" ht="15.75" customHeight="1">
      <c r="A464" s="98"/>
      <c r="B464" s="32"/>
      <c r="C464" s="33"/>
      <c r="D464" s="34"/>
      <c r="E464" s="34"/>
      <c r="F464" s="35"/>
      <c r="G464" s="36"/>
      <c r="H464" s="37"/>
      <c r="I464" s="37"/>
      <c r="J464" s="37"/>
      <c r="K464" s="37"/>
      <c r="L464" s="38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9"/>
      <c r="Y464" s="1"/>
      <c r="Z464" s="1"/>
    </row>
    <row r="465" spans="1:26" ht="15.75" customHeight="1">
      <c r="A465" s="98"/>
      <c r="B465" s="32"/>
      <c r="C465" s="33"/>
      <c r="D465" s="34"/>
      <c r="E465" s="34"/>
      <c r="F465" s="35"/>
      <c r="G465" s="36"/>
      <c r="H465" s="37"/>
      <c r="I465" s="37"/>
      <c r="J465" s="37"/>
      <c r="K465" s="37"/>
      <c r="L465" s="38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9"/>
      <c r="Y465" s="1"/>
      <c r="Z465" s="1"/>
    </row>
    <row r="466" spans="1:26" ht="15.75" customHeight="1">
      <c r="A466" s="98"/>
      <c r="B466" s="32"/>
      <c r="C466" s="33"/>
      <c r="D466" s="34"/>
      <c r="E466" s="34"/>
      <c r="F466" s="35"/>
      <c r="G466" s="36"/>
      <c r="H466" s="37"/>
      <c r="I466" s="37"/>
      <c r="J466" s="37"/>
      <c r="K466" s="37"/>
      <c r="L466" s="38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9"/>
      <c r="Y466" s="1"/>
      <c r="Z466" s="1"/>
    </row>
    <row r="467" spans="1:26" ht="15.75" customHeight="1">
      <c r="A467" s="98"/>
      <c r="B467" s="32"/>
      <c r="C467" s="33"/>
      <c r="D467" s="34"/>
      <c r="E467" s="34"/>
      <c r="F467" s="35"/>
      <c r="G467" s="36"/>
      <c r="H467" s="37"/>
      <c r="I467" s="37"/>
      <c r="J467" s="37"/>
      <c r="K467" s="37"/>
      <c r="L467" s="38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9"/>
      <c r="Y467" s="1"/>
      <c r="Z467" s="1"/>
    </row>
    <row r="468" spans="1:26" ht="15.75" customHeight="1">
      <c r="A468" s="98"/>
      <c r="B468" s="32"/>
      <c r="C468" s="33"/>
      <c r="D468" s="34"/>
      <c r="E468" s="34"/>
      <c r="F468" s="35"/>
      <c r="G468" s="36"/>
      <c r="H468" s="37"/>
      <c r="I468" s="37"/>
      <c r="J468" s="37"/>
      <c r="K468" s="37"/>
      <c r="L468" s="38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9"/>
      <c r="Y468" s="1"/>
      <c r="Z468" s="1"/>
    </row>
    <row r="469" spans="1:26" ht="15.75" customHeight="1">
      <c r="A469" s="98"/>
      <c r="B469" s="32"/>
      <c r="C469" s="33"/>
      <c r="D469" s="34"/>
      <c r="E469" s="34"/>
      <c r="F469" s="35"/>
      <c r="G469" s="36"/>
      <c r="H469" s="37"/>
      <c r="I469" s="37"/>
      <c r="J469" s="37"/>
      <c r="K469" s="37"/>
      <c r="L469" s="38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9"/>
      <c r="Y469" s="1"/>
      <c r="Z469" s="1"/>
    </row>
    <row r="470" spans="1:26" ht="15.75" customHeight="1">
      <c r="A470" s="98"/>
      <c r="B470" s="32"/>
      <c r="C470" s="33"/>
      <c r="D470" s="34"/>
      <c r="E470" s="34"/>
      <c r="F470" s="35"/>
      <c r="G470" s="36"/>
      <c r="H470" s="37"/>
      <c r="I470" s="37"/>
      <c r="J470" s="37"/>
      <c r="K470" s="37"/>
      <c r="L470" s="38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9"/>
      <c r="Y470" s="1"/>
      <c r="Z470" s="1"/>
    </row>
    <row r="471" spans="1:26" ht="15.75" customHeight="1">
      <c r="A471" s="98"/>
      <c r="B471" s="32"/>
      <c r="C471" s="33"/>
      <c r="D471" s="34"/>
      <c r="E471" s="34"/>
      <c r="F471" s="35"/>
      <c r="G471" s="36"/>
      <c r="H471" s="37"/>
      <c r="I471" s="37"/>
      <c r="J471" s="37"/>
      <c r="K471" s="37"/>
      <c r="L471" s="38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9"/>
      <c r="Y471" s="1"/>
      <c r="Z471" s="1"/>
    </row>
    <row r="472" spans="1:26" ht="15.75" customHeight="1">
      <c r="A472" s="98"/>
      <c r="B472" s="32"/>
      <c r="C472" s="33"/>
      <c r="D472" s="34"/>
      <c r="E472" s="34"/>
      <c r="F472" s="35"/>
      <c r="G472" s="36"/>
      <c r="H472" s="37"/>
      <c r="I472" s="37"/>
      <c r="J472" s="37"/>
      <c r="K472" s="37"/>
      <c r="L472" s="38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9"/>
      <c r="Y472" s="1"/>
      <c r="Z472" s="1"/>
    </row>
    <row r="473" spans="1:26" ht="15.75" customHeight="1">
      <c r="A473" s="98"/>
      <c r="B473" s="32"/>
      <c r="C473" s="33"/>
      <c r="D473" s="34"/>
      <c r="E473" s="34"/>
      <c r="F473" s="35"/>
      <c r="G473" s="36"/>
      <c r="H473" s="37"/>
      <c r="I473" s="37"/>
      <c r="J473" s="37"/>
      <c r="K473" s="37"/>
      <c r="L473" s="38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9"/>
      <c r="Y473" s="1"/>
      <c r="Z473" s="1"/>
    </row>
    <row r="474" spans="1:26" ht="15.75" customHeight="1">
      <c r="A474" s="98"/>
      <c r="B474" s="32"/>
      <c r="C474" s="33"/>
      <c r="D474" s="34"/>
      <c r="E474" s="34"/>
      <c r="F474" s="35"/>
      <c r="G474" s="36"/>
      <c r="H474" s="37"/>
      <c r="I474" s="37"/>
      <c r="J474" s="37"/>
      <c r="K474" s="37"/>
      <c r="L474" s="38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9"/>
      <c r="Y474" s="1"/>
      <c r="Z474" s="1"/>
    </row>
    <row r="475" spans="1:26" ht="15.75" customHeight="1">
      <c r="A475" s="98"/>
      <c r="B475" s="32"/>
      <c r="C475" s="33"/>
      <c r="D475" s="34"/>
      <c r="E475" s="34"/>
      <c r="F475" s="35"/>
      <c r="G475" s="36"/>
      <c r="H475" s="37"/>
      <c r="I475" s="37"/>
      <c r="J475" s="37"/>
      <c r="K475" s="37"/>
      <c r="L475" s="38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9"/>
      <c r="Y475" s="1"/>
      <c r="Z475" s="1"/>
    </row>
    <row r="476" spans="1:26" ht="15.75" customHeight="1">
      <c r="A476" s="98"/>
      <c r="B476" s="32"/>
      <c r="C476" s="33"/>
      <c r="D476" s="34"/>
      <c r="E476" s="34"/>
      <c r="F476" s="35"/>
      <c r="G476" s="36"/>
      <c r="H476" s="37"/>
      <c r="I476" s="37"/>
      <c r="J476" s="37"/>
      <c r="K476" s="37"/>
      <c r="L476" s="38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9"/>
      <c r="Y476" s="1"/>
      <c r="Z476" s="1"/>
    </row>
    <row r="477" spans="1:26" ht="15.75" customHeight="1">
      <c r="A477" s="98"/>
      <c r="B477" s="32"/>
      <c r="C477" s="33"/>
      <c r="D477" s="34"/>
      <c r="E477" s="34"/>
      <c r="F477" s="35"/>
      <c r="G477" s="36"/>
      <c r="H477" s="37"/>
      <c r="I477" s="37"/>
      <c r="J477" s="37"/>
      <c r="K477" s="37"/>
      <c r="L477" s="38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9"/>
      <c r="Y477" s="1"/>
      <c r="Z477" s="1"/>
    </row>
    <row r="478" spans="1:26" ht="15.75" customHeight="1">
      <c r="A478" s="98"/>
      <c r="B478" s="32"/>
      <c r="C478" s="33"/>
      <c r="D478" s="34"/>
      <c r="E478" s="34"/>
      <c r="F478" s="35"/>
      <c r="G478" s="36"/>
      <c r="H478" s="37"/>
      <c r="I478" s="37"/>
      <c r="J478" s="37"/>
      <c r="K478" s="37"/>
      <c r="L478" s="38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9"/>
      <c r="Y478" s="1"/>
      <c r="Z478" s="1"/>
    </row>
    <row r="479" spans="1:26" ht="15.75" customHeight="1">
      <c r="A479" s="98"/>
      <c r="B479" s="32"/>
      <c r="C479" s="33"/>
      <c r="D479" s="34"/>
      <c r="E479" s="34"/>
      <c r="F479" s="35"/>
      <c r="G479" s="36"/>
      <c r="H479" s="37"/>
      <c r="I479" s="37"/>
      <c r="J479" s="37"/>
      <c r="K479" s="37"/>
      <c r="L479" s="38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9"/>
      <c r="Y479" s="1"/>
      <c r="Z479" s="1"/>
    </row>
    <row r="480" spans="1:26" ht="15.75" customHeight="1">
      <c r="A480" s="98"/>
      <c r="B480" s="32"/>
      <c r="C480" s="33"/>
      <c r="D480" s="34"/>
      <c r="E480" s="34"/>
      <c r="F480" s="35"/>
      <c r="G480" s="36"/>
      <c r="H480" s="37"/>
      <c r="I480" s="37"/>
      <c r="J480" s="37"/>
      <c r="K480" s="37"/>
      <c r="L480" s="38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9"/>
      <c r="Y480" s="1"/>
      <c r="Z480" s="1"/>
    </row>
    <row r="481" spans="1:26" ht="15.75" customHeight="1">
      <c r="A481" s="98"/>
      <c r="B481" s="32"/>
      <c r="C481" s="33"/>
      <c r="D481" s="34"/>
      <c r="E481" s="34"/>
      <c r="F481" s="35"/>
      <c r="G481" s="36"/>
      <c r="H481" s="37"/>
      <c r="I481" s="37"/>
      <c r="J481" s="37"/>
      <c r="K481" s="37"/>
      <c r="L481" s="38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9"/>
      <c r="Y481" s="1"/>
      <c r="Z481" s="1"/>
    </row>
    <row r="482" spans="1:26" ht="15.75" customHeight="1">
      <c r="A482" s="98"/>
      <c r="B482" s="32"/>
      <c r="C482" s="33"/>
      <c r="D482" s="34"/>
      <c r="E482" s="34"/>
      <c r="F482" s="35"/>
      <c r="G482" s="36"/>
      <c r="H482" s="37"/>
      <c r="I482" s="37"/>
      <c r="J482" s="37"/>
      <c r="K482" s="37"/>
      <c r="L482" s="38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9"/>
      <c r="Y482" s="1"/>
      <c r="Z482" s="1"/>
    </row>
    <row r="483" spans="1:26" ht="15.75" customHeight="1">
      <c r="A483" s="98"/>
      <c r="B483" s="32"/>
      <c r="C483" s="33"/>
      <c r="D483" s="34"/>
      <c r="E483" s="34"/>
      <c r="F483" s="35"/>
      <c r="G483" s="36"/>
      <c r="H483" s="37"/>
      <c r="I483" s="37"/>
      <c r="J483" s="37"/>
      <c r="K483" s="37"/>
      <c r="L483" s="38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9"/>
      <c r="Y483" s="1"/>
      <c r="Z483" s="1"/>
    </row>
    <row r="484" spans="1:26" ht="15.75" customHeight="1">
      <c r="A484" s="98"/>
      <c r="B484" s="32"/>
      <c r="C484" s="33"/>
      <c r="D484" s="34"/>
      <c r="E484" s="34"/>
      <c r="F484" s="35"/>
      <c r="G484" s="36"/>
      <c r="H484" s="37"/>
      <c r="I484" s="37"/>
      <c r="J484" s="37"/>
      <c r="K484" s="37"/>
      <c r="L484" s="38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9"/>
      <c r="Y484" s="1"/>
      <c r="Z484" s="1"/>
    </row>
    <row r="485" spans="1:26" ht="15.75" customHeight="1">
      <c r="A485" s="98"/>
      <c r="B485" s="32"/>
      <c r="C485" s="33"/>
      <c r="D485" s="34"/>
      <c r="E485" s="34"/>
      <c r="F485" s="35"/>
      <c r="G485" s="36"/>
      <c r="H485" s="37"/>
      <c r="I485" s="37"/>
      <c r="J485" s="37"/>
      <c r="K485" s="37"/>
      <c r="L485" s="38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9"/>
      <c r="Y485" s="1"/>
      <c r="Z485" s="1"/>
    </row>
    <row r="486" spans="1:26" ht="15.75" customHeight="1">
      <c r="A486" s="98"/>
      <c r="B486" s="32"/>
      <c r="C486" s="33"/>
      <c r="D486" s="34"/>
      <c r="E486" s="34"/>
      <c r="F486" s="35"/>
      <c r="G486" s="36"/>
      <c r="H486" s="37"/>
      <c r="I486" s="37"/>
      <c r="J486" s="37"/>
      <c r="K486" s="37"/>
      <c r="L486" s="38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9"/>
      <c r="Y486" s="1"/>
      <c r="Z486" s="1"/>
    </row>
    <row r="487" spans="1:26" ht="15.75" customHeight="1">
      <c r="A487" s="98"/>
      <c r="B487" s="32"/>
      <c r="C487" s="33"/>
      <c r="D487" s="34"/>
      <c r="E487" s="34"/>
      <c r="F487" s="35"/>
      <c r="G487" s="36"/>
      <c r="H487" s="37"/>
      <c r="I487" s="37"/>
      <c r="J487" s="37"/>
      <c r="K487" s="37"/>
      <c r="L487" s="38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9"/>
      <c r="Y487" s="1"/>
      <c r="Z487" s="1"/>
    </row>
    <row r="488" spans="1:26" ht="15.75" customHeight="1">
      <c r="A488" s="98"/>
      <c r="B488" s="32"/>
      <c r="C488" s="33"/>
      <c r="D488" s="34"/>
      <c r="E488" s="34"/>
      <c r="F488" s="35"/>
      <c r="G488" s="36"/>
      <c r="H488" s="37"/>
      <c r="I488" s="37"/>
      <c r="J488" s="37"/>
      <c r="K488" s="37"/>
      <c r="L488" s="38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9"/>
      <c r="Y488" s="1"/>
      <c r="Z488" s="1"/>
    </row>
    <row r="489" spans="1:26" ht="15.75" customHeight="1">
      <c r="A489" s="98"/>
      <c r="B489" s="32"/>
      <c r="C489" s="33"/>
      <c r="D489" s="34"/>
      <c r="E489" s="34"/>
      <c r="F489" s="35"/>
      <c r="G489" s="36"/>
      <c r="H489" s="37"/>
      <c r="I489" s="37"/>
      <c r="J489" s="37"/>
      <c r="K489" s="37"/>
      <c r="L489" s="38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9"/>
      <c r="Y489" s="1"/>
      <c r="Z489" s="1"/>
    </row>
    <row r="490" spans="1:26" ht="15.75" customHeight="1">
      <c r="A490" s="98"/>
      <c r="B490" s="32"/>
      <c r="C490" s="33"/>
      <c r="D490" s="34"/>
      <c r="E490" s="34"/>
      <c r="F490" s="35"/>
      <c r="G490" s="36"/>
      <c r="H490" s="37"/>
      <c r="I490" s="37"/>
      <c r="J490" s="37"/>
      <c r="K490" s="37"/>
      <c r="L490" s="38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9"/>
      <c r="Y490" s="1"/>
      <c r="Z490" s="1"/>
    </row>
    <row r="491" spans="1:26" ht="15.75" customHeight="1">
      <c r="A491" s="98"/>
      <c r="B491" s="32"/>
      <c r="C491" s="33"/>
      <c r="D491" s="34"/>
      <c r="E491" s="34"/>
      <c r="F491" s="35"/>
      <c r="G491" s="36"/>
      <c r="H491" s="37"/>
      <c r="I491" s="37"/>
      <c r="J491" s="37"/>
      <c r="K491" s="37"/>
      <c r="L491" s="38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9"/>
      <c r="Y491" s="1"/>
      <c r="Z491" s="1"/>
    </row>
    <row r="492" spans="1:26" ht="15.75" customHeight="1">
      <c r="A492" s="98"/>
      <c r="B492" s="32"/>
      <c r="C492" s="33"/>
      <c r="D492" s="34"/>
      <c r="E492" s="34"/>
      <c r="F492" s="35"/>
      <c r="G492" s="36"/>
      <c r="H492" s="37"/>
      <c r="I492" s="37"/>
      <c r="J492" s="37"/>
      <c r="K492" s="37"/>
      <c r="L492" s="38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9"/>
      <c r="Y492" s="1"/>
      <c r="Z492" s="1"/>
    </row>
    <row r="493" spans="1:26" ht="15.75" customHeight="1">
      <c r="A493" s="98"/>
      <c r="B493" s="32"/>
      <c r="C493" s="33"/>
      <c r="D493" s="34"/>
      <c r="E493" s="34"/>
      <c r="F493" s="35"/>
      <c r="G493" s="36"/>
      <c r="H493" s="37"/>
      <c r="I493" s="37"/>
      <c r="J493" s="37"/>
      <c r="K493" s="37"/>
      <c r="L493" s="38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9"/>
      <c r="Y493" s="1"/>
      <c r="Z493" s="1"/>
    </row>
    <row r="494" spans="1:26" ht="15.75" customHeight="1">
      <c r="A494" s="98"/>
      <c r="B494" s="32"/>
      <c r="C494" s="33"/>
      <c r="D494" s="34"/>
      <c r="E494" s="34"/>
      <c r="F494" s="35"/>
      <c r="G494" s="36"/>
      <c r="H494" s="37"/>
      <c r="I494" s="37"/>
      <c r="J494" s="37"/>
      <c r="K494" s="37"/>
      <c r="L494" s="38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9"/>
      <c r="Y494" s="1"/>
      <c r="Z494" s="1"/>
    </row>
    <row r="495" spans="1:26" ht="15.75" customHeight="1">
      <c r="A495" s="98"/>
      <c r="B495" s="32"/>
      <c r="C495" s="33"/>
      <c r="D495" s="34"/>
      <c r="E495" s="34"/>
      <c r="F495" s="35"/>
      <c r="G495" s="36"/>
      <c r="H495" s="37"/>
      <c r="I495" s="37"/>
      <c r="J495" s="37"/>
      <c r="K495" s="37"/>
      <c r="L495" s="38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9"/>
      <c r="Y495" s="1"/>
      <c r="Z495" s="1"/>
    </row>
    <row r="496" spans="1:26" ht="15.75" customHeight="1">
      <c r="A496" s="98"/>
      <c r="B496" s="32"/>
      <c r="C496" s="33"/>
      <c r="D496" s="34"/>
      <c r="E496" s="34"/>
      <c r="F496" s="35"/>
      <c r="G496" s="36"/>
      <c r="H496" s="37"/>
      <c r="I496" s="37"/>
      <c r="J496" s="37"/>
      <c r="K496" s="37"/>
      <c r="L496" s="38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9"/>
      <c r="Y496" s="1"/>
      <c r="Z496" s="1"/>
    </row>
    <row r="497" spans="1:26" ht="15.75" customHeight="1">
      <c r="A497" s="98"/>
      <c r="B497" s="32"/>
      <c r="C497" s="33"/>
      <c r="D497" s="34"/>
      <c r="E497" s="34"/>
      <c r="F497" s="35"/>
      <c r="G497" s="36"/>
      <c r="H497" s="37"/>
      <c r="I497" s="37"/>
      <c r="J497" s="37"/>
      <c r="K497" s="37"/>
      <c r="L497" s="38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9"/>
      <c r="Y497" s="1"/>
      <c r="Z497" s="1"/>
    </row>
    <row r="498" spans="1:26" ht="15.75" customHeight="1">
      <c r="A498" s="98"/>
      <c r="B498" s="32"/>
      <c r="C498" s="33"/>
      <c r="D498" s="34"/>
      <c r="E498" s="34"/>
      <c r="F498" s="35"/>
      <c r="G498" s="36"/>
      <c r="H498" s="37"/>
      <c r="I498" s="37"/>
      <c r="J498" s="37"/>
      <c r="K498" s="37"/>
      <c r="L498" s="38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9"/>
      <c r="Y498" s="1"/>
      <c r="Z498" s="1"/>
    </row>
    <row r="499" spans="1:26" ht="15.75" customHeight="1">
      <c r="A499" s="98"/>
      <c r="B499" s="32"/>
      <c r="C499" s="33"/>
      <c r="D499" s="34"/>
      <c r="E499" s="34"/>
      <c r="F499" s="35"/>
      <c r="G499" s="36"/>
      <c r="H499" s="37"/>
      <c r="I499" s="37"/>
      <c r="J499" s="37"/>
      <c r="K499" s="37"/>
      <c r="L499" s="38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9"/>
      <c r="Y499" s="1"/>
      <c r="Z499" s="1"/>
    </row>
    <row r="500" spans="1:26" ht="15.75" customHeight="1">
      <c r="A500" s="98"/>
      <c r="B500" s="32"/>
      <c r="C500" s="33"/>
      <c r="D500" s="34"/>
      <c r="E500" s="34"/>
      <c r="F500" s="35"/>
      <c r="G500" s="36"/>
      <c r="H500" s="37"/>
      <c r="I500" s="37"/>
      <c r="J500" s="37"/>
      <c r="K500" s="37"/>
      <c r="L500" s="38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9"/>
      <c r="Y500" s="1"/>
      <c r="Z500" s="1"/>
    </row>
    <row r="501" spans="1:26" ht="15.75" customHeight="1">
      <c r="A501" s="98"/>
      <c r="B501" s="32"/>
      <c r="C501" s="33"/>
      <c r="D501" s="34"/>
      <c r="E501" s="34"/>
      <c r="F501" s="35"/>
      <c r="G501" s="36"/>
      <c r="H501" s="37"/>
      <c r="I501" s="37"/>
      <c r="J501" s="37"/>
      <c r="K501" s="37"/>
      <c r="L501" s="38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9"/>
      <c r="Y501" s="1"/>
      <c r="Z501" s="1"/>
    </row>
    <row r="502" spans="1:26" ht="15.75" customHeight="1">
      <c r="A502" s="98"/>
      <c r="B502" s="32"/>
      <c r="C502" s="33"/>
      <c r="D502" s="34"/>
      <c r="E502" s="34"/>
      <c r="F502" s="35"/>
      <c r="G502" s="36"/>
      <c r="H502" s="37"/>
      <c r="I502" s="37"/>
      <c r="J502" s="37"/>
      <c r="K502" s="37"/>
      <c r="L502" s="38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9"/>
      <c r="Y502" s="1"/>
      <c r="Z502" s="1"/>
    </row>
    <row r="503" spans="1:26" ht="15.75" customHeight="1">
      <c r="A503" s="98"/>
      <c r="B503" s="32"/>
      <c r="C503" s="33"/>
      <c r="D503" s="34"/>
      <c r="E503" s="34"/>
      <c r="F503" s="35"/>
      <c r="G503" s="36"/>
      <c r="H503" s="37"/>
      <c r="I503" s="37"/>
      <c r="J503" s="37"/>
      <c r="K503" s="37"/>
      <c r="L503" s="38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9"/>
      <c r="Y503" s="1"/>
      <c r="Z503" s="1"/>
    </row>
    <row r="504" spans="1:26" ht="15.75" customHeight="1">
      <c r="A504" s="98"/>
      <c r="B504" s="32"/>
      <c r="C504" s="33"/>
      <c r="D504" s="34"/>
      <c r="E504" s="34"/>
      <c r="F504" s="35"/>
      <c r="G504" s="36"/>
      <c r="H504" s="37"/>
      <c r="I504" s="37"/>
      <c r="J504" s="37"/>
      <c r="K504" s="37"/>
      <c r="L504" s="38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9"/>
      <c r="Y504" s="1"/>
      <c r="Z504" s="1"/>
    </row>
    <row r="505" spans="1:26" ht="15.75" customHeight="1">
      <c r="A505" s="98"/>
      <c r="B505" s="32"/>
      <c r="C505" s="33"/>
      <c r="D505" s="34"/>
      <c r="E505" s="34"/>
      <c r="F505" s="35"/>
      <c r="G505" s="36"/>
      <c r="H505" s="37"/>
      <c r="I505" s="37"/>
      <c r="J505" s="37"/>
      <c r="K505" s="37"/>
      <c r="L505" s="38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9"/>
      <c r="Y505" s="1"/>
      <c r="Z505" s="1"/>
    </row>
    <row r="506" spans="1:26" ht="15.75" customHeight="1">
      <c r="A506" s="98"/>
      <c r="B506" s="32"/>
      <c r="C506" s="33"/>
      <c r="D506" s="34"/>
      <c r="E506" s="34"/>
      <c r="F506" s="35"/>
      <c r="G506" s="36"/>
      <c r="H506" s="37"/>
      <c r="I506" s="37"/>
      <c r="J506" s="37"/>
      <c r="K506" s="37"/>
      <c r="L506" s="38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9"/>
      <c r="Y506" s="1"/>
      <c r="Z506" s="1"/>
    </row>
    <row r="507" spans="1:26" ht="15.75" customHeight="1">
      <c r="A507" s="98"/>
      <c r="B507" s="32"/>
      <c r="C507" s="33"/>
      <c r="D507" s="34"/>
      <c r="E507" s="34"/>
      <c r="F507" s="35"/>
      <c r="G507" s="36"/>
      <c r="H507" s="37"/>
      <c r="I507" s="37"/>
      <c r="J507" s="37"/>
      <c r="K507" s="37"/>
      <c r="L507" s="38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9"/>
      <c r="Y507" s="1"/>
      <c r="Z507" s="1"/>
    </row>
    <row r="508" spans="1:26" ht="15.75" customHeight="1">
      <c r="A508" s="98"/>
      <c r="B508" s="32"/>
      <c r="C508" s="33"/>
      <c r="D508" s="34"/>
      <c r="E508" s="34"/>
      <c r="F508" s="35"/>
      <c r="G508" s="36"/>
      <c r="H508" s="37"/>
      <c r="I508" s="37"/>
      <c r="J508" s="37"/>
      <c r="K508" s="37"/>
      <c r="L508" s="38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9"/>
      <c r="Y508" s="1"/>
      <c r="Z508" s="1"/>
    </row>
    <row r="509" spans="1:26" ht="15.75" customHeight="1">
      <c r="A509" s="98"/>
      <c r="B509" s="32"/>
      <c r="C509" s="33"/>
      <c r="D509" s="34"/>
      <c r="E509" s="34"/>
      <c r="F509" s="35"/>
      <c r="G509" s="36"/>
      <c r="H509" s="37"/>
      <c r="I509" s="37"/>
      <c r="J509" s="37"/>
      <c r="K509" s="37"/>
      <c r="L509" s="38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9"/>
      <c r="Y509" s="1"/>
      <c r="Z509" s="1"/>
    </row>
    <row r="510" spans="1:26" ht="15.75" customHeight="1">
      <c r="A510" s="98"/>
      <c r="B510" s="32"/>
      <c r="C510" s="33"/>
      <c r="D510" s="34"/>
      <c r="E510" s="34"/>
      <c r="F510" s="35"/>
      <c r="G510" s="36"/>
      <c r="H510" s="37"/>
      <c r="I510" s="37"/>
      <c r="J510" s="37"/>
      <c r="K510" s="37"/>
      <c r="L510" s="38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9"/>
      <c r="Y510" s="1"/>
      <c r="Z510" s="1"/>
    </row>
    <row r="511" spans="1:26" ht="15.75" customHeight="1">
      <c r="A511" s="98"/>
      <c r="B511" s="32"/>
      <c r="C511" s="33"/>
      <c r="D511" s="34"/>
      <c r="E511" s="34"/>
      <c r="F511" s="35"/>
      <c r="G511" s="36"/>
      <c r="H511" s="37"/>
      <c r="I511" s="37"/>
      <c r="J511" s="37"/>
      <c r="K511" s="37"/>
      <c r="L511" s="38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9"/>
      <c r="Y511" s="1"/>
      <c r="Z511" s="1"/>
    </row>
    <row r="512" spans="1:26" ht="15.75" customHeight="1">
      <c r="A512" s="98"/>
      <c r="B512" s="32"/>
      <c r="C512" s="33"/>
      <c r="D512" s="34"/>
      <c r="E512" s="34"/>
      <c r="F512" s="35"/>
      <c r="G512" s="36"/>
      <c r="H512" s="37"/>
      <c r="I512" s="37"/>
      <c r="J512" s="37"/>
      <c r="K512" s="37"/>
      <c r="L512" s="38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9"/>
      <c r="Y512" s="1"/>
      <c r="Z512" s="1"/>
    </row>
    <row r="513" spans="1:26" ht="15.75" customHeight="1">
      <c r="A513" s="98"/>
      <c r="B513" s="32"/>
      <c r="C513" s="33"/>
      <c r="D513" s="34"/>
      <c r="E513" s="34"/>
      <c r="F513" s="35"/>
      <c r="G513" s="36"/>
      <c r="H513" s="37"/>
      <c r="I513" s="37"/>
      <c r="J513" s="37"/>
      <c r="K513" s="37"/>
      <c r="L513" s="38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9"/>
      <c r="Y513" s="1"/>
      <c r="Z513" s="1"/>
    </row>
    <row r="514" spans="1:26" ht="15.75" customHeight="1">
      <c r="A514" s="98"/>
      <c r="B514" s="32"/>
      <c r="C514" s="33"/>
      <c r="D514" s="34"/>
      <c r="E514" s="34"/>
      <c r="F514" s="35"/>
      <c r="G514" s="36"/>
      <c r="H514" s="37"/>
      <c r="I514" s="37"/>
      <c r="J514" s="37"/>
      <c r="K514" s="37"/>
      <c r="L514" s="38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9"/>
      <c r="Y514" s="1"/>
      <c r="Z514" s="1"/>
    </row>
    <row r="515" spans="1:26" ht="15.75" customHeight="1">
      <c r="A515" s="98"/>
      <c r="B515" s="32"/>
      <c r="C515" s="33"/>
      <c r="D515" s="34"/>
      <c r="E515" s="34"/>
      <c r="F515" s="35"/>
      <c r="G515" s="36"/>
      <c r="H515" s="37"/>
      <c r="I515" s="37"/>
      <c r="J515" s="37"/>
      <c r="K515" s="37"/>
      <c r="L515" s="38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9"/>
      <c r="Y515" s="1"/>
      <c r="Z515" s="1"/>
    </row>
    <row r="516" spans="1:26" ht="15.75" customHeight="1">
      <c r="A516" s="98"/>
      <c r="B516" s="32"/>
      <c r="C516" s="33"/>
      <c r="D516" s="34"/>
      <c r="E516" s="34"/>
      <c r="F516" s="35"/>
      <c r="G516" s="36"/>
      <c r="H516" s="37"/>
      <c r="I516" s="37"/>
      <c r="J516" s="37"/>
      <c r="K516" s="37"/>
      <c r="L516" s="38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9"/>
      <c r="Y516" s="1"/>
      <c r="Z516" s="1"/>
    </row>
    <row r="517" spans="1:26" ht="15.75" customHeight="1">
      <c r="A517" s="98"/>
      <c r="B517" s="32"/>
      <c r="C517" s="33"/>
      <c r="D517" s="34"/>
      <c r="E517" s="34"/>
      <c r="F517" s="35"/>
      <c r="G517" s="36"/>
      <c r="H517" s="37"/>
      <c r="I517" s="37"/>
      <c r="J517" s="37"/>
      <c r="K517" s="37"/>
      <c r="L517" s="38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9"/>
      <c r="Y517" s="1"/>
      <c r="Z517" s="1"/>
    </row>
    <row r="518" spans="1:26" ht="15.75" customHeight="1">
      <c r="A518" s="98"/>
      <c r="B518" s="32"/>
      <c r="C518" s="33"/>
      <c r="D518" s="34"/>
      <c r="E518" s="34"/>
      <c r="F518" s="35"/>
      <c r="G518" s="36"/>
      <c r="H518" s="37"/>
      <c r="I518" s="37"/>
      <c r="J518" s="37"/>
      <c r="K518" s="37"/>
      <c r="L518" s="38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9"/>
      <c r="Y518" s="1"/>
      <c r="Z518" s="1"/>
    </row>
    <row r="519" spans="1:26" ht="15.75" customHeight="1">
      <c r="A519" s="98"/>
      <c r="B519" s="32"/>
      <c r="C519" s="33"/>
      <c r="D519" s="34"/>
      <c r="E519" s="34"/>
      <c r="F519" s="35"/>
      <c r="G519" s="36"/>
      <c r="H519" s="37"/>
      <c r="I519" s="37"/>
      <c r="J519" s="37"/>
      <c r="K519" s="37"/>
      <c r="L519" s="38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9"/>
      <c r="Y519" s="1"/>
      <c r="Z519" s="1"/>
    </row>
    <row r="520" spans="1:26" ht="15.75" customHeight="1">
      <c r="A520" s="98"/>
      <c r="B520" s="32"/>
      <c r="C520" s="33"/>
      <c r="D520" s="34"/>
      <c r="E520" s="34"/>
      <c r="F520" s="35"/>
      <c r="G520" s="36"/>
      <c r="H520" s="37"/>
      <c r="I520" s="37"/>
      <c r="J520" s="37"/>
      <c r="K520" s="37"/>
      <c r="L520" s="38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9"/>
      <c r="Y520" s="1"/>
      <c r="Z520" s="1"/>
    </row>
    <row r="521" spans="1:26" ht="15.75" customHeight="1">
      <c r="A521" s="98"/>
      <c r="B521" s="32"/>
      <c r="C521" s="33"/>
      <c r="D521" s="34"/>
      <c r="E521" s="34"/>
      <c r="F521" s="35"/>
      <c r="G521" s="36"/>
      <c r="H521" s="37"/>
      <c r="I521" s="37"/>
      <c r="J521" s="37"/>
      <c r="K521" s="37"/>
      <c r="L521" s="38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9"/>
      <c r="Y521" s="1"/>
      <c r="Z521" s="1"/>
    </row>
    <row r="522" spans="1:26" ht="15.75" customHeight="1">
      <c r="A522" s="98"/>
      <c r="B522" s="32"/>
      <c r="C522" s="33"/>
      <c r="D522" s="34"/>
      <c r="E522" s="34"/>
      <c r="F522" s="35"/>
      <c r="G522" s="36"/>
      <c r="H522" s="37"/>
      <c r="I522" s="37"/>
      <c r="J522" s="37"/>
      <c r="K522" s="37"/>
      <c r="L522" s="38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9"/>
      <c r="Y522" s="1"/>
      <c r="Z522" s="1"/>
    </row>
    <row r="523" spans="1:26" ht="15.75" customHeight="1">
      <c r="A523" s="98"/>
      <c r="B523" s="32"/>
      <c r="C523" s="33"/>
      <c r="D523" s="34"/>
      <c r="E523" s="34"/>
      <c r="F523" s="35"/>
      <c r="G523" s="36"/>
      <c r="H523" s="37"/>
      <c r="I523" s="37"/>
      <c r="J523" s="37"/>
      <c r="K523" s="37"/>
      <c r="L523" s="38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9"/>
      <c r="Y523" s="1"/>
      <c r="Z523" s="1"/>
    </row>
    <row r="524" spans="1:26" ht="15.75" customHeight="1">
      <c r="A524" s="98"/>
      <c r="B524" s="32"/>
      <c r="C524" s="33"/>
      <c r="D524" s="34"/>
      <c r="E524" s="34"/>
      <c r="F524" s="35"/>
      <c r="G524" s="36"/>
      <c r="H524" s="37"/>
      <c r="I524" s="37"/>
      <c r="J524" s="37"/>
      <c r="K524" s="37"/>
      <c r="L524" s="38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9"/>
      <c r="Y524" s="1"/>
      <c r="Z524" s="1"/>
    </row>
    <row r="525" spans="1:26" ht="15.75" customHeight="1">
      <c r="A525" s="98"/>
      <c r="B525" s="32"/>
      <c r="C525" s="33"/>
      <c r="D525" s="34"/>
      <c r="E525" s="34"/>
      <c r="F525" s="35"/>
      <c r="G525" s="36"/>
      <c r="H525" s="37"/>
      <c r="I525" s="37"/>
      <c r="J525" s="37"/>
      <c r="K525" s="37"/>
      <c r="L525" s="38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9"/>
      <c r="Y525" s="1"/>
      <c r="Z525" s="1"/>
    </row>
    <row r="526" spans="1:26" ht="15.75" customHeight="1">
      <c r="A526" s="98"/>
      <c r="B526" s="32"/>
      <c r="C526" s="33"/>
      <c r="D526" s="34"/>
      <c r="E526" s="34"/>
      <c r="F526" s="35"/>
      <c r="G526" s="36"/>
      <c r="H526" s="37"/>
      <c r="I526" s="37"/>
      <c r="J526" s="37"/>
      <c r="K526" s="37"/>
      <c r="L526" s="38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9"/>
      <c r="Y526" s="1"/>
      <c r="Z526" s="1"/>
    </row>
    <row r="527" spans="1:26" ht="15.75" customHeight="1">
      <c r="A527" s="98"/>
      <c r="B527" s="32"/>
      <c r="C527" s="33"/>
      <c r="D527" s="34"/>
      <c r="E527" s="34"/>
      <c r="F527" s="35"/>
      <c r="G527" s="36"/>
      <c r="H527" s="37"/>
      <c r="I527" s="37"/>
      <c r="J527" s="37"/>
      <c r="K527" s="37"/>
      <c r="L527" s="38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9"/>
      <c r="Y527" s="1"/>
      <c r="Z527" s="1"/>
    </row>
    <row r="528" spans="1:26" ht="15.75" customHeight="1">
      <c r="A528" s="98"/>
      <c r="B528" s="32"/>
      <c r="C528" s="33"/>
      <c r="D528" s="34"/>
      <c r="E528" s="34"/>
      <c r="F528" s="35"/>
      <c r="G528" s="36"/>
      <c r="H528" s="37"/>
      <c r="I528" s="37"/>
      <c r="J528" s="37"/>
      <c r="K528" s="37"/>
      <c r="L528" s="38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9"/>
      <c r="Y528" s="1"/>
      <c r="Z528" s="1"/>
    </row>
    <row r="529" spans="1:26" ht="15.75" customHeight="1">
      <c r="A529" s="98"/>
      <c r="B529" s="32"/>
      <c r="C529" s="33"/>
      <c r="D529" s="34"/>
      <c r="E529" s="34"/>
      <c r="F529" s="35"/>
      <c r="G529" s="36"/>
      <c r="H529" s="37"/>
      <c r="I529" s="37"/>
      <c r="J529" s="37"/>
      <c r="K529" s="37"/>
      <c r="L529" s="38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9"/>
      <c r="Y529" s="1"/>
      <c r="Z529" s="1"/>
    </row>
    <row r="530" spans="1:26" ht="15.75" customHeight="1">
      <c r="A530" s="98"/>
      <c r="B530" s="32"/>
      <c r="C530" s="33"/>
      <c r="D530" s="34"/>
      <c r="E530" s="34"/>
      <c r="F530" s="35"/>
      <c r="G530" s="36"/>
      <c r="H530" s="37"/>
      <c r="I530" s="37"/>
      <c r="J530" s="37"/>
      <c r="K530" s="37"/>
      <c r="L530" s="38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9"/>
      <c r="Y530" s="1"/>
      <c r="Z530" s="1"/>
    </row>
    <row r="531" spans="1:26" ht="15.75" customHeight="1">
      <c r="A531" s="98"/>
      <c r="B531" s="32"/>
      <c r="C531" s="33"/>
      <c r="D531" s="34"/>
      <c r="E531" s="34"/>
      <c r="F531" s="35"/>
      <c r="G531" s="36"/>
      <c r="H531" s="37"/>
      <c r="I531" s="37"/>
      <c r="J531" s="37"/>
      <c r="K531" s="37"/>
      <c r="L531" s="38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9"/>
      <c r="Y531" s="1"/>
      <c r="Z531" s="1"/>
    </row>
    <row r="532" spans="1:26" ht="15.75" customHeight="1">
      <c r="A532" s="98"/>
      <c r="B532" s="32"/>
      <c r="C532" s="33"/>
      <c r="D532" s="34"/>
      <c r="E532" s="34"/>
      <c r="F532" s="35"/>
      <c r="G532" s="36"/>
      <c r="H532" s="37"/>
      <c r="I532" s="37"/>
      <c r="J532" s="37"/>
      <c r="K532" s="37"/>
      <c r="L532" s="38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9"/>
      <c r="Y532" s="1"/>
      <c r="Z532" s="1"/>
    </row>
    <row r="533" spans="1:26" ht="15.75" customHeight="1">
      <c r="A533" s="98"/>
      <c r="B533" s="32"/>
      <c r="C533" s="33"/>
      <c r="D533" s="34"/>
      <c r="E533" s="34"/>
      <c r="F533" s="35"/>
      <c r="G533" s="36"/>
      <c r="H533" s="37"/>
      <c r="I533" s="37"/>
      <c r="J533" s="37"/>
      <c r="K533" s="37"/>
      <c r="L533" s="38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9"/>
      <c r="Y533" s="1"/>
      <c r="Z533" s="1"/>
    </row>
    <row r="534" spans="1:26" ht="15.75" customHeight="1">
      <c r="A534" s="98"/>
      <c r="B534" s="32"/>
      <c r="C534" s="33"/>
      <c r="D534" s="34"/>
      <c r="E534" s="34"/>
      <c r="F534" s="35"/>
      <c r="G534" s="36"/>
      <c r="H534" s="37"/>
      <c r="I534" s="37"/>
      <c r="J534" s="37"/>
      <c r="K534" s="37"/>
      <c r="L534" s="38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9"/>
      <c r="Y534" s="1"/>
      <c r="Z534" s="1"/>
    </row>
    <row r="535" spans="1:26" ht="15.75" customHeight="1">
      <c r="A535" s="98"/>
      <c r="B535" s="32"/>
      <c r="C535" s="33"/>
      <c r="D535" s="34"/>
      <c r="E535" s="34"/>
      <c r="F535" s="35"/>
      <c r="G535" s="36"/>
      <c r="H535" s="37"/>
      <c r="I535" s="37"/>
      <c r="J535" s="37"/>
      <c r="K535" s="37"/>
      <c r="L535" s="38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9"/>
      <c r="Y535" s="1"/>
      <c r="Z535" s="1"/>
    </row>
    <row r="536" spans="1:26" ht="15.75" customHeight="1">
      <c r="A536" s="98"/>
      <c r="B536" s="32"/>
      <c r="C536" s="33"/>
      <c r="D536" s="34"/>
      <c r="E536" s="34"/>
      <c r="F536" s="35"/>
      <c r="G536" s="36"/>
      <c r="H536" s="37"/>
      <c r="I536" s="37"/>
      <c r="J536" s="37"/>
      <c r="K536" s="37"/>
      <c r="L536" s="38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9"/>
      <c r="Y536" s="1"/>
      <c r="Z536" s="1"/>
    </row>
    <row r="537" spans="1:26" ht="15.75" customHeight="1">
      <c r="A537" s="98"/>
      <c r="B537" s="32"/>
      <c r="C537" s="33"/>
      <c r="D537" s="34"/>
      <c r="E537" s="34"/>
      <c r="F537" s="35"/>
      <c r="G537" s="36"/>
      <c r="H537" s="37"/>
      <c r="I537" s="37"/>
      <c r="J537" s="37"/>
      <c r="K537" s="37"/>
      <c r="L537" s="38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9"/>
      <c r="Y537" s="1"/>
      <c r="Z537" s="1"/>
    </row>
    <row r="538" spans="1:26" ht="15.75" customHeight="1">
      <c r="A538" s="98"/>
      <c r="B538" s="32"/>
      <c r="C538" s="33"/>
      <c r="D538" s="34"/>
      <c r="E538" s="34"/>
      <c r="F538" s="35"/>
      <c r="G538" s="36"/>
      <c r="H538" s="37"/>
      <c r="I538" s="37"/>
      <c r="J538" s="37"/>
      <c r="K538" s="37"/>
      <c r="L538" s="38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9"/>
      <c r="Y538" s="1"/>
      <c r="Z538" s="1"/>
    </row>
    <row r="539" spans="1:26" ht="15.75" customHeight="1">
      <c r="A539" s="98"/>
      <c r="B539" s="32"/>
      <c r="C539" s="33"/>
      <c r="D539" s="34"/>
      <c r="E539" s="34"/>
      <c r="F539" s="35"/>
      <c r="G539" s="36"/>
      <c r="H539" s="37"/>
      <c r="I539" s="37"/>
      <c r="J539" s="37"/>
      <c r="K539" s="37"/>
      <c r="L539" s="38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9"/>
      <c r="Y539" s="1"/>
      <c r="Z539" s="1"/>
    </row>
    <row r="540" spans="1:26" ht="15.75" customHeight="1">
      <c r="A540" s="98"/>
      <c r="B540" s="32"/>
      <c r="C540" s="33"/>
      <c r="D540" s="34"/>
      <c r="E540" s="34"/>
      <c r="F540" s="35"/>
      <c r="G540" s="36"/>
      <c r="H540" s="37"/>
      <c r="I540" s="37"/>
      <c r="J540" s="37"/>
      <c r="K540" s="37"/>
      <c r="L540" s="38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9"/>
      <c r="Y540" s="1"/>
      <c r="Z540" s="1"/>
    </row>
    <row r="541" spans="1:26" ht="15.75" customHeight="1">
      <c r="A541" s="98"/>
      <c r="B541" s="32"/>
      <c r="C541" s="33"/>
      <c r="D541" s="34"/>
      <c r="E541" s="34"/>
      <c r="F541" s="35"/>
      <c r="G541" s="36"/>
      <c r="H541" s="37"/>
      <c r="I541" s="37"/>
      <c r="J541" s="37"/>
      <c r="K541" s="37"/>
      <c r="L541" s="38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9"/>
      <c r="Y541" s="1"/>
      <c r="Z541" s="1"/>
    </row>
    <row r="542" spans="1:26" ht="15.75" customHeight="1">
      <c r="A542" s="98"/>
      <c r="B542" s="32"/>
      <c r="C542" s="33"/>
      <c r="D542" s="34"/>
      <c r="E542" s="34"/>
      <c r="F542" s="35"/>
      <c r="G542" s="36"/>
      <c r="H542" s="37"/>
      <c r="I542" s="37"/>
      <c r="J542" s="37"/>
      <c r="K542" s="37"/>
      <c r="L542" s="38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9"/>
      <c r="Y542" s="1"/>
      <c r="Z542" s="1"/>
    </row>
    <row r="543" spans="1:26" ht="15.75" customHeight="1">
      <c r="A543" s="98"/>
      <c r="B543" s="32"/>
      <c r="C543" s="33"/>
      <c r="D543" s="34"/>
      <c r="E543" s="34"/>
      <c r="F543" s="35"/>
      <c r="G543" s="36"/>
      <c r="H543" s="37"/>
      <c r="I543" s="37"/>
      <c r="J543" s="37"/>
      <c r="K543" s="37"/>
      <c r="L543" s="38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9"/>
      <c r="Y543" s="1"/>
      <c r="Z543" s="1"/>
    </row>
    <row r="544" spans="1:26" ht="15.75" customHeight="1">
      <c r="A544" s="98"/>
      <c r="B544" s="32"/>
      <c r="C544" s="33"/>
      <c r="D544" s="34"/>
      <c r="E544" s="34"/>
      <c r="F544" s="35"/>
      <c r="G544" s="36"/>
      <c r="H544" s="37"/>
      <c r="I544" s="37"/>
      <c r="J544" s="37"/>
      <c r="K544" s="37"/>
      <c r="L544" s="38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9"/>
      <c r="Y544" s="1"/>
      <c r="Z544" s="1"/>
    </row>
    <row r="545" spans="1:26" ht="15.75" customHeight="1">
      <c r="A545" s="98"/>
      <c r="B545" s="32"/>
      <c r="C545" s="33"/>
      <c r="D545" s="34"/>
      <c r="E545" s="34"/>
      <c r="F545" s="35"/>
      <c r="G545" s="36"/>
      <c r="H545" s="37"/>
      <c r="I545" s="37"/>
      <c r="J545" s="37"/>
      <c r="K545" s="37"/>
      <c r="L545" s="38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9"/>
      <c r="Y545" s="1"/>
      <c r="Z545" s="1"/>
    </row>
    <row r="546" spans="1:26" ht="15.75" customHeight="1">
      <c r="A546" s="98"/>
      <c r="B546" s="32"/>
      <c r="C546" s="33"/>
      <c r="D546" s="34"/>
      <c r="E546" s="34"/>
      <c r="F546" s="35"/>
      <c r="G546" s="36"/>
      <c r="H546" s="37"/>
      <c r="I546" s="37"/>
      <c r="J546" s="37"/>
      <c r="K546" s="37"/>
      <c r="L546" s="38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9"/>
      <c r="Y546" s="1"/>
      <c r="Z546" s="1"/>
    </row>
    <row r="547" spans="1:26" ht="15.75" customHeight="1">
      <c r="A547" s="98"/>
      <c r="B547" s="32"/>
      <c r="C547" s="33"/>
      <c r="D547" s="34"/>
      <c r="E547" s="34"/>
      <c r="F547" s="35"/>
      <c r="G547" s="36"/>
      <c r="H547" s="37"/>
      <c r="I547" s="37"/>
      <c r="J547" s="37"/>
      <c r="K547" s="37"/>
      <c r="L547" s="38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9"/>
      <c r="Y547" s="1"/>
      <c r="Z547" s="1"/>
    </row>
    <row r="548" spans="1:26" ht="15.75" customHeight="1">
      <c r="A548" s="98"/>
      <c r="B548" s="32"/>
      <c r="C548" s="33"/>
      <c r="D548" s="34"/>
      <c r="E548" s="34"/>
      <c r="F548" s="35"/>
      <c r="G548" s="36"/>
      <c r="H548" s="37"/>
      <c r="I548" s="37"/>
      <c r="J548" s="37"/>
      <c r="K548" s="37"/>
      <c r="L548" s="38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9"/>
      <c r="Y548" s="1"/>
      <c r="Z548" s="1"/>
    </row>
    <row r="549" spans="1:26" ht="15.75" customHeight="1">
      <c r="A549" s="98"/>
      <c r="B549" s="32"/>
      <c r="C549" s="33"/>
      <c r="D549" s="34"/>
      <c r="E549" s="34"/>
      <c r="F549" s="35"/>
      <c r="G549" s="36"/>
      <c r="H549" s="37"/>
      <c r="I549" s="37"/>
      <c r="J549" s="37"/>
      <c r="K549" s="37"/>
      <c r="L549" s="38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9"/>
      <c r="Y549" s="1"/>
      <c r="Z549" s="1"/>
    </row>
    <row r="550" spans="1:26" ht="15.75" customHeight="1">
      <c r="A550" s="98"/>
      <c r="B550" s="32"/>
      <c r="C550" s="33"/>
      <c r="D550" s="34"/>
      <c r="E550" s="34"/>
      <c r="F550" s="35"/>
      <c r="G550" s="36"/>
      <c r="H550" s="37"/>
      <c r="I550" s="37"/>
      <c r="J550" s="37"/>
      <c r="K550" s="37"/>
      <c r="L550" s="38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9"/>
      <c r="Y550" s="1"/>
      <c r="Z550" s="1"/>
    </row>
    <row r="551" spans="1:26" ht="15.75" customHeight="1">
      <c r="A551" s="98"/>
      <c r="B551" s="32"/>
      <c r="C551" s="33"/>
      <c r="D551" s="34"/>
      <c r="E551" s="34"/>
      <c r="F551" s="35"/>
      <c r="G551" s="36"/>
      <c r="H551" s="37"/>
      <c r="I551" s="37"/>
      <c r="J551" s="37"/>
      <c r="K551" s="37"/>
      <c r="L551" s="38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9"/>
      <c r="Y551" s="1"/>
      <c r="Z551" s="1"/>
    </row>
    <row r="552" spans="1:26" ht="15.75" customHeight="1">
      <c r="A552" s="98"/>
      <c r="B552" s="32"/>
      <c r="C552" s="33"/>
      <c r="D552" s="34"/>
      <c r="E552" s="34"/>
      <c r="F552" s="35"/>
      <c r="G552" s="36"/>
      <c r="H552" s="37"/>
      <c r="I552" s="37"/>
      <c r="J552" s="37"/>
      <c r="K552" s="37"/>
      <c r="L552" s="38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9"/>
      <c r="Y552" s="1"/>
      <c r="Z552" s="1"/>
    </row>
    <row r="553" spans="1:26" ht="15.75" customHeight="1">
      <c r="A553" s="98"/>
      <c r="B553" s="32"/>
      <c r="C553" s="33"/>
      <c r="D553" s="34"/>
      <c r="E553" s="34"/>
      <c r="F553" s="35"/>
      <c r="G553" s="36"/>
      <c r="H553" s="37"/>
      <c r="I553" s="37"/>
      <c r="J553" s="37"/>
      <c r="K553" s="37"/>
      <c r="L553" s="38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9"/>
      <c r="Y553" s="1"/>
      <c r="Z553" s="1"/>
    </row>
    <row r="554" spans="1:26" ht="15.75" customHeight="1">
      <c r="A554" s="98"/>
      <c r="B554" s="32"/>
      <c r="C554" s="33"/>
      <c r="D554" s="34"/>
      <c r="E554" s="34"/>
      <c r="F554" s="35"/>
      <c r="G554" s="36"/>
      <c r="H554" s="37"/>
      <c r="I554" s="37"/>
      <c r="J554" s="37"/>
      <c r="K554" s="37"/>
      <c r="L554" s="38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9"/>
      <c r="Y554" s="1"/>
      <c r="Z554" s="1"/>
    </row>
    <row r="555" spans="1:26" ht="15.75" customHeight="1">
      <c r="A555" s="98"/>
      <c r="B555" s="32"/>
      <c r="C555" s="33"/>
      <c r="D555" s="34"/>
      <c r="E555" s="34"/>
      <c r="F555" s="35"/>
      <c r="G555" s="36"/>
      <c r="H555" s="37"/>
      <c r="I555" s="37"/>
      <c r="J555" s="37"/>
      <c r="K555" s="37"/>
      <c r="L555" s="38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9"/>
      <c r="Y555" s="1"/>
      <c r="Z555" s="1"/>
    </row>
    <row r="556" spans="1:26" ht="15.75" customHeight="1">
      <c r="A556" s="98"/>
      <c r="B556" s="32"/>
      <c r="C556" s="33"/>
      <c r="D556" s="34"/>
      <c r="E556" s="34"/>
      <c r="F556" s="35"/>
      <c r="G556" s="36"/>
      <c r="H556" s="37"/>
      <c r="I556" s="37"/>
      <c r="J556" s="37"/>
      <c r="K556" s="37"/>
      <c r="L556" s="38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9"/>
      <c r="Y556" s="1"/>
      <c r="Z556" s="1"/>
    </row>
    <row r="557" spans="1:26" ht="15.75" customHeight="1">
      <c r="A557" s="98"/>
      <c r="B557" s="32"/>
      <c r="C557" s="33"/>
      <c r="D557" s="34"/>
      <c r="E557" s="34"/>
      <c r="F557" s="35"/>
      <c r="G557" s="36"/>
      <c r="H557" s="37"/>
      <c r="I557" s="37"/>
      <c r="J557" s="37"/>
      <c r="K557" s="37"/>
      <c r="L557" s="38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9"/>
      <c r="Y557" s="1"/>
      <c r="Z557" s="1"/>
    </row>
    <row r="558" spans="1:26" ht="15.75" customHeight="1">
      <c r="A558" s="98"/>
      <c r="B558" s="32"/>
      <c r="C558" s="33"/>
      <c r="D558" s="34"/>
      <c r="E558" s="34"/>
      <c r="F558" s="35"/>
      <c r="G558" s="36"/>
      <c r="H558" s="37"/>
      <c r="I558" s="37"/>
      <c r="J558" s="37"/>
      <c r="K558" s="37"/>
      <c r="L558" s="38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9"/>
      <c r="Y558" s="1"/>
      <c r="Z558" s="1"/>
    </row>
    <row r="559" spans="1:26" ht="15.75" customHeight="1">
      <c r="A559" s="98"/>
      <c r="B559" s="32"/>
      <c r="C559" s="33"/>
      <c r="D559" s="34"/>
      <c r="E559" s="34"/>
      <c r="F559" s="35"/>
      <c r="G559" s="36"/>
      <c r="H559" s="37"/>
      <c r="I559" s="37"/>
      <c r="J559" s="37"/>
      <c r="K559" s="37"/>
      <c r="L559" s="38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9"/>
      <c r="Y559" s="1"/>
      <c r="Z559" s="1"/>
    </row>
    <row r="560" spans="1:26" ht="15.75" customHeight="1">
      <c r="A560" s="98"/>
      <c r="B560" s="32"/>
      <c r="C560" s="33"/>
      <c r="D560" s="34"/>
      <c r="E560" s="34"/>
      <c r="F560" s="35"/>
      <c r="G560" s="36"/>
      <c r="H560" s="37"/>
      <c r="I560" s="37"/>
      <c r="J560" s="37"/>
      <c r="K560" s="37"/>
      <c r="L560" s="38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9"/>
      <c r="Y560" s="1"/>
      <c r="Z560" s="1"/>
    </row>
    <row r="561" spans="1:26" ht="15.75" customHeight="1">
      <c r="A561" s="98"/>
      <c r="B561" s="32"/>
      <c r="C561" s="33"/>
      <c r="D561" s="34"/>
      <c r="E561" s="34"/>
      <c r="F561" s="35"/>
      <c r="G561" s="36"/>
      <c r="H561" s="37"/>
      <c r="I561" s="37"/>
      <c r="J561" s="37"/>
      <c r="K561" s="37"/>
      <c r="L561" s="38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9"/>
      <c r="Y561" s="1"/>
      <c r="Z561" s="1"/>
    </row>
    <row r="562" spans="1:26" ht="15.75" customHeight="1">
      <c r="A562" s="98"/>
      <c r="B562" s="32"/>
      <c r="C562" s="33"/>
      <c r="D562" s="34"/>
      <c r="E562" s="34"/>
      <c r="F562" s="35"/>
      <c r="G562" s="36"/>
      <c r="H562" s="37"/>
      <c r="I562" s="37"/>
      <c r="J562" s="37"/>
      <c r="K562" s="37"/>
      <c r="L562" s="38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9"/>
      <c r="Y562" s="1"/>
      <c r="Z562" s="1"/>
    </row>
    <row r="563" spans="1:26" ht="15.75" customHeight="1">
      <c r="A563" s="98"/>
      <c r="B563" s="32"/>
      <c r="C563" s="33"/>
      <c r="D563" s="34"/>
      <c r="E563" s="34"/>
      <c r="F563" s="35"/>
      <c r="G563" s="36"/>
      <c r="H563" s="37"/>
      <c r="I563" s="37"/>
      <c r="J563" s="37"/>
      <c r="K563" s="37"/>
      <c r="L563" s="38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9"/>
      <c r="Y563" s="1"/>
      <c r="Z563" s="1"/>
    </row>
    <row r="564" spans="1:26" ht="15.75" customHeight="1">
      <c r="A564" s="98"/>
      <c r="B564" s="32"/>
      <c r="C564" s="33"/>
      <c r="D564" s="34"/>
      <c r="E564" s="34"/>
      <c r="F564" s="35"/>
      <c r="G564" s="36"/>
      <c r="H564" s="37"/>
      <c r="I564" s="37"/>
      <c r="J564" s="37"/>
      <c r="K564" s="37"/>
      <c r="L564" s="38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9"/>
      <c r="Y564" s="1"/>
      <c r="Z564" s="1"/>
    </row>
    <row r="565" spans="1:26" ht="15.75" customHeight="1">
      <c r="A565" s="98"/>
      <c r="B565" s="32"/>
      <c r="C565" s="33"/>
      <c r="D565" s="34"/>
      <c r="E565" s="34"/>
      <c r="F565" s="35"/>
      <c r="G565" s="36"/>
      <c r="H565" s="37"/>
      <c r="I565" s="37"/>
      <c r="J565" s="37"/>
      <c r="K565" s="37"/>
      <c r="L565" s="38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9"/>
      <c r="Y565" s="1"/>
      <c r="Z565" s="1"/>
    </row>
    <row r="566" spans="1:26" ht="15.75" customHeight="1">
      <c r="A566" s="98"/>
      <c r="B566" s="32"/>
      <c r="C566" s="33"/>
      <c r="D566" s="34"/>
      <c r="E566" s="34"/>
      <c r="F566" s="35"/>
      <c r="G566" s="36"/>
      <c r="H566" s="37"/>
      <c r="I566" s="37"/>
      <c r="J566" s="37"/>
      <c r="K566" s="37"/>
      <c r="L566" s="38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9"/>
      <c r="Y566" s="1"/>
      <c r="Z566" s="1"/>
    </row>
    <row r="567" spans="1:26" ht="15.75" customHeight="1">
      <c r="A567" s="98"/>
      <c r="B567" s="32"/>
      <c r="C567" s="33"/>
      <c r="D567" s="34"/>
      <c r="E567" s="34"/>
      <c r="F567" s="35"/>
      <c r="G567" s="36"/>
      <c r="H567" s="37"/>
      <c r="I567" s="37"/>
      <c r="J567" s="37"/>
      <c r="K567" s="37"/>
      <c r="L567" s="38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9"/>
      <c r="Y567" s="1"/>
      <c r="Z567" s="1"/>
    </row>
    <row r="568" spans="1:26" ht="15.75" customHeight="1">
      <c r="A568" s="98"/>
      <c r="B568" s="32"/>
      <c r="C568" s="33"/>
      <c r="D568" s="34"/>
      <c r="E568" s="34"/>
      <c r="F568" s="35"/>
      <c r="G568" s="36"/>
      <c r="H568" s="37"/>
      <c r="I568" s="37"/>
      <c r="J568" s="37"/>
      <c r="K568" s="37"/>
      <c r="L568" s="38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9"/>
      <c r="Y568" s="1"/>
      <c r="Z568" s="1"/>
    </row>
    <row r="569" spans="1:26" ht="15.75" customHeight="1">
      <c r="A569" s="98"/>
      <c r="B569" s="32"/>
      <c r="C569" s="33"/>
      <c r="D569" s="34"/>
      <c r="E569" s="34"/>
      <c r="F569" s="35"/>
      <c r="G569" s="36"/>
      <c r="H569" s="37"/>
      <c r="I569" s="37"/>
      <c r="J569" s="37"/>
      <c r="K569" s="37"/>
      <c r="L569" s="38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9"/>
      <c r="Y569" s="1"/>
      <c r="Z569" s="1"/>
    </row>
    <row r="570" spans="1:26" ht="15.75" customHeight="1">
      <c r="A570" s="98"/>
      <c r="B570" s="32"/>
      <c r="C570" s="33"/>
      <c r="D570" s="34"/>
      <c r="E570" s="34"/>
      <c r="F570" s="35"/>
      <c r="G570" s="36"/>
      <c r="H570" s="37"/>
      <c r="I570" s="37"/>
      <c r="J570" s="37"/>
      <c r="K570" s="37"/>
      <c r="L570" s="38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9"/>
      <c r="Y570" s="1"/>
      <c r="Z570" s="1"/>
    </row>
    <row r="571" spans="1:26" ht="15.75" customHeight="1">
      <c r="A571" s="98"/>
      <c r="B571" s="32"/>
      <c r="C571" s="33"/>
      <c r="D571" s="34"/>
      <c r="E571" s="34"/>
      <c r="F571" s="35"/>
      <c r="G571" s="36"/>
      <c r="H571" s="37"/>
      <c r="I571" s="37"/>
      <c r="J571" s="37"/>
      <c r="K571" s="37"/>
      <c r="L571" s="38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9"/>
      <c r="Y571" s="1"/>
      <c r="Z571" s="1"/>
    </row>
    <row r="572" spans="1:26" ht="15.75" customHeight="1">
      <c r="A572" s="98"/>
      <c r="B572" s="32"/>
      <c r="C572" s="33"/>
      <c r="D572" s="34"/>
      <c r="E572" s="34"/>
      <c r="F572" s="35"/>
      <c r="G572" s="36"/>
      <c r="H572" s="37"/>
      <c r="I572" s="37"/>
      <c r="J572" s="37"/>
      <c r="K572" s="37"/>
      <c r="L572" s="38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9"/>
      <c r="Y572" s="1"/>
      <c r="Z572" s="1"/>
    </row>
    <row r="573" spans="1:26" ht="15.75" customHeight="1">
      <c r="A573" s="98"/>
      <c r="B573" s="32"/>
      <c r="C573" s="33"/>
      <c r="D573" s="34"/>
      <c r="E573" s="34"/>
      <c r="F573" s="35"/>
      <c r="G573" s="36"/>
      <c r="H573" s="37"/>
      <c r="I573" s="37"/>
      <c r="J573" s="37"/>
      <c r="K573" s="37"/>
      <c r="L573" s="38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9"/>
      <c r="Y573" s="1"/>
      <c r="Z573" s="1"/>
    </row>
    <row r="574" spans="1:26" ht="15.75" customHeight="1">
      <c r="A574" s="98"/>
      <c r="B574" s="32"/>
      <c r="C574" s="33"/>
      <c r="D574" s="34"/>
      <c r="E574" s="34"/>
      <c r="F574" s="35"/>
      <c r="G574" s="36"/>
      <c r="H574" s="37"/>
      <c r="I574" s="37"/>
      <c r="J574" s="37"/>
      <c r="K574" s="37"/>
      <c r="L574" s="38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9"/>
      <c r="Y574" s="1"/>
      <c r="Z574" s="1"/>
    </row>
    <row r="575" spans="1:26" ht="15.75" customHeight="1">
      <c r="A575" s="98"/>
      <c r="B575" s="32"/>
      <c r="C575" s="33"/>
      <c r="D575" s="34"/>
      <c r="E575" s="34"/>
      <c r="F575" s="35"/>
      <c r="G575" s="36"/>
      <c r="H575" s="37"/>
      <c r="I575" s="37"/>
      <c r="J575" s="37"/>
      <c r="K575" s="37"/>
      <c r="L575" s="38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9"/>
      <c r="Y575" s="1"/>
      <c r="Z575" s="1"/>
    </row>
    <row r="576" spans="1:26" ht="15.75" customHeight="1">
      <c r="A576" s="98"/>
      <c r="B576" s="32"/>
      <c r="C576" s="33"/>
      <c r="D576" s="34"/>
      <c r="E576" s="34"/>
      <c r="F576" s="35"/>
      <c r="G576" s="36"/>
      <c r="H576" s="37"/>
      <c r="I576" s="37"/>
      <c r="J576" s="37"/>
      <c r="K576" s="37"/>
      <c r="L576" s="38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9"/>
      <c r="Y576" s="1"/>
      <c r="Z576" s="1"/>
    </row>
    <row r="577" spans="1:26" ht="15.75" customHeight="1">
      <c r="A577" s="98"/>
      <c r="B577" s="32"/>
      <c r="C577" s="33"/>
      <c r="D577" s="34"/>
      <c r="E577" s="34"/>
      <c r="F577" s="35"/>
      <c r="G577" s="36"/>
      <c r="H577" s="37"/>
      <c r="I577" s="37"/>
      <c r="J577" s="37"/>
      <c r="K577" s="37"/>
      <c r="L577" s="38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9"/>
      <c r="Y577" s="1"/>
      <c r="Z577" s="1"/>
    </row>
    <row r="578" spans="1:26" ht="15.75" customHeight="1">
      <c r="A578" s="98"/>
      <c r="B578" s="32"/>
      <c r="C578" s="33"/>
      <c r="D578" s="34"/>
      <c r="E578" s="34"/>
      <c r="F578" s="35"/>
      <c r="G578" s="36"/>
      <c r="H578" s="37"/>
      <c r="I578" s="37"/>
      <c r="J578" s="37"/>
      <c r="K578" s="37"/>
      <c r="L578" s="38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9"/>
      <c r="Y578" s="1"/>
      <c r="Z578" s="1"/>
    </row>
    <row r="579" spans="1:26" ht="15.75" customHeight="1">
      <c r="A579" s="98"/>
      <c r="B579" s="32"/>
      <c r="C579" s="33"/>
      <c r="D579" s="34"/>
      <c r="E579" s="34"/>
      <c r="F579" s="35"/>
      <c r="G579" s="36"/>
      <c r="H579" s="37"/>
      <c r="I579" s="37"/>
      <c r="J579" s="37"/>
      <c r="K579" s="37"/>
      <c r="L579" s="38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9"/>
      <c r="Y579" s="1"/>
      <c r="Z579" s="1"/>
    </row>
    <row r="580" spans="1:26" ht="15.75" customHeight="1">
      <c r="A580" s="98"/>
      <c r="B580" s="32"/>
      <c r="C580" s="33"/>
      <c r="D580" s="34"/>
      <c r="E580" s="34"/>
      <c r="F580" s="35"/>
      <c r="G580" s="36"/>
      <c r="H580" s="37"/>
      <c r="I580" s="37"/>
      <c r="J580" s="37"/>
      <c r="K580" s="37"/>
      <c r="L580" s="38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9"/>
      <c r="Y580" s="1"/>
      <c r="Z580" s="1"/>
    </row>
    <row r="581" spans="1:26" ht="15.75" customHeight="1">
      <c r="A581" s="98"/>
      <c r="B581" s="32"/>
      <c r="C581" s="33"/>
      <c r="D581" s="34"/>
      <c r="E581" s="34"/>
      <c r="F581" s="35"/>
      <c r="G581" s="36"/>
      <c r="H581" s="37"/>
      <c r="I581" s="37"/>
      <c r="J581" s="37"/>
      <c r="K581" s="37"/>
      <c r="L581" s="38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9"/>
      <c r="Y581" s="1"/>
      <c r="Z581" s="1"/>
    </row>
    <row r="582" spans="1:26" ht="15.75" customHeight="1">
      <c r="A582" s="98"/>
      <c r="B582" s="32"/>
      <c r="C582" s="33"/>
      <c r="D582" s="34"/>
      <c r="E582" s="34"/>
      <c r="F582" s="35"/>
      <c r="G582" s="36"/>
      <c r="H582" s="37"/>
      <c r="I582" s="37"/>
      <c r="J582" s="37"/>
      <c r="K582" s="37"/>
      <c r="L582" s="38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9"/>
      <c r="Y582" s="1"/>
      <c r="Z582" s="1"/>
    </row>
    <row r="583" spans="1:26" ht="15.75" customHeight="1">
      <c r="A583" s="98"/>
      <c r="B583" s="32"/>
      <c r="C583" s="33"/>
      <c r="D583" s="34"/>
      <c r="E583" s="34"/>
      <c r="F583" s="35"/>
      <c r="G583" s="36"/>
      <c r="H583" s="37"/>
      <c r="I583" s="37"/>
      <c r="J583" s="37"/>
      <c r="K583" s="37"/>
      <c r="L583" s="38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9"/>
      <c r="Y583" s="1"/>
      <c r="Z583" s="1"/>
    </row>
    <row r="584" spans="1:26" ht="15.75" customHeight="1">
      <c r="A584" s="98"/>
      <c r="B584" s="32"/>
      <c r="C584" s="33"/>
      <c r="D584" s="34"/>
      <c r="E584" s="34"/>
      <c r="F584" s="35"/>
      <c r="G584" s="36"/>
      <c r="H584" s="37"/>
      <c r="I584" s="37"/>
      <c r="J584" s="37"/>
      <c r="K584" s="37"/>
      <c r="L584" s="38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9"/>
      <c r="Y584" s="1"/>
      <c r="Z584" s="1"/>
    </row>
    <row r="585" spans="1:26" ht="15.75" customHeight="1">
      <c r="A585" s="98"/>
      <c r="B585" s="32"/>
      <c r="C585" s="33"/>
      <c r="D585" s="34"/>
      <c r="E585" s="34"/>
      <c r="F585" s="35"/>
      <c r="G585" s="36"/>
      <c r="H585" s="37"/>
      <c r="I585" s="37"/>
      <c r="J585" s="37"/>
      <c r="K585" s="37"/>
      <c r="L585" s="38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9"/>
      <c r="Y585" s="1"/>
      <c r="Z585" s="1"/>
    </row>
    <row r="586" spans="1:26" ht="15.75" customHeight="1">
      <c r="A586" s="98"/>
      <c r="B586" s="32"/>
      <c r="C586" s="33"/>
      <c r="D586" s="34"/>
      <c r="E586" s="34"/>
      <c r="F586" s="35"/>
      <c r="G586" s="36"/>
      <c r="H586" s="37"/>
      <c r="I586" s="37"/>
      <c r="J586" s="37"/>
      <c r="K586" s="37"/>
      <c r="L586" s="38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9"/>
      <c r="Y586" s="1"/>
      <c r="Z586" s="1"/>
    </row>
    <row r="587" spans="1:26" ht="15.75" customHeight="1">
      <c r="A587" s="98"/>
      <c r="B587" s="32"/>
      <c r="C587" s="33"/>
      <c r="D587" s="34"/>
      <c r="E587" s="34"/>
      <c r="F587" s="35"/>
      <c r="G587" s="36"/>
      <c r="H587" s="37"/>
      <c r="I587" s="37"/>
      <c r="J587" s="37"/>
      <c r="K587" s="37"/>
      <c r="L587" s="38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9"/>
      <c r="Y587" s="1"/>
      <c r="Z587" s="1"/>
    </row>
    <row r="588" spans="1:26" ht="15.75" customHeight="1">
      <c r="A588" s="98"/>
      <c r="B588" s="32"/>
      <c r="C588" s="33"/>
      <c r="D588" s="34"/>
      <c r="E588" s="34"/>
      <c r="F588" s="35"/>
      <c r="G588" s="36"/>
      <c r="H588" s="37"/>
      <c r="I588" s="37"/>
      <c r="J588" s="37"/>
      <c r="K588" s="37"/>
      <c r="L588" s="38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9"/>
      <c r="Y588" s="1"/>
      <c r="Z588" s="1"/>
    </row>
    <row r="589" spans="1:26" ht="15.75" customHeight="1">
      <c r="A589" s="98"/>
      <c r="B589" s="32"/>
      <c r="C589" s="33"/>
      <c r="D589" s="34"/>
      <c r="E589" s="34"/>
      <c r="F589" s="35"/>
      <c r="G589" s="36"/>
      <c r="H589" s="37"/>
      <c r="I589" s="37"/>
      <c r="J589" s="37"/>
      <c r="K589" s="37"/>
      <c r="L589" s="38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9"/>
      <c r="Y589" s="1"/>
      <c r="Z589" s="1"/>
    </row>
    <row r="590" spans="1:26" ht="15.75" customHeight="1">
      <c r="A590" s="98"/>
      <c r="B590" s="32"/>
      <c r="C590" s="33"/>
      <c r="D590" s="34"/>
      <c r="E590" s="34"/>
      <c r="F590" s="35"/>
      <c r="G590" s="36"/>
      <c r="H590" s="37"/>
      <c r="I590" s="37"/>
      <c r="J590" s="37"/>
      <c r="K590" s="37"/>
      <c r="L590" s="38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9"/>
      <c r="Y590" s="1"/>
      <c r="Z590" s="1"/>
    </row>
    <row r="591" spans="1:26" ht="15.75" customHeight="1">
      <c r="A591" s="98"/>
      <c r="B591" s="32"/>
      <c r="C591" s="33"/>
      <c r="D591" s="34"/>
      <c r="E591" s="34"/>
      <c r="F591" s="35"/>
      <c r="G591" s="36"/>
      <c r="H591" s="37"/>
      <c r="I591" s="37"/>
      <c r="J591" s="37"/>
      <c r="K591" s="37"/>
      <c r="L591" s="38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9"/>
      <c r="Y591" s="1"/>
      <c r="Z591" s="1"/>
    </row>
    <row r="592" spans="1:26" ht="15.75" customHeight="1">
      <c r="A592" s="98"/>
      <c r="B592" s="32"/>
      <c r="C592" s="33"/>
      <c r="D592" s="34"/>
      <c r="E592" s="34"/>
      <c r="F592" s="35"/>
      <c r="G592" s="36"/>
      <c r="H592" s="37"/>
      <c r="I592" s="37"/>
      <c r="J592" s="37"/>
      <c r="K592" s="37"/>
      <c r="L592" s="38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9"/>
      <c r="Y592" s="1"/>
      <c r="Z592" s="1"/>
    </row>
    <row r="593" spans="1:26" ht="15.75" customHeight="1">
      <c r="A593" s="98"/>
      <c r="B593" s="32"/>
      <c r="C593" s="33"/>
      <c r="D593" s="34"/>
      <c r="E593" s="34"/>
      <c r="F593" s="35"/>
      <c r="G593" s="36"/>
      <c r="H593" s="37"/>
      <c r="I593" s="37"/>
      <c r="J593" s="37"/>
      <c r="K593" s="37"/>
      <c r="L593" s="38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9"/>
      <c r="Y593" s="1"/>
      <c r="Z593" s="1"/>
    </row>
    <row r="594" spans="1:26" ht="15.75" customHeight="1">
      <c r="A594" s="98"/>
      <c r="B594" s="32"/>
      <c r="C594" s="33"/>
      <c r="D594" s="34"/>
      <c r="E594" s="34"/>
      <c r="F594" s="35"/>
      <c r="G594" s="36"/>
      <c r="H594" s="37"/>
      <c r="I594" s="37"/>
      <c r="J594" s="37"/>
      <c r="K594" s="37"/>
      <c r="L594" s="38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9"/>
      <c r="Y594" s="1"/>
      <c r="Z594" s="1"/>
    </row>
    <row r="595" spans="1:26" ht="15.75" customHeight="1">
      <c r="A595" s="98"/>
      <c r="B595" s="32"/>
      <c r="C595" s="33"/>
      <c r="D595" s="34"/>
      <c r="E595" s="34"/>
      <c r="F595" s="35"/>
      <c r="G595" s="36"/>
      <c r="H595" s="37"/>
      <c r="I595" s="37"/>
      <c r="J595" s="37"/>
      <c r="K595" s="37"/>
      <c r="L595" s="38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9"/>
      <c r="Y595" s="1"/>
      <c r="Z595" s="1"/>
    </row>
    <row r="596" spans="1:26" ht="15.75" customHeight="1">
      <c r="A596" s="98"/>
      <c r="B596" s="32"/>
      <c r="C596" s="33"/>
      <c r="D596" s="34"/>
      <c r="E596" s="34"/>
      <c r="F596" s="35"/>
      <c r="G596" s="36"/>
      <c r="H596" s="37"/>
      <c r="I596" s="37"/>
      <c r="J596" s="37"/>
      <c r="K596" s="37"/>
      <c r="L596" s="38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9"/>
      <c r="Y596" s="1"/>
      <c r="Z596" s="1"/>
    </row>
    <row r="597" spans="1:26" ht="15.75" customHeight="1">
      <c r="A597" s="98"/>
      <c r="B597" s="32"/>
      <c r="C597" s="33"/>
      <c r="D597" s="34"/>
      <c r="E597" s="34"/>
      <c r="F597" s="35"/>
      <c r="G597" s="36"/>
      <c r="H597" s="37"/>
      <c r="I597" s="37"/>
      <c r="J597" s="37"/>
      <c r="K597" s="37"/>
      <c r="L597" s="38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9"/>
      <c r="Y597" s="1"/>
      <c r="Z597" s="1"/>
    </row>
    <row r="598" spans="1:26" ht="15.75" customHeight="1">
      <c r="A598" s="98"/>
      <c r="B598" s="32"/>
      <c r="C598" s="33"/>
      <c r="D598" s="34"/>
      <c r="E598" s="34"/>
      <c r="F598" s="35"/>
      <c r="G598" s="36"/>
      <c r="H598" s="37"/>
      <c r="I598" s="37"/>
      <c r="J598" s="37"/>
      <c r="K598" s="37"/>
      <c r="L598" s="38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9"/>
      <c r="Y598" s="1"/>
      <c r="Z598" s="1"/>
    </row>
    <row r="599" spans="1:26" ht="15.75" customHeight="1">
      <c r="A599" s="98"/>
      <c r="B599" s="32"/>
      <c r="C599" s="33"/>
      <c r="D599" s="34"/>
      <c r="E599" s="34"/>
      <c r="F599" s="35"/>
      <c r="G599" s="36"/>
      <c r="H599" s="37"/>
      <c r="I599" s="37"/>
      <c r="J599" s="37"/>
      <c r="K599" s="37"/>
      <c r="L599" s="38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9"/>
      <c r="Y599" s="1"/>
      <c r="Z599" s="1"/>
    </row>
    <row r="600" spans="1:26" ht="15.75" customHeight="1">
      <c r="A600" s="98"/>
      <c r="B600" s="32"/>
      <c r="C600" s="33"/>
      <c r="D600" s="34"/>
      <c r="E600" s="34"/>
      <c r="F600" s="35"/>
      <c r="G600" s="36"/>
      <c r="H600" s="37"/>
      <c r="I600" s="37"/>
      <c r="J600" s="37"/>
      <c r="K600" s="37"/>
      <c r="L600" s="38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9"/>
      <c r="Y600" s="1"/>
      <c r="Z600" s="1"/>
    </row>
    <row r="601" spans="1:26" ht="15.75" customHeight="1">
      <c r="A601" s="98"/>
      <c r="B601" s="32"/>
      <c r="C601" s="33"/>
      <c r="D601" s="34"/>
      <c r="E601" s="34"/>
      <c r="F601" s="35"/>
      <c r="G601" s="36"/>
      <c r="H601" s="37"/>
      <c r="I601" s="37"/>
      <c r="J601" s="37"/>
      <c r="K601" s="37"/>
      <c r="L601" s="38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9"/>
      <c r="Y601" s="1"/>
      <c r="Z601" s="1"/>
    </row>
    <row r="602" spans="1:26" ht="15.75" customHeight="1">
      <c r="A602" s="98"/>
      <c r="B602" s="32"/>
      <c r="C602" s="33"/>
      <c r="D602" s="34"/>
      <c r="E602" s="34"/>
      <c r="F602" s="35"/>
      <c r="G602" s="36"/>
      <c r="H602" s="37"/>
      <c r="I602" s="37"/>
      <c r="J602" s="37"/>
      <c r="K602" s="37"/>
      <c r="L602" s="38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9"/>
      <c r="Y602" s="1"/>
      <c r="Z602" s="1"/>
    </row>
    <row r="603" spans="1:26" ht="15.75" customHeight="1">
      <c r="A603" s="98"/>
      <c r="B603" s="32"/>
      <c r="C603" s="33"/>
      <c r="D603" s="34"/>
      <c r="E603" s="34"/>
      <c r="F603" s="35"/>
      <c r="G603" s="36"/>
      <c r="H603" s="37"/>
      <c r="I603" s="37"/>
      <c r="J603" s="37"/>
      <c r="K603" s="37"/>
      <c r="L603" s="38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9"/>
      <c r="Y603" s="1"/>
      <c r="Z603" s="1"/>
    </row>
    <row r="604" spans="1:26" ht="15.75" customHeight="1">
      <c r="A604" s="98"/>
      <c r="B604" s="32"/>
      <c r="C604" s="33"/>
      <c r="D604" s="34"/>
      <c r="E604" s="34"/>
      <c r="F604" s="35"/>
      <c r="G604" s="36"/>
      <c r="H604" s="37"/>
      <c r="I604" s="37"/>
      <c r="J604" s="37"/>
      <c r="K604" s="37"/>
      <c r="L604" s="38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9"/>
      <c r="Y604" s="1"/>
      <c r="Z604" s="1"/>
    </row>
    <row r="605" spans="1:26" ht="15.75" customHeight="1">
      <c r="A605" s="98"/>
      <c r="B605" s="32"/>
      <c r="C605" s="33"/>
      <c r="D605" s="34"/>
      <c r="E605" s="34"/>
      <c r="F605" s="35"/>
      <c r="G605" s="36"/>
      <c r="H605" s="37"/>
      <c r="I605" s="37"/>
      <c r="J605" s="37"/>
      <c r="K605" s="37"/>
      <c r="L605" s="38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9"/>
      <c r="Y605" s="1"/>
      <c r="Z605" s="1"/>
    </row>
    <row r="606" spans="1:26" ht="15.75" customHeight="1">
      <c r="A606" s="98"/>
      <c r="B606" s="32"/>
      <c r="C606" s="33"/>
      <c r="D606" s="34"/>
      <c r="E606" s="34"/>
      <c r="F606" s="35"/>
      <c r="G606" s="36"/>
      <c r="H606" s="37"/>
      <c r="I606" s="37"/>
      <c r="J606" s="37"/>
      <c r="K606" s="37"/>
      <c r="L606" s="38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9"/>
      <c r="Y606" s="1"/>
      <c r="Z606" s="1"/>
    </row>
    <row r="607" spans="1:26" ht="15.75" customHeight="1">
      <c r="A607" s="98"/>
      <c r="B607" s="32"/>
      <c r="C607" s="33"/>
      <c r="D607" s="34"/>
      <c r="E607" s="34"/>
      <c r="F607" s="35"/>
      <c r="G607" s="36"/>
      <c r="H607" s="37"/>
      <c r="I607" s="37"/>
      <c r="J607" s="37"/>
      <c r="K607" s="37"/>
      <c r="L607" s="38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9"/>
      <c r="Y607" s="1"/>
      <c r="Z607" s="1"/>
    </row>
    <row r="608" spans="1:26" ht="15.75" customHeight="1">
      <c r="A608" s="98"/>
      <c r="B608" s="32"/>
      <c r="C608" s="33"/>
      <c r="D608" s="34"/>
      <c r="E608" s="34"/>
      <c r="F608" s="35"/>
      <c r="G608" s="36"/>
      <c r="H608" s="37"/>
      <c r="I608" s="37"/>
      <c r="J608" s="37"/>
      <c r="K608" s="37"/>
      <c r="L608" s="38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9"/>
      <c r="Y608" s="1"/>
      <c r="Z608" s="1"/>
    </row>
    <row r="609" spans="1:26" ht="15.75" customHeight="1">
      <c r="A609" s="98"/>
      <c r="B609" s="32"/>
      <c r="C609" s="33"/>
      <c r="D609" s="34"/>
      <c r="E609" s="34"/>
      <c r="F609" s="35"/>
      <c r="G609" s="36"/>
      <c r="H609" s="37"/>
      <c r="I609" s="37"/>
      <c r="J609" s="37"/>
      <c r="K609" s="37"/>
      <c r="L609" s="38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9"/>
      <c r="Y609" s="1"/>
      <c r="Z609" s="1"/>
    </row>
    <row r="610" spans="1:26" ht="15.75" customHeight="1">
      <c r="A610" s="98"/>
      <c r="B610" s="32"/>
      <c r="C610" s="33"/>
      <c r="D610" s="34"/>
      <c r="E610" s="34"/>
      <c r="F610" s="35"/>
      <c r="G610" s="36"/>
      <c r="H610" s="37"/>
      <c r="I610" s="37"/>
      <c r="J610" s="37"/>
      <c r="K610" s="37"/>
      <c r="L610" s="38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9"/>
      <c r="Y610" s="1"/>
      <c r="Z610" s="1"/>
    </row>
    <row r="611" spans="1:26" ht="15.75" customHeight="1">
      <c r="A611" s="1"/>
      <c r="B611" s="3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3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3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3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3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3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3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3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3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3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3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3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3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3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3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3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3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3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3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3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3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3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3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3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3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3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3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3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3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3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3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3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3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3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3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3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3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3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3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3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3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3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3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3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3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3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3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3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3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3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3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3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3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3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3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3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3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3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3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3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3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3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3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3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3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3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3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3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3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3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3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3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3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3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3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3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3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3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3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3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3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3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3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3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3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3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3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3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3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3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3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3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3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3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3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3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3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3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3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3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3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3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3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3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3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3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3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3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3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3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3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3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3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3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3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3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3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3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3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3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3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3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3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3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3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3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3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3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3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3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3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3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3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3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3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3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3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3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3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3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3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3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3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3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3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3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3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3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3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3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3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3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3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3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3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3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3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3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3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3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3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3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3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3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3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3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3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3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3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3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3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3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3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3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3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3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3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3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3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3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3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3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3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3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3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3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3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3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3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3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3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3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3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3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3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3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3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3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3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3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3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3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3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3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3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3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3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3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3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3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3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3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3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3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3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3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3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3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3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3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3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3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3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3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3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3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3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3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3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3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3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3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3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3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3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3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3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3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3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3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3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3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3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3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3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3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3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3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3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3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3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3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3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3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3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3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3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3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3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3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3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3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3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3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3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3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3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3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3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3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3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3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3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3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3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3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3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3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3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3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3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3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3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3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3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3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3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3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3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3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3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3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3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3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3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3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3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3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3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3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3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3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3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3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3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3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3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3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3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3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3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3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3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3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3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3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3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3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3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3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3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3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3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3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3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3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3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3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3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3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3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3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3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3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3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3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3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3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3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3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3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3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3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3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3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3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3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3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3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3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3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3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3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3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3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3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3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3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3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3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3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3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3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3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3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3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3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3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3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3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3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3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3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3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3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3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3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3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3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3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3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3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3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3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3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3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3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30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30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30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1">
    <mergeCell ref="B326:B329"/>
    <mergeCell ref="B227:B230"/>
    <mergeCell ref="B311:B314"/>
    <mergeCell ref="B377:B383"/>
    <mergeCell ref="B265:B272"/>
    <mergeCell ref="B361:B368"/>
    <mergeCell ref="B317:B325"/>
    <mergeCell ref="B369:B371"/>
    <mergeCell ref="B243:B244"/>
    <mergeCell ref="B3:B47"/>
    <mergeCell ref="B296:B309"/>
    <mergeCell ref="B231:B234"/>
    <mergeCell ref="B405:B406"/>
    <mergeCell ref="B387:B394"/>
    <mergeCell ref="B252:B256"/>
    <mergeCell ref="B346:B349"/>
    <mergeCell ref="B373:B376"/>
    <mergeCell ref="B219:B226"/>
    <mergeCell ref="B206:B212"/>
    <mergeCell ref="B48:B94"/>
    <mergeCell ref="B145:B160"/>
    <mergeCell ref="B95:B144"/>
    <mergeCell ref="B179:B182"/>
    <mergeCell ref="B275:B277"/>
    <mergeCell ref="B161:B177"/>
    <mergeCell ref="B407:B408"/>
    <mergeCell ref="B183:B195"/>
    <mergeCell ref="B338:B341"/>
    <mergeCell ref="B236:B242"/>
    <mergeCell ref="B279:B282"/>
    <mergeCell ref="B291:B295"/>
    <mergeCell ref="B285:B290"/>
    <mergeCell ref="B399:B402"/>
    <mergeCell ref="B196:B205"/>
    <mergeCell ref="B396:B398"/>
    <mergeCell ref="B257:B264"/>
    <mergeCell ref="B331:B336"/>
    <mergeCell ref="B354:B360"/>
    <mergeCell ref="B213:B215"/>
    <mergeCell ref="B283:B284"/>
    <mergeCell ref="B342:B34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4"/>
  <sheetViews>
    <sheetView zoomScale="115" zoomScaleNormal="115" workbookViewId="0">
      <selection activeCell="D7" sqref="D7"/>
    </sheetView>
  </sheetViews>
  <sheetFormatPr baseColWidth="10" defaultColWidth="8.83203125" defaultRowHeight="15"/>
  <cols>
    <col min="1" max="1" width="15.5" style="121" customWidth="1"/>
    <col min="2" max="2" width="19.1640625" style="121" customWidth="1"/>
    <col min="3" max="3" width="17.83203125" style="121" customWidth="1"/>
    <col min="4" max="4" width="17.6640625" style="121" customWidth="1"/>
    <col min="5" max="5" width="15.83203125" style="121" customWidth="1"/>
    <col min="6" max="6" width="15.5" style="121" customWidth="1"/>
  </cols>
  <sheetData>
    <row r="2" spans="1:6" ht="15" customHeight="1" thickBot="1">
      <c r="D2" s="163" t="s">
        <v>1707</v>
      </c>
      <c r="E2" s="164"/>
      <c r="F2" s="164"/>
    </row>
    <row r="3" spans="1:6" ht="28.5" customHeight="1" thickBot="1">
      <c r="A3" s="102" t="s">
        <v>1708</v>
      </c>
      <c r="B3" s="102" t="s">
        <v>1709</v>
      </c>
      <c r="C3" s="102" t="s">
        <v>1710</v>
      </c>
      <c r="D3" s="102" t="s">
        <v>1711</v>
      </c>
      <c r="E3" s="102" t="s">
        <v>1712</v>
      </c>
      <c r="F3" s="102" t="s">
        <v>1713</v>
      </c>
    </row>
    <row r="4" spans="1:6" ht="28.5" customHeight="1" thickBot="1">
      <c r="A4" s="102" t="s">
        <v>1714</v>
      </c>
      <c r="B4" s="103" t="s">
        <v>1715</v>
      </c>
      <c r="C4" s="103" t="s">
        <v>1716</v>
      </c>
      <c r="D4" s="103" t="s">
        <v>1717</v>
      </c>
      <c r="E4" s="103">
        <v>11.25</v>
      </c>
      <c r="F4" s="103">
        <v>14.72</v>
      </c>
    </row>
    <row r="5" spans="1:6" ht="15" customHeight="1" thickBot="1">
      <c r="A5" s="102" t="s">
        <v>1718</v>
      </c>
      <c r="B5" s="103" t="s">
        <v>1719</v>
      </c>
      <c r="C5" s="103" t="s">
        <v>1720</v>
      </c>
      <c r="D5" s="103" t="s">
        <v>1721</v>
      </c>
      <c r="E5" s="103">
        <v>9.2899999999999991</v>
      </c>
      <c r="F5" s="103">
        <v>9.2899999999999991</v>
      </c>
    </row>
    <row r="6" spans="1:6" ht="15" customHeight="1" thickBot="1">
      <c r="A6" s="102" t="s">
        <v>18</v>
      </c>
      <c r="B6" s="103" t="s">
        <v>1722</v>
      </c>
      <c r="C6" s="103" t="s">
        <v>1723</v>
      </c>
      <c r="D6" s="103" t="s">
        <v>1724</v>
      </c>
      <c r="E6" s="103">
        <v>7.06</v>
      </c>
      <c r="F6" s="103">
        <v>7.06</v>
      </c>
    </row>
    <row r="7" spans="1:6" ht="15" customHeight="1" thickBot="1">
      <c r="A7" s="102" t="s">
        <v>20</v>
      </c>
      <c r="B7" s="103" t="s">
        <v>1722</v>
      </c>
      <c r="C7" s="103" t="s">
        <v>1723</v>
      </c>
      <c r="E7" s="103"/>
      <c r="F7" s="103"/>
    </row>
    <row r="8" spans="1:6" ht="28.5" customHeight="1" thickBot="1">
      <c r="A8" s="102" t="s">
        <v>1725</v>
      </c>
      <c r="B8" s="103" t="s">
        <v>1726</v>
      </c>
      <c r="C8" s="103" t="s">
        <v>1727</v>
      </c>
      <c r="D8" s="103"/>
      <c r="E8" s="103"/>
      <c r="F8" s="103"/>
    </row>
    <row r="9" spans="1:6" ht="15" customHeight="1" thickBot="1">
      <c r="A9" s="102" t="s">
        <v>1728</v>
      </c>
      <c r="B9" s="103" t="s">
        <v>1729</v>
      </c>
      <c r="C9" s="103" t="s">
        <v>1730</v>
      </c>
      <c r="D9" s="103"/>
      <c r="E9" s="103"/>
      <c r="F9" s="103"/>
    </row>
    <row r="10" spans="1:6" ht="28.5" customHeight="1" thickBot="1">
      <c r="A10" s="102" t="s">
        <v>1731</v>
      </c>
      <c r="B10" s="103" t="s">
        <v>1732</v>
      </c>
      <c r="C10" s="103" t="s">
        <v>1733</v>
      </c>
      <c r="D10" s="103"/>
      <c r="E10" s="103"/>
      <c r="F10" s="103"/>
    </row>
    <row r="11" spans="1:6" ht="15" customHeight="1" thickBot="1">
      <c r="A11" s="102" t="s">
        <v>107</v>
      </c>
      <c r="B11" s="103" t="s">
        <v>1734</v>
      </c>
      <c r="C11" s="103" t="s">
        <v>1735</v>
      </c>
      <c r="D11" s="103"/>
      <c r="E11" s="103"/>
      <c r="F11" s="103"/>
    </row>
    <row r="12" spans="1:6" ht="15" customHeight="1" thickBot="1">
      <c r="A12" s="102" t="s">
        <v>200</v>
      </c>
      <c r="B12" s="103" t="s">
        <v>1736</v>
      </c>
      <c r="C12" s="103" t="s">
        <v>1737</v>
      </c>
      <c r="D12" s="103"/>
      <c r="E12" s="103"/>
      <c r="F12" s="103"/>
    </row>
    <row r="13" spans="1:6" ht="15" customHeight="1" thickBot="1">
      <c r="A13" s="102" t="s">
        <v>29</v>
      </c>
      <c r="B13" s="103" t="s">
        <v>1738</v>
      </c>
      <c r="C13" s="103" t="s">
        <v>1739</v>
      </c>
      <c r="D13" s="103"/>
      <c r="E13" s="103"/>
      <c r="F13" s="103"/>
    </row>
    <row r="14" spans="1:6" ht="15" customHeight="1" thickBot="1">
      <c r="A14" s="102" t="s">
        <v>103</v>
      </c>
      <c r="B14" s="103" t="s">
        <v>1740</v>
      </c>
      <c r="C14" s="103" t="s">
        <v>1741</v>
      </c>
      <c r="D14" s="103"/>
      <c r="E14" s="103"/>
      <c r="F14" s="103"/>
    </row>
  </sheetData>
  <mergeCells count="1">
    <mergeCell ref="D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815"/>
  <sheetViews>
    <sheetView tabSelected="1" topLeftCell="A1640" workbookViewId="0">
      <selection activeCell="D1798" sqref="D1798"/>
    </sheetView>
  </sheetViews>
  <sheetFormatPr baseColWidth="10" defaultColWidth="14.5" defaultRowHeight="15" customHeight="1"/>
  <cols>
    <col min="1" max="1" width="27.83203125" style="121" customWidth="1"/>
    <col min="2" max="2" width="13.83203125" style="114" customWidth="1"/>
    <col min="3" max="3" width="57.83203125" style="114" customWidth="1"/>
    <col min="4" max="4" width="38.1640625" style="114" customWidth="1"/>
    <col min="5" max="5" width="12.33203125" style="121" customWidth="1"/>
    <col min="6" max="6" width="11" style="121" customWidth="1"/>
    <col min="7" max="7" width="13.6640625" style="121" hidden="1" customWidth="1"/>
    <col min="8" max="10" width="9" style="121" hidden="1" customWidth="1"/>
    <col min="11" max="27" width="9" style="121" customWidth="1"/>
  </cols>
  <sheetData>
    <row r="1" spans="1:27" ht="119.25" customHeight="1" thickBot="1">
      <c r="A1" s="133" t="s">
        <v>1742</v>
      </c>
      <c r="B1" s="134"/>
      <c r="C1" s="134"/>
      <c r="D1" s="134"/>
      <c r="E1" s="135"/>
      <c r="F1" s="135"/>
      <c r="G1" s="135"/>
    </row>
    <row r="2" spans="1:27" ht="30.75" customHeight="1" thickBot="1">
      <c r="A2" s="154"/>
      <c r="B2" s="134"/>
      <c r="C2" s="134"/>
      <c r="D2" s="134"/>
      <c r="E2" s="135"/>
      <c r="F2" s="135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0.75" customHeight="1" thickBot="1">
      <c r="A3" s="153" t="s">
        <v>0</v>
      </c>
      <c r="B3" s="134"/>
      <c r="C3" s="134"/>
      <c r="D3" s="134"/>
      <c r="E3" s="135"/>
      <c r="F3" s="135"/>
      <c r="G3" s="3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67" customHeight="1" thickBot="1">
      <c r="A4" s="153" t="s">
        <v>1</v>
      </c>
      <c r="B4" s="134"/>
      <c r="C4" s="134"/>
      <c r="D4" s="134"/>
      <c r="E4" s="135"/>
      <c r="F4" s="135"/>
      <c r="G4" s="101"/>
      <c r="H4" s="22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3" customHeight="1" thickBot="1">
      <c r="A5" s="122" t="s">
        <v>2</v>
      </c>
      <c r="G5" s="101"/>
      <c r="H5" s="22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7.25" customHeight="1" thickBot="1">
      <c r="A6" s="5"/>
      <c r="B6" s="111" t="s">
        <v>3</v>
      </c>
      <c r="C6" s="111" t="s">
        <v>4</v>
      </c>
      <c r="D6" s="111" t="s">
        <v>5</v>
      </c>
      <c r="E6" s="6" t="s">
        <v>6</v>
      </c>
      <c r="F6" s="5" t="s">
        <v>7</v>
      </c>
      <c r="G6" s="7" t="s">
        <v>8</v>
      </c>
      <c r="H6" s="8"/>
      <c r="I6" s="9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7.25" customHeight="1" thickBot="1">
      <c r="A7" s="145"/>
      <c r="B7" s="146"/>
      <c r="C7" s="146"/>
      <c r="D7" s="146"/>
      <c r="E7" s="146"/>
      <c r="F7" s="146"/>
      <c r="G7" s="147"/>
      <c r="H7" s="16"/>
      <c r="I7" s="16"/>
      <c r="J7" s="1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7.5" customHeight="1" thickBot="1">
      <c r="A8" s="104" t="s">
        <v>9</v>
      </c>
      <c r="H8" s="16"/>
      <c r="I8" s="16"/>
      <c r="J8" s="1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thickBot="1">
      <c r="A9" s="12"/>
      <c r="B9" s="109" t="s">
        <v>10</v>
      </c>
      <c r="C9" s="107" t="s">
        <v>11</v>
      </c>
      <c r="D9" s="100" t="s">
        <v>12</v>
      </c>
      <c r="E9" s="17">
        <v>1396</v>
      </c>
      <c r="F9" s="18">
        <v>1895</v>
      </c>
      <c r="G9" s="20" t="s">
        <v>13</v>
      </c>
      <c r="H9" s="21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" customHeight="1" thickBot="1">
      <c r="A10" s="149"/>
      <c r="B10" s="150"/>
      <c r="C10" s="150"/>
      <c r="D10" s="150"/>
      <c r="E10" s="150"/>
      <c r="F10" s="150"/>
      <c r="G10" s="151"/>
      <c r="H10" s="21"/>
      <c r="I10" s="4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.5" customHeight="1" thickBot="1">
      <c r="A11" s="104" t="s">
        <v>15</v>
      </c>
      <c r="H11" s="16"/>
      <c r="I11" s="4"/>
      <c r="J11" s="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.5" customHeight="1" thickBot="1">
      <c r="A12" s="12"/>
      <c r="B12" s="109" t="s">
        <v>16</v>
      </c>
      <c r="C12" s="107" t="s">
        <v>17</v>
      </c>
      <c r="D12" s="100" t="s">
        <v>18</v>
      </c>
      <c r="E12" s="17">
        <v>142</v>
      </c>
      <c r="F12" s="18">
        <v>1195</v>
      </c>
      <c r="G12" s="20" t="s">
        <v>13</v>
      </c>
      <c r="H12" s="21"/>
      <c r="I12" s="4"/>
      <c r="J12" s="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.5" customHeight="1" thickBot="1">
      <c r="A13" s="12"/>
      <c r="B13" s="109">
        <v>99</v>
      </c>
      <c r="C13" s="107" t="s">
        <v>19</v>
      </c>
      <c r="D13" s="100" t="s">
        <v>20</v>
      </c>
      <c r="E13" s="17">
        <v>143</v>
      </c>
      <c r="F13" s="18">
        <v>1095</v>
      </c>
      <c r="G13" s="20" t="s">
        <v>21</v>
      </c>
      <c r="H13" s="22"/>
      <c r="I13" s="4"/>
      <c r="J13" s="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.5" customHeight="1" thickBot="1">
      <c r="A14" s="12"/>
      <c r="B14" s="108"/>
      <c r="C14" s="115"/>
      <c r="D14" s="100" t="s">
        <v>14</v>
      </c>
      <c r="E14" s="17">
        <v>144</v>
      </c>
      <c r="F14" s="18">
        <v>735</v>
      </c>
      <c r="G14" s="20" t="s">
        <v>21</v>
      </c>
      <c r="H14" s="21"/>
      <c r="I14" s="4"/>
      <c r="J14" s="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.5" customHeight="1" thickBot="1">
      <c r="A15" s="12"/>
      <c r="B15" s="108"/>
      <c r="C15" s="115"/>
      <c r="D15" s="100" t="s">
        <v>22</v>
      </c>
      <c r="E15" s="17">
        <v>145</v>
      </c>
      <c r="F15" s="18">
        <v>425</v>
      </c>
      <c r="G15" s="20" t="s">
        <v>23</v>
      </c>
      <c r="H15" s="22"/>
      <c r="I15" s="4"/>
      <c r="J15" s="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.5" customHeight="1" thickBot="1">
      <c r="A16" s="12"/>
      <c r="B16" s="109" t="s">
        <v>24</v>
      </c>
      <c r="C16" s="107" t="s">
        <v>25</v>
      </c>
      <c r="D16" s="100" t="s">
        <v>26</v>
      </c>
      <c r="E16" s="17">
        <v>1766</v>
      </c>
      <c r="F16" s="18">
        <v>2795</v>
      </c>
      <c r="G16" s="20" t="s">
        <v>23</v>
      </c>
      <c r="H16" s="21"/>
      <c r="I16" s="4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.5" customHeight="1" thickBot="1">
      <c r="A17" s="12"/>
      <c r="B17" s="108"/>
      <c r="C17" s="115"/>
      <c r="D17" s="100" t="s">
        <v>27</v>
      </c>
      <c r="E17" s="17">
        <v>1767</v>
      </c>
      <c r="F17" s="18">
        <v>3895</v>
      </c>
      <c r="G17" s="20" t="s">
        <v>28</v>
      </c>
      <c r="H17" s="21"/>
      <c r="I17" s="4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5" customHeight="1" thickBot="1">
      <c r="A18" s="12"/>
      <c r="B18" s="108"/>
      <c r="C18" s="115"/>
      <c r="D18" s="100" t="s">
        <v>29</v>
      </c>
      <c r="E18" s="17">
        <v>1768</v>
      </c>
      <c r="F18" s="18">
        <v>3895</v>
      </c>
      <c r="G18" s="20" t="s">
        <v>30</v>
      </c>
      <c r="H18" s="21"/>
      <c r="I18" s="4"/>
      <c r="J18" s="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5" customHeight="1" thickBot="1">
      <c r="A19" s="12"/>
      <c r="B19" s="108"/>
      <c r="C19" s="115"/>
      <c r="D19" s="100" t="s">
        <v>29</v>
      </c>
      <c r="E19" s="17" t="s">
        <v>31</v>
      </c>
      <c r="F19" s="18">
        <v>3895</v>
      </c>
      <c r="G19" s="20" t="s">
        <v>32</v>
      </c>
      <c r="H19" s="21"/>
      <c r="I19" s="4"/>
      <c r="J19" s="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5" customHeight="1" thickBot="1">
      <c r="A20" s="12"/>
      <c r="B20" s="108"/>
      <c r="C20" s="115"/>
      <c r="D20" s="100" t="s">
        <v>33</v>
      </c>
      <c r="E20" s="13"/>
      <c r="F20" s="18">
        <v>1095</v>
      </c>
      <c r="G20" s="20" t="s">
        <v>32</v>
      </c>
      <c r="H20" s="21"/>
      <c r="I20" s="4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" customHeight="1" thickBot="1">
      <c r="A21" s="12"/>
      <c r="B21" s="108"/>
      <c r="C21" s="115"/>
      <c r="D21" s="100" t="s">
        <v>34</v>
      </c>
      <c r="E21" s="17">
        <v>1281</v>
      </c>
      <c r="F21" s="18">
        <v>4295</v>
      </c>
      <c r="G21" s="20" t="s">
        <v>35</v>
      </c>
      <c r="H21" s="21"/>
      <c r="I21" s="4"/>
      <c r="J21" s="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0.5" customHeight="1" thickBot="1">
      <c r="A22" s="12"/>
      <c r="B22" s="108"/>
      <c r="C22" s="115"/>
      <c r="D22" s="113" t="s">
        <v>36</v>
      </c>
      <c r="E22" s="17">
        <v>1769</v>
      </c>
      <c r="F22" s="18">
        <v>995</v>
      </c>
      <c r="G22" s="20" t="s">
        <v>35</v>
      </c>
      <c r="H22" s="21"/>
      <c r="I22" s="4"/>
      <c r="J22" s="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0.25" customHeight="1" thickBot="1">
      <c r="A23" s="12"/>
      <c r="B23" s="109" t="s">
        <v>24</v>
      </c>
      <c r="C23" s="107" t="s">
        <v>37</v>
      </c>
      <c r="D23" s="100" t="s">
        <v>38</v>
      </c>
      <c r="E23" s="17">
        <v>3259</v>
      </c>
      <c r="F23" s="18">
        <v>795</v>
      </c>
      <c r="G23" s="20" t="s">
        <v>39</v>
      </c>
      <c r="H23" s="21"/>
      <c r="I23" s="4"/>
      <c r="J23" s="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.5" customHeight="1" thickBot="1">
      <c r="A24" s="12"/>
      <c r="B24" s="109" t="s">
        <v>24</v>
      </c>
      <c r="C24" s="107" t="s">
        <v>40</v>
      </c>
      <c r="D24" s="100"/>
      <c r="E24" s="13"/>
      <c r="F24" s="18">
        <v>4995</v>
      </c>
      <c r="G24" s="20" t="s">
        <v>41</v>
      </c>
      <c r="H24" s="22"/>
      <c r="I24" s="4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.5" customHeight="1" thickBot="1">
      <c r="A25" s="12"/>
      <c r="B25" s="109" t="s">
        <v>42</v>
      </c>
      <c r="C25" s="107" t="s">
        <v>43</v>
      </c>
      <c r="D25" s="100" t="s">
        <v>18</v>
      </c>
      <c r="E25" s="17">
        <v>2311</v>
      </c>
      <c r="F25" s="18">
        <v>1595</v>
      </c>
      <c r="G25" s="23"/>
      <c r="H25" s="22"/>
      <c r="I25" s="4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6.5" customHeight="1" thickBot="1">
      <c r="A26" s="12"/>
      <c r="B26" s="108"/>
      <c r="C26" s="106"/>
      <c r="D26" s="100" t="s">
        <v>18</v>
      </c>
      <c r="E26" s="17">
        <v>2312</v>
      </c>
      <c r="F26" s="18">
        <v>1595</v>
      </c>
      <c r="G26" s="20" t="s">
        <v>44</v>
      </c>
      <c r="H26" s="22"/>
      <c r="I26" s="4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.5" customHeight="1" thickBot="1">
      <c r="A27" s="12"/>
      <c r="B27" s="116" t="s">
        <v>45</v>
      </c>
      <c r="C27" s="107" t="s">
        <v>46</v>
      </c>
      <c r="D27" s="100" t="s">
        <v>18</v>
      </c>
      <c r="E27" s="17">
        <v>2365</v>
      </c>
      <c r="F27" s="18">
        <v>1195</v>
      </c>
      <c r="G27" s="23"/>
      <c r="H27" s="22"/>
      <c r="I27" s="4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.5" customHeight="1" thickBot="1">
      <c r="A28" s="12"/>
      <c r="B28" s="108"/>
      <c r="C28" s="115"/>
      <c r="D28" s="100" t="s">
        <v>20</v>
      </c>
      <c r="E28" s="17">
        <v>2366</v>
      </c>
      <c r="F28" s="18">
        <v>1095</v>
      </c>
      <c r="G28" s="20" t="s">
        <v>47</v>
      </c>
      <c r="H28" s="22"/>
      <c r="I28" s="4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5" customHeight="1" thickBot="1">
      <c r="A29" s="12"/>
      <c r="B29" s="108"/>
      <c r="C29" s="115"/>
      <c r="D29" s="100" t="s">
        <v>14</v>
      </c>
      <c r="E29" s="17">
        <v>23667</v>
      </c>
      <c r="F29" s="18">
        <v>735</v>
      </c>
      <c r="G29" s="23"/>
      <c r="H29" s="22"/>
      <c r="I29" s="4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5" customHeight="1" thickBot="1">
      <c r="A30" s="12"/>
      <c r="B30" s="108"/>
      <c r="C30" s="115"/>
      <c r="D30" s="100" t="s">
        <v>22</v>
      </c>
      <c r="E30" s="17">
        <v>2368</v>
      </c>
      <c r="F30" s="18">
        <v>425</v>
      </c>
      <c r="G30" s="20" t="s">
        <v>48</v>
      </c>
      <c r="H30" s="22"/>
      <c r="I30" s="4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5" customHeight="1" thickBot="1">
      <c r="A31" s="12"/>
      <c r="B31" s="109" t="s">
        <v>49</v>
      </c>
      <c r="C31" s="107" t="s">
        <v>50</v>
      </c>
      <c r="D31" s="100" t="s">
        <v>18</v>
      </c>
      <c r="E31" s="17">
        <v>3127</v>
      </c>
      <c r="F31" s="18">
        <v>1595</v>
      </c>
      <c r="G31" s="20" t="s">
        <v>48</v>
      </c>
      <c r="H31" s="22"/>
      <c r="I31" s="4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5" customHeight="1" thickBot="1">
      <c r="A32" s="12"/>
      <c r="B32" s="109" t="s">
        <v>51</v>
      </c>
      <c r="C32" s="107"/>
      <c r="D32" s="100" t="s">
        <v>20</v>
      </c>
      <c r="E32" s="17">
        <v>3128</v>
      </c>
      <c r="F32" s="18">
        <v>1595</v>
      </c>
      <c r="G32" s="20" t="s">
        <v>48</v>
      </c>
      <c r="H32" s="22"/>
      <c r="I32" s="4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5" customHeight="1" thickBot="1">
      <c r="A33" s="12"/>
      <c r="B33" s="108"/>
      <c r="C33" s="106"/>
      <c r="D33" s="100" t="s">
        <v>14</v>
      </c>
      <c r="E33" s="17">
        <v>3129</v>
      </c>
      <c r="F33" s="18">
        <v>1595</v>
      </c>
      <c r="G33" s="20" t="s">
        <v>52</v>
      </c>
      <c r="H33" s="22"/>
      <c r="I33" s="4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5" customHeight="1" thickBot="1">
      <c r="A34" s="12"/>
      <c r="B34" s="108"/>
      <c r="C34" s="106"/>
      <c r="D34" s="100" t="s">
        <v>53</v>
      </c>
      <c r="E34" s="17">
        <v>3130</v>
      </c>
      <c r="F34" s="18">
        <v>425</v>
      </c>
      <c r="G34" s="23"/>
      <c r="H34" s="22"/>
      <c r="I34" s="4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5" customHeight="1" thickBot="1">
      <c r="A35" s="12"/>
      <c r="B35" s="108"/>
      <c r="C35" s="106"/>
      <c r="D35" s="100" t="s">
        <v>54</v>
      </c>
      <c r="E35" s="17">
        <v>3131</v>
      </c>
      <c r="F35" s="18">
        <v>295</v>
      </c>
      <c r="G35" s="23"/>
      <c r="H35" s="22"/>
      <c r="I35" s="4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5" customHeight="1" thickBot="1">
      <c r="A36" s="12"/>
      <c r="B36" s="108"/>
      <c r="C36" s="106"/>
      <c r="D36" s="100" t="s">
        <v>55</v>
      </c>
      <c r="E36" s="17">
        <v>3132</v>
      </c>
      <c r="F36" s="18">
        <v>1295</v>
      </c>
      <c r="G36" s="23"/>
      <c r="H36" s="22"/>
      <c r="I36" s="4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5" customHeight="1" thickBot="1">
      <c r="A37" s="12"/>
      <c r="B37" s="109" t="s">
        <v>56</v>
      </c>
      <c r="C37" s="107" t="s">
        <v>57</v>
      </c>
      <c r="D37" s="100" t="s">
        <v>18</v>
      </c>
      <c r="E37" s="17">
        <v>3081</v>
      </c>
      <c r="F37" s="18">
        <v>1895</v>
      </c>
      <c r="G37" s="20" t="s">
        <v>58</v>
      </c>
      <c r="H37" s="22"/>
      <c r="I37" s="4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5" customHeight="1" thickBot="1">
      <c r="A38" s="12"/>
      <c r="B38" s="108"/>
      <c r="C38" s="106"/>
      <c r="D38" s="100" t="s">
        <v>20</v>
      </c>
      <c r="E38" s="17">
        <v>3082</v>
      </c>
      <c r="F38" s="18">
        <v>1895</v>
      </c>
      <c r="G38" s="20" t="s">
        <v>59</v>
      </c>
      <c r="H38" s="22"/>
      <c r="I38" s="4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5" customHeight="1" thickBot="1">
      <c r="A39" s="12"/>
      <c r="B39" s="108"/>
      <c r="C39" s="106"/>
      <c r="D39" s="100" t="s">
        <v>14</v>
      </c>
      <c r="E39" s="17">
        <v>3083</v>
      </c>
      <c r="F39" s="18">
        <v>1595</v>
      </c>
      <c r="G39" s="23"/>
      <c r="H39" s="22"/>
      <c r="I39" s="4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5" customHeight="1" thickBot="1">
      <c r="A40" s="12"/>
      <c r="B40" s="108"/>
      <c r="C40" s="106"/>
      <c r="D40" s="100" t="s">
        <v>60</v>
      </c>
      <c r="E40" s="17">
        <v>3084</v>
      </c>
      <c r="F40" s="18">
        <v>795</v>
      </c>
      <c r="G40" s="23"/>
      <c r="H40" s="22"/>
      <c r="I40" s="4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5" customHeight="1" thickBot="1">
      <c r="A41" s="12"/>
      <c r="B41" s="108"/>
      <c r="C41" s="106"/>
      <c r="D41" s="100" t="s">
        <v>61</v>
      </c>
      <c r="E41" s="17">
        <v>3085</v>
      </c>
      <c r="F41" s="18">
        <v>795</v>
      </c>
      <c r="G41" s="20" t="s">
        <v>48</v>
      </c>
      <c r="H41" s="22"/>
      <c r="I41" s="4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5" customHeight="1" thickBot="1">
      <c r="A42" s="12"/>
      <c r="B42" s="108"/>
      <c r="C42" s="106"/>
      <c r="D42" s="100" t="s">
        <v>33</v>
      </c>
      <c r="E42" s="17">
        <v>3086</v>
      </c>
      <c r="F42" s="18">
        <v>995</v>
      </c>
      <c r="G42" s="20" t="s">
        <v>62</v>
      </c>
      <c r="H42" s="22"/>
      <c r="I42" s="4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5" customHeight="1" thickBot="1">
      <c r="A43" s="12"/>
      <c r="B43" s="108"/>
      <c r="C43" s="106"/>
      <c r="D43" s="100" t="s">
        <v>63</v>
      </c>
      <c r="E43" s="17">
        <v>3087</v>
      </c>
      <c r="F43" s="18">
        <v>1295</v>
      </c>
      <c r="G43" s="20" t="s">
        <v>47</v>
      </c>
      <c r="H43" s="22"/>
      <c r="I43" s="4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5" customHeight="1" thickBot="1">
      <c r="A44" s="12"/>
      <c r="B44" s="108"/>
      <c r="C44" s="106"/>
      <c r="D44" s="100" t="s">
        <v>29</v>
      </c>
      <c r="E44" s="17">
        <v>3088</v>
      </c>
      <c r="F44" s="18">
        <v>1295</v>
      </c>
      <c r="G44" s="20" t="s">
        <v>64</v>
      </c>
      <c r="H44" s="22"/>
      <c r="I44" s="4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" customHeight="1" thickBot="1">
      <c r="A45" s="149"/>
      <c r="B45" s="150"/>
      <c r="C45" s="150"/>
      <c r="D45" s="150"/>
      <c r="E45" s="150"/>
      <c r="F45" s="150"/>
      <c r="G45" s="151"/>
      <c r="H45" s="22"/>
      <c r="I45" s="4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5" customHeight="1" thickBot="1">
      <c r="A46" s="104" t="s">
        <v>66</v>
      </c>
      <c r="H46" s="4"/>
      <c r="I46" s="4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5" customHeight="1" thickBot="1">
      <c r="A47" s="12"/>
      <c r="B47" s="109" t="s">
        <v>67</v>
      </c>
      <c r="C47" s="107" t="s">
        <v>68</v>
      </c>
      <c r="D47" s="100" t="s">
        <v>18</v>
      </c>
      <c r="E47" s="17">
        <v>191</v>
      </c>
      <c r="F47" s="18">
        <v>720</v>
      </c>
      <c r="G47" s="20" t="s">
        <v>21</v>
      </c>
      <c r="H47" s="22"/>
      <c r="I47" s="4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5" customHeight="1" thickBot="1">
      <c r="A48" s="12"/>
      <c r="B48" s="109" t="s">
        <v>69</v>
      </c>
      <c r="C48" s="107" t="s">
        <v>70</v>
      </c>
      <c r="D48" s="100" t="s">
        <v>20</v>
      </c>
      <c r="E48" s="17">
        <v>192</v>
      </c>
      <c r="F48" s="18">
        <v>1095</v>
      </c>
      <c r="G48" s="20" t="s">
        <v>71</v>
      </c>
      <c r="H48" s="22"/>
      <c r="I48" s="4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5" customHeight="1" thickBot="1">
      <c r="A49" s="12"/>
      <c r="B49" s="108"/>
      <c r="C49" s="106"/>
      <c r="D49" s="100" t="s">
        <v>14</v>
      </c>
      <c r="E49" s="17">
        <v>193</v>
      </c>
      <c r="F49" s="18">
        <v>445</v>
      </c>
      <c r="G49" s="20" t="s">
        <v>71</v>
      </c>
      <c r="H49" s="22"/>
      <c r="I49" s="4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5" customHeight="1" thickBot="1">
      <c r="A50" s="12"/>
      <c r="B50" s="108"/>
      <c r="C50" s="107" t="s">
        <v>72</v>
      </c>
      <c r="D50" s="100" t="s">
        <v>18</v>
      </c>
      <c r="E50" s="17">
        <v>194</v>
      </c>
      <c r="F50" s="18">
        <v>720</v>
      </c>
      <c r="G50" s="20" t="s">
        <v>73</v>
      </c>
      <c r="H50" s="22"/>
      <c r="I50" s="4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5" customHeight="1" thickBot="1">
      <c r="A51" s="12"/>
      <c r="B51" s="108"/>
      <c r="C51" s="107" t="s">
        <v>70</v>
      </c>
      <c r="D51" s="100" t="s">
        <v>20</v>
      </c>
      <c r="E51" s="17">
        <v>195</v>
      </c>
      <c r="F51" s="18">
        <v>1095</v>
      </c>
      <c r="G51" s="20" t="s">
        <v>73</v>
      </c>
      <c r="H51" s="22"/>
      <c r="I51" s="4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5" customHeight="1" thickBot="1">
      <c r="A52" s="12"/>
      <c r="B52" s="108"/>
      <c r="C52" s="106"/>
      <c r="D52" s="100" t="s">
        <v>74</v>
      </c>
      <c r="E52" s="17">
        <v>196</v>
      </c>
      <c r="F52" s="18">
        <v>382</v>
      </c>
      <c r="G52" s="20" t="s">
        <v>75</v>
      </c>
      <c r="H52" s="22"/>
      <c r="I52" s="4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5" customHeight="1" thickBot="1">
      <c r="A53" s="12"/>
      <c r="B53" s="108"/>
      <c r="C53" s="107" t="s">
        <v>76</v>
      </c>
      <c r="D53" s="100" t="s">
        <v>18</v>
      </c>
      <c r="E53" s="17">
        <v>197</v>
      </c>
      <c r="F53" s="18">
        <v>720</v>
      </c>
      <c r="G53" s="20" t="s">
        <v>77</v>
      </c>
      <c r="H53" s="22"/>
      <c r="I53" s="4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5" customHeight="1" thickBot="1">
      <c r="A54" s="12"/>
      <c r="B54" s="108"/>
      <c r="C54" s="107" t="s">
        <v>78</v>
      </c>
      <c r="D54" s="100" t="s">
        <v>20</v>
      </c>
      <c r="E54" s="17">
        <v>198</v>
      </c>
      <c r="F54" s="18">
        <v>1095</v>
      </c>
      <c r="G54" s="20" t="s">
        <v>75</v>
      </c>
      <c r="H54" s="22"/>
      <c r="I54" s="4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 customHeight="1" thickBot="1">
      <c r="A55" s="12"/>
      <c r="B55" s="108"/>
      <c r="C55" s="107" t="s">
        <v>79</v>
      </c>
      <c r="D55" s="100" t="s">
        <v>12</v>
      </c>
      <c r="E55" s="17">
        <v>597</v>
      </c>
      <c r="F55" s="18">
        <v>382</v>
      </c>
      <c r="G55" s="20" t="s">
        <v>47</v>
      </c>
      <c r="H55" s="22"/>
      <c r="I55" s="4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5" customHeight="1" thickBot="1">
      <c r="A56" s="12"/>
      <c r="B56" s="108"/>
      <c r="C56" s="107" t="s">
        <v>80</v>
      </c>
      <c r="D56" s="100" t="s">
        <v>12</v>
      </c>
      <c r="E56" s="17">
        <v>199</v>
      </c>
      <c r="F56" s="18">
        <v>382</v>
      </c>
      <c r="G56" s="20" t="s">
        <v>47</v>
      </c>
      <c r="H56" s="22"/>
      <c r="I56" s="4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5" customHeight="1" thickBot="1">
      <c r="A57" s="12"/>
      <c r="B57" s="108"/>
      <c r="C57" s="107" t="s">
        <v>81</v>
      </c>
      <c r="D57" s="100" t="s">
        <v>82</v>
      </c>
      <c r="E57" s="17">
        <v>200</v>
      </c>
      <c r="F57" s="18">
        <v>382</v>
      </c>
      <c r="G57" s="20" t="s">
        <v>62</v>
      </c>
      <c r="H57" s="22"/>
      <c r="I57" s="4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5" customHeight="1" thickBot="1">
      <c r="A58" s="12"/>
      <c r="B58" s="108"/>
      <c r="C58" s="107" t="s">
        <v>83</v>
      </c>
      <c r="D58" s="100" t="s">
        <v>18</v>
      </c>
      <c r="E58" s="17">
        <v>1015</v>
      </c>
      <c r="F58" s="18">
        <v>720</v>
      </c>
      <c r="G58" s="20" t="s">
        <v>84</v>
      </c>
      <c r="H58" s="22"/>
      <c r="I58" s="4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5" customHeight="1" thickBot="1">
      <c r="A59" s="12"/>
      <c r="B59" s="108"/>
      <c r="C59" s="107" t="s">
        <v>70</v>
      </c>
      <c r="D59" s="100" t="s">
        <v>20</v>
      </c>
      <c r="E59" s="17">
        <v>1016</v>
      </c>
      <c r="F59" s="18">
        <v>1095</v>
      </c>
      <c r="G59" s="23"/>
      <c r="H59" s="22"/>
      <c r="I59" s="4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5" customHeight="1" thickBot="1">
      <c r="A60" s="12"/>
      <c r="B60" s="108"/>
      <c r="C60" s="106"/>
      <c r="D60" s="100" t="s">
        <v>74</v>
      </c>
      <c r="E60" s="17">
        <v>1017</v>
      </c>
      <c r="F60" s="18">
        <v>382</v>
      </c>
      <c r="G60" s="23"/>
      <c r="H60" s="22"/>
      <c r="I60" s="4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 customHeight="1" thickBot="1">
      <c r="A61" s="12"/>
      <c r="B61" s="109" t="s">
        <v>85</v>
      </c>
      <c r="C61" s="107" t="s">
        <v>86</v>
      </c>
      <c r="D61" s="100" t="s">
        <v>18</v>
      </c>
      <c r="E61" s="17">
        <v>676</v>
      </c>
      <c r="F61" s="18">
        <v>720</v>
      </c>
      <c r="G61" s="23"/>
      <c r="H61" s="22"/>
      <c r="I61" s="4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 customHeight="1" thickBot="1">
      <c r="A62" s="12"/>
      <c r="B62" s="108"/>
      <c r="C62" s="107" t="s">
        <v>70</v>
      </c>
      <c r="D62" s="100" t="s">
        <v>20</v>
      </c>
      <c r="E62" s="17">
        <v>677</v>
      </c>
      <c r="F62" s="18">
        <v>1095</v>
      </c>
      <c r="G62" s="20" t="s">
        <v>47</v>
      </c>
      <c r="H62" s="22"/>
      <c r="I62" s="4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 customHeight="1" thickBot="1">
      <c r="A63" s="12"/>
      <c r="B63" s="108"/>
      <c r="C63" s="106"/>
      <c r="D63" s="100" t="s">
        <v>14</v>
      </c>
      <c r="E63" s="17">
        <v>678</v>
      </c>
      <c r="F63" s="18">
        <v>509</v>
      </c>
      <c r="G63" s="20" t="s">
        <v>47</v>
      </c>
      <c r="H63" s="22"/>
      <c r="I63" s="4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 customHeight="1" thickBot="1">
      <c r="A64" s="12"/>
      <c r="B64" s="109" t="s">
        <v>87</v>
      </c>
      <c r="C64" s="107" t="s">
        <v>83</v>
      </c>
      <c r="D64" s="100" t="s">
        <v>18</v>
      </c>
      <c r="E64" s="17">
        <v>1402</v>
      </c>
      <c r="F64" s="18">
        <v>764</v>
      </c>
      <c r="G64" s="20" t="s">
        <v>88</v>
      </c>
      <c r="H64" s="22"/>
      <c r="I64" s="4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 customHeight="1" thickBot="1">
      <c r="A65" s="12"/>
      <c r="B65" s="108"/>
      <c r="C65" s="107" t="s">
        <v>89</v>
      </c>
      <c r="D65" s="100" t="s">
        <v>20</v>
      </c>
      <c r="E65" s="17">
        <v>1403</v>
      </c>
      <c r="F65" s="18">
        <v>1195</v>
      </c>
      <c r="G65" s="20" t="s">
        <v>90</v>
      </c>
      <c r="H65" s="22"/>
      <c r="I65" s="4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 customHeight="1" thickBot="1">
      <c r="A66" s="12"/>
      <c r="B66" s="108"/>
      <c r="C66" s="106"/>
      <c r="D66" s="100" t="s">
        <v>14</v>
      </c>
      <c r="E66" s="17">
        <v>1404</v>
      </c>
      <c r="F66" s="18">
        <v>795</v>
      </c>
      <c r="G66" s="20" t="s">
        <v>91</v>
      </c>
      <c r="H66" s="22"/>
      <c r="I66" s="4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 customHeight="1" thickBot="1">
      <c r="A67" s="12"/>
      <c r="B67" s="108"/>
      <c r="C67" s="106"/>
      <c r="D67" s="100" t="s">
        <v>22</v>
      </c>
      <c r="E67" s="17">
        <v>1405</v>
      </c>
      <c r="F67" s="18">
        <v>425</v>
      </c>
      <c r="G67" s="20" t="s">
        <v>90</v>
      </c>
      <c r="H67" s="22"/>
      <c r="I67" s="4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 customHeight="1" thickBot="1">
      <c r="A68" s="12"/>
      <c r="B68" s="109" t="s">
        <v>92</v>
      </c>
      <c r="C68" s="106"/>
      <c r="D68" s="100" t="s">
        <v>26</v>
      </c>
      <c r="E68" s="17">
        <v>3124</v>
      </c>
      <c r="F68" s="18">
        <v>1095</v>
      </c>
      <c r="G68" s="20" t="s">
        <v>93</v>
      </c>
      <c r="H68" s="22"/>
      <c r="I68" s="4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 customHeight="1" thickBot="1">
      <c r="A69" s="12"/>
      <c r="B69" s="109">
        <v>2019</v>
      </c>
      <c r="C69" s="106"/>
      <c r="D69" s="100" t="s">
        <v>29</v>
      </c>
      <c r="E69" s="17">
        <v>3125</v>
      </c>
      <c r="F69" s="18">
        <v>1295</v>
      </c>
      <c r="G69" s="23"/>
      <c r="H69" s="22"/>
      <c r="I69" s="4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 customHeight="1" thickBot="1">
      <c r="A70" s="12"/>
      <c r="B70" s="108"/>
      <c r="C70" s="106"/>
      <c r="D70" s="100" t="s">
        <v>94</v>
      </c>
      <c r="E70" s="17">
        <v>3080</v>
      </c>
      <c r="F70" s="18">
        <v>795</v>
      </c>
      <c r="G70" s="20" t="s">
        <v>95</v>
      </c>
      <c r="H70" s="22"/>
      <c r="I70" s="4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 customHeight="1" thickBot="1">
      <c r="A71" s="12"/>
      <c r="B71" s="108"/>
      <c r="C71" s="106"/>
      <c r="D71" s="100" t="s">
        <v>27</v>
      </c>
      <c r="E71" s="17">
        <v>3263</v>
      </c>
      <c r="F71" s="18">
        <v>995</v>
      </c>
      <c r="G71" s="20" t="s">
        <v>96</v>
      </c>
      <c r="H71" s="22"/>
      <c r="I71" s="4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 customHeight="1" thickBot="1">
      <c r="A72" s="12"/>
      <c r="B72" s="108"/>
      <c r="C72" s="106"/>
      <c r="D72" s="100" t="s">
        <v>29</v>
      </c>
      <c r="E72" s="17">
        <v>3264</v>
      </c>
      <c r="F72" s="18">
        <v>1295</v>
      </c>
      <c r="G72" s="23"/>
      <c r="H72" s="22"/>
      <c r="I72" s="4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 customHeight="1" thickBot="1">
      <c r="A73" s="12"/>
      <c r="B73" s="109" t="s">
        <v>97</v>
      </c>
      <c r="C73" s="107" t="s">
        <v>98</v>
      </c>
      <c r="D73" s="100" t="s">
        <v>18</v>
      </c>
      <c r="E73" s="17">
        <v>598</v>
      </c>
      <c r="F73" s="18">
        <v>720</v>
      </c>
      <c r="G73" s="23"/>
      <c r="H73" s="22"/>
      <c r="I73" s="4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 customHeight="1" thickBot="1">
      <c r="A74" s="12"/>
      <c r="B74" s="109" t="s">
        <v>99</v>
      </c>
      <c r="C74" s="107" t="s">
        <v>70</v>
      </c>
      <c r="D74" s="100" t="s">
        <v>20</v>
      </c>
      <c r="E74" s="17">
        <v>599</v>
      </c>
      <c r="F74" s="18">
        <v>720</v>
      </c>
      <c r="G74" s="23"/>
      <c r="H74" s="22"/>
      <c r="I74" s="4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 customHeight="1" thickBot="1">
      <c r="A75" s="12"/>
      <c r="B75" s="108"/>
      <c r="C75" s="106"/>
      <c r="D75" s="100" t="s">
        <v>14</v>
      </c>
      <c r="E75" s="17">
        <v>600</v>
      </c>
      <c r="F75" s="18">
        <v>509</v>
      </c>
      <c r="G75" s="23"/>
      <c r="H75" s="22"/>
      <c r="I75" s="4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 customHeight="1" thickBot="1">
      <c r="A76" s="12"/>
      <c r="B76" s="108"/>
      <c r="C76" s="106"/>
      <c r="D76" s="100" t="s">
        <v>60</v>
      </c>
      <c r="E76" s="17">
        <v>1428</v>
      </c>
      <c r="F76" s="18">
        <v>382</v>
      </c>
      <c r="G76" s="20" t="s">
        <v>100</v>
      </c>
      <c r="H76" s="22"/>
      <c r="I76" s="4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 customHeight="1" thickBot="1">
      <c r="A77" s="12"/>
      <c r="B77" s="109" t="s">
        <v>101</v>
      </c>
      <c r="C77" s="107" t="s">
        <v>102</v>
      </c>
      <c r="D77" s="100" t="s">
        <v>18</v>
      </c>
      <c r="E77" s="17">
        <v>1128</v>
      </c>
      <c r="F77" s="18">
        <v>955</v>
      </c>
      <c r="G77" s="23"/>
      <c r="H77" s="22"/>
      <c r="I77" s="4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 customHeight="1" thickBot="1">
      <c r="A78" s="12"/>
      <c r="B78" s="108"/>
      <c r="C78" s="106"/>
      <c r="D78" s="100" t="s">
        <v>103</v>
      </c>
      <c r="E78" s="17">
        <v>1129</v>
      </c>
      <c r="F78" s="18">
        <v>318</v>
      </c>
      <c r="G78" s="23"/>
      <c r="H78" s="22"/>
      <c r="I78" s="4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 customHeight="1" thickBot="1">
      <c r="A79" s="12"/>
      <c r="B79" s="109" t="s">
        <v>104</v>
      </c>
      <c r="C79" s="107" t="s">
        <v>105</v>
      </c>
      <c r="D79" s="100" t="s">
        <v>18</v>
      </c>
      <c r="E79" s="17">
        <v>3434</v>
      </c>
      <c r="F79" s="18">
        <v>1495</v>
      </c>
      <c r="G79" s="23"/>
      <c r="H79" s="22"/>
      <c r="I79" s="4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 customHeight="1" thickBot="1">
      <c r="A80" s="12"/>
      <c r="B80" s="108"/>
      <c r="C80" s="106"/>
      <c r="D80" s="100" t="s">
        <v>20</v>
      </c>
      <c r="E80" s="17">
        <v>3435</v>
      </c>
      <c r="F80" s="18">
        <v>1395</v>
      </c>
      <c r="G80" s="23"/>
      <c r="H80" s="22"/>
      <c r="I80" s="4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 customHeight="1" thickBot="1">
      <c r="A81" s="12"/>
      <c r="B81" s="108"/>
      <c r="C81" s="106"/>
      <c r="D81" s="100" t="s">
        <v>14</v>
      </c>
      <c r="E81" s="17">
        <v>3436</v>
      </c>
      <c r="F81" s="18">
        <v>895</v>
      </c>
      <c r="G81" s="23"/>
      <c r="H81" s="22"/>
      <c r="I81" s="4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 customHeight="1" thickBot="1">
      <c r="A82" s="12"/>
      <c r="B82" s="108"/>
      <c r="C82" s="106"/>
      <c r="D82" s="100" t="s">
        <v>60</v>
      </c>
      <c r="E82" s="17">
        <v>3437</v>
      </c>
      <c r="F82" s="18">
        <v>795</v>
      </c>
      <c r="G82" s="23"/>
      <c r="H82" s="22"/>
      <c r="I82" s="4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 customHeight="1" thickBot="1">
      <c r="A83" s="12"/>
      <c r="B83" s="108"/>
      <c r="C83" s="106"/>
      <c r="D83" s="100" t="s">
        <v>61</v>
      </c>
      <c r="E83" s="17">
        <v>3438</v>
      </c>
      <c r="F83" s="18">
        <v>795</v>
      </c>
      <c r="G83" s="23"/>
      <c r="H83" s="22"/>
      <c r="I83" s="4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 customHeight="1" thickBot="1">
      <c r="A84" s="12"/>
      <c r="B84" s="108"/>
      <c r="C84" s="106"/>
      <c r="D84" s="100" t="s">
        <v>106</v>
      </c>
      <c r="E84" s="17">
        <v>3439</v>
      </c>
      <c r="F84" s="18">
        <v>295</v>
      </c>
      <c r="G84" s="23"/>
      <c r="H84" s="22"/>
      <c r="I84" s="4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 customHeight="1" thickBot="1">
      <c r="A85" s="12"/>
      <c r="B85" s="108"/>
      <c r="C85" s="106"/>
      <c r="D85" s="100" t="s">
        <v>107</v>
      </c>
      <c r="E85" s="17">
        <v>3440</v>
      </c>
      <c r="F85" s="18">
        <v>1195</v>
      </c>
      <c r="G85" s="23"/>
      <c r="H85" s="22"/>
      <c r="I85" s="4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 customHeight="1" thickBot="1">
      <c r="A86" s="12"/>
      <c r="B86" s="109" t="s">
        <v>108</v>
      </c>
      <c r="C86" s="107" t="s">
        <v>109</v>
      </c>
      <c r="D86" s="100" t="s">
        <v>12</v>
      </c>
      <c r="E86" s="17">
        <v>2330</v>
      </c>
      <c r="F86" s="18">
        <v>1591</v>
      </c>
      <c r="G86" s="23"/>
      <c r="H86" s="22"/>
      <c r="I86" s="4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 customHeight="1" thickBot="1">
      <c r="A87" s="12"/>
      <c r="B87" s="109" t="s">
        <v>110</v>
      </c>
      <c r="C87" s="107" t="s">
        <v>111</v>
      </c>
      <c r="D87" s="100" t="s">
        <v>60</v>
      </c>
      <c r="E87" s="17">
        <v>2331</v>
      </c>
      <c r="F87" s="18">
        <v>764</v>
      </c>
      <c r="G87" s="23"/>
      <c r="H87" s="22"/>
      <c r="I87" s="4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 customHeight="1" thickBot="1">
      <c r="A88" s="12"/>
      <c r="B88" s="108"/>
      <c r="C88" s="106"/>
      <c r="D88" s="100" t="s">
        <v>61</v>
      </c>
      <c r="E88" s="17">
        <v>2332</v>
      </c>
      <c r="F88" s="18">
        <v>764</v>
      </c>
      <c r="G88" s="24">
        <v>43893</v>
      </c>
      <c r="H88" s="22"/>
      <c r="I88" s="4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 customHeight="1" thickBot="1">
      <c r="A89" s="12"/>
      <c r="B89" s="108"/>
      <c r="C89" s="106"/>
      <c r="D89" s="100" t="s">
        <v>14</v>
      </c>
      <c r="E89" s="17">
        <v>2333</v>
      </c>
      <c r="F89" s="18">
        <v>1591</v>
      </c>
      <c r="G89" s="23"/>
      <c r="H89" s="22"/>
      <c r="I89" s="4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 customHeight="1" thickBot="1">
      <c r="A90" s="12"/>
      <c r="B90" s="108"/>
      <c r="C90" s="106"/>
      <c r="D90" s="100" t="s">
        <v>33</v>
      </c>
      <c r="E90" s="17">
        <v>2334</v>
      </c>
      <c r="F90" s="18">
        <v>509</v>
      </c>
      <c r="G90" s="20" t="s">
        <v>112</v>
      </c>
      <c r="H90" s="22"/>
      <c r="I90" s="4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 customHeight="1" thickBot="1">
      <c r="A91" s="12"/>
      <c r="B91" s="108"/>
      <c r="C91" s="106"/>
      <c r="D91" s="100" t="s">
        <v>82</v>
      </c>
      <c r="E91" s="17">
        <v>2335</v>
      </c>
      <c r="F91" s="18">
        <v>509</v>
      </c>
      <c r="G91" s="23"/>
      <c r="H91" s="22"/>
      <c r="I91" s="4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 customHeight="1" thickBot="1">
      <c r="A92" s="12"/>
      <c r="B92" s="109" t="s">
        <v>108</v>
      </c>
      <c r="C92" s="107" t="s">
        <v>113</v>
      </c>
      <c r="D92" s="100" t="s">
        <v>18</v>
      </c>
      <c r="E92" s="17">
        <v>229</v>
      </c>
      <c r="F92" s="18">
        <v>720</v>
      </c>
      <c r="G92" s="23"/>
      <c r="H92" s="22"/>
      <c r="I92" s="4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 customHeight="1" thickBot="1">
      <c r="A93" s="12"/>
      <c r="B93" s="109" t="s">
        <v>114</v>
      </c>
      <c r="C93" s="107" t="s">
        <v>115</v>
      </c>
      <c r="D93" s="100" t="s">
        <v>20</v>
      </c>
      <c r="E93" s="17">
        <v>230</v>
      </c>
      <c r="F93" s="18">
        <v>720</v>
      </c>
      <c r="G93" s="23"/>
      <c r="H93" s="22"/>
      <c r="I93" s="4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 customHeight="1" thickBot="1">
      <c r="A94" s="12"/>
      <c r="B94" s="108"/>
      <c r="C94" s="106"/>
      <c r="D94" s="100" t="s">
        <v>14</v>
      </c>
      <c r="E94" s="17">
        <v>231</v>
      </c>
      <c r="F94" s="18">
        <v>445</v>
      </c>
      <c r="G94" s="23"/>
      <c r="H94" s="22"/>
      <c r="I94" s="4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 customHeight="1" thickBot="1">
      <c r="A95" s="12"/>
      <c r="B95" s="108"/>
      <c r="C95" s="106"/>
      <c r="D95" s="100" t="s">
        <v>22</v>
      </c>
      <c r="E95" s="17">
        <v>232</v>
      </c>
      <c r="F95" s="18">
        <v>191</v>
      </c>
      <c r="G95" s="20" t="s">
        <v>52</v>
      </c>
      <c r="H95" s="22"/>
      <c r="I95" s="4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 customHeight="1" thickBot="1">
      <c r="A96" s="12"/>
      <c r="B96" s="108"/>
      <c r="C96" s="106"/>
      <c r="D96" s="100" t="s">
        <v>12</v>
      </c>
      <c r="E96" s="17">
        <v>233</v>
      </c>
      <c r="F96" s="18">
        <v>382</v>
      </c>
      <c r="G96" s="20" t="s">
        <v>116</v>
      </c>
      <c r="H96" s="22"/>
      <c r="I96" s="4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 customHeight="1" thickBot="1">
      <c r="A97" s="12"/>
      <c r="B97" s="108"/>
      <c r="C97" s="107" t="s">
        <v>117</v>
      </c>
      <c r="D97" s="100" t="s">
        <v>18</v>
      </c>
      <c r="E97" s="17">
        <v>234</v>
      </c>
      <c r="F97" s="18">
        <v>720</v>
      </c>
      <c r="G97" s="20" t="s">
        <v>116</v>
      </c>
      <c r="H97" s="22"/>
      <c r="I97" s="4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 customHeight="1" thickBot="1">
      <c r="A98" s="12"/>
      <c r="B98" s="108"/>
      <c r="C98" s="107" t="s">
        <v>115</v>
      </c>
      <c r="D98" s="100" t="s">
        <v>20</v>
      </c>
      <c r="E98" s="17">
        <v>235</v>
      </c>
      <c r="F98" s="18">
        <v>720</v>
      </c>
      <c r="G98" s="20" t="s">
        <v>118</v>
      </c>
      <c r="H98" s="22"/>
      <c r="I98" s="4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 customHeight="1" thickBot="1">
      <c r="A99" s="12"/>
      <c r="B99" s="108"/>
      <c r="C99" s="106"/>
      <c r="D99" s="100" t="s">
        <v>14</v>
      </c>
      <c r="E99" s="17">
        <v>236</v>
      </c>
      <c r="F99" s="18">
        <v>445</v>
      </c>
      <c r="G99" s="20" t="s">
        <v>47</v>
      </c>
      <c r="H99" s="22"/>
      <c r="I99" s="4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 customHeight="1" thickBot="1">
      <c r="A100" s="12"/>
      <c r="B100" s="108"/>
      <c r="C100" s="106"/>
      <c r="D100" s="100" t="s">
        <v>22</v>
      </c>
      <c r="E100" s="17">
        <v>237</v>
      </c>
      <c r="F100" s="18">
        <v>191</v>
      </c>
      <c r="G100" s="20" t="s">
        <v>116</v>
      </c>
      <c r="H100" s="22"/>
      <c r="I100" s="4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 customHeight="1" thickBot="1">
      <c r="A101" s="12"/>
      <c r="B101" s="108"/>
      <c r="C101" s="106"/>
      <c r="D101" s="100" t="s">
        <v>12</v>
      </c>
      <c r="E101" s="17">
        <v>238</v>
      </c>
      <c r="F101" s="18">
        <v>382</v>
      </c>
      <c r="G101" s="20" t="s">
        <v>116</v>
      </c>
      <c r="H101" s="22"/>
      <c r="I101" s="4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 customHeight="1" thickBot="1">
      <c r="A102" s="12"/>
      <c r="B102" s="108"/>
      <c r="C102" s="107" t="s">
        <v>119</v>
      </c>
      <c r="D102" s="100" t="s">
        <v>18</v>
      </c>
      <c r="E102" s="17">
        <v>239</v>
      </c>
      <c r="F102" s="18">
        <v>720</v>
      </c>
      <c r="G102" s="20" t="s">
        <v>120</v>
      </c>
      <c r="H102" s="22"/>
      <c r="I102" s="4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 customHeight="1" thickBot="1">
      <c r="A103" s="12"/>
      <c r="B103" s="108"/>
      <c r="C103" s="107" t="s">
        <v>89</v>
      </c>
      <c r="D103" s="100" t="s">
        <v>20</v>
      </c>
      <c r="E103" s="17">
        <v>240</v>
      </c>
      <c r="F103" s="18">
        <v>720</v>
      </c>
      <c r="G103" s="20" t="s">
        <v>120</v>
      </c>
      <c r="H103" s="22"/>
      <c r="I103" s="4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 customHeight="1" thickBot="1">
      <c r="A104" s="12"/>
      <c r="B104" s="108"/>
      <c r="C104" s="106"/>
      <c r="D104" s="100" t="s">
        <v>14</v>
      </c>
      <c r="E104" s="17">
        <v>241</v>
      </c>
      <c r="F104" s="18">
        <v>445</v>
      </c>
      <c r="G104" s="20" t="s">
        <v>120</v>
      </c>
      <c r="H104" s="22"/>
      <c r="I104" s="4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 customHeight="1" thickBot="1">
      <c r="A105" s="12"/>
      <c r="B105" s="108"/>
      <c r="C105" s="106"/>
      <c r="D105" s="100" t="s">
        <v>22</v>
      </c>
      <c r="E105" s="17">
        <v>242</v>
      </c>
      <c r="F105" s="18">
        <v>382</v>
      </c>
      <c r="G105" s="20" t="s">
        <v>120</v>
      </c>
      <c r="H105" s="22"/>
      <c r="I105" s="4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 customHeight="1" thickBot="1">
      <c r="A106" s="12"/>
      <c r="B106" s="108"/>
      <c r="C106" s="106"/>
      <c r="D106" s="100" t="s">
        <v>121</v>
      </c>
      <c r="E106" s="17">
        <v>243</v>
      </c>
      <c r="F106" s="18">
        <v>286</v>
      </c>
      <c r="G106" s="20" t="s">
        <v>52</v>
      </c>
      <c r="H106" s="22"/>
      <c r="I106" s="4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 customHeight="1" thickBot="1">
      <c r="A107" s="12"/>
      <c r="B107" s="108"/>
      <c r="C107" s="107" t="s">
        <v>122</v>
      </c>
      <c r="D107" s="100" t="s">
        <v>18</v>
      </c>
      <c r="E107" s="17">
        <v>244</v>
      </c>
      <c r="F107" s="18">
        <v>720</v>
      </c>
      <c r="G107" s="20" t="s">
        <v>52</v>
      </c>
      <c r="H107" s="22"/>
      <c r="I107" s="4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 customHeight="1" thickBot="1">
      <c r="A108" s="12"/>
      <c r="B108" s="108"/>
      <c r="C108" s="107" t="s">
        <v>70</v>
      </c>
      <c r="D108" s="100" t="s">
        <v>20</v>
      </c>
      <c r="E108" s="17">
        <v>245</v>
      </c>
      <c r="F108" s="18">
        <v>720</v>
      </c>
      <c r="G108" s="20" t="s">
        <v>52</v>
      </c>
      <c r="H108" s="22"/>
      <c r="I108" s="4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 customHeight="1" thickBot="1">
      <c r="A109" s="12"/>
      <c r="B109" s="108"/>
      <c r="C109" s="106"/>
      <c r="D109" s="100" t="s">
        <v>14</v>
      </c>
      <c r="E109" s="17">
        <v>246</v>
      </c>
      <c r="F109" s="18">
        <v>445</v>
      </c>
      <c r="G109" s="20" t="s">
        <v>123</v>
      </c>
      <c r="H109" s="22"/>
      <c r="I109" s="4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 customHeight="1" thickBot="1">
      <c r="A110" s="12"/>
      <c r="B110" s="108"/>
      <c r="C110" s="106"/>
      <c r="D110" s="100" t="s">
        <v>124</v>
      </c>
      <c r="E110" s="13"/>
      <c r="F110" s="18">
        <v>382</v>
      </c>
      <c r="G110" s="20" t="s">
        <v>52</v>
      </c>
      <c r="H110" s="22"/>
      <c r="I110" s="4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 customHeight="1" thickBot="1">
      <c r="A111" s="12"/>
      <c r="B111" s="108"/>
      <c r="C111" s="107" t="s">
        <v>125</v>
      </c>
      <c r="D111" s="100" t="s">
        <v>12</v>
      </c>
      <c r="E111" s="17">
        <v>546</v>
      </c>
      <c r="F111" s="18">
        <v>318</v>
      </c>
      <c r="G111" s="20" t="s">
        <v>52</v>
      </c>
      <c r="H111" s="22"/>
      <c r="I111" s="4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 customHeight="1" thickBot="1">
      <c r="A112" s="12"/>
      <c r="B112" s="108"/>
      <c r="C112" s="107" t="s">
        <v>126</v>
      </c>
      <c r="D112" s="100" t="s">
        <v>82</v>
      </c>
      <c r="E112" s="17">
        <v>547</v>
      </c>
      <c r="F112" s="18">
        <v>318</v>
      </c>
      <c r="G112" s="20" t="s">
        <v>52</v>
      </c>
      <c r="H112" s="22"/>
      <c r="I112" s="4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 customHeight="1" thickBot="1">
      <c r="A113" s="12"/>
      <c r="B113" s="108"/>
      <c r="C113" s="106"/>
      <c r="D113" s="100" t="s">
        <v>14</v>
      </c>
      <c r="E113" s="17">
        <v>548</v>
      </c>
      <c r="F113" s="18">
        <v>445</v>
      </c>
      <c r="G113" s="20" t="s">
        <v>116</v>
      </c>
      <c r="H113" s="22"/>
      <c r="I113" s="4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 customHeight="1" thickBot="1">
      <c r="A114" s="12"/>
      <c r="B114" s="108"/>
      <c r="C114" s="106"/>
      <c r="D114" s="100" t="s">
        <v>22</v>
      </c>
      <c r="E114" s="17">
        <v>601</v>
      </c>
      <c r="F114" s="18">
        <v>318</v>
      </c>
      <c r="G114" s="20" t="s">
        <v>116</v>
      </c>
      <c r="H114" s="22"/>
      <c r="I114" s="4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 customHeight="1" thickBot="1">
      <c r="A115" s="12"/>
      <c r="B115" s="108"/>
      <c r="C115" s="106"/>
      <c r="D115" s="100" t="s">
        <v>121</v>
      </c>
      <c r="E115" s="17">
        <v>247</v>
      </c>
      <c r="F115" s="18">
        <v>223</v>
      </c>
      <c r="G115" s="20" t="s">
        <v>116</v>
      </c>
      <c r="H115" s="22"/>
      <c r="I115" s="4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 customHeight="1" thickBot="1">
      <c r="A116" s="12"/>
      <c r="B116" s="108"/>
      <c r="C116" s="107" t="s">
        <v>127</v>
      </c>
      <c r="D116" s="100" t="s">
        <v>12</v>
      </c>
      <c r="E116" s="17">
        <v>248</v>
      </c>
      <c r="F116" s="18">
        <v>382</v>
      </c>
      <c r="G116" s="20" t="s">
        <v>128</v>
      </c>
      <c r="H116" s="22"/>
      <c r="I116" s="4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 customHeight="1" thickBot="1">
      <c r="A117" s="12"/>
      <c r="B117" s="109" t="s">
        <v>108</v>
      </c>
      <c r="C117" s="106"/>
      <c r="D117" s="100" t="s">
        <v>26</v>
      </c>
      <c r="E117" s="17">
        <v>1071</v>
      </c>
      <c r="F117" s="18">
        <v>477</v>
      </c>
      <c r="G117" s="20" t="s">
        <v>129</v>
      </c>
      <c r="H117" s="22"/>
      <c r="I117" s="4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 customHeight="1" thickBot="1">
      <c r="A118" s="12"/>
      <c r="B118" s="109" t="s">
        <v>130</v>
      </c>
      <c r="C118" s="107" t="s">
        <v>131</v>
      </c>
      <c r="D118" s="100" t="s">
        <v>60</v>
      </c>
      <c r="E118" s="17">
        <v>1610</v>
      </c>
      <c r="F118" s="18">
        <v>895</v>
      </c>
      <c r="G118" s="20" t="s">
        <v>129</v>
      </c>
      <c r="H118" s="22"/>
      <c r="I118" s="4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 customHeight="1" thickBot="1">
      <c r="A119" s="12"/>
      <c r="B119" s="109" t="s">
        <v>108</v>
      </c>
      <c r="C119" s="107" t="s">
        <v>131</v>
      </c>
      <c r="D119" s="100" t="s">
        <v>18</v>
      </c>
      <c r="E119" s="17">
        <v>1555</v>
      </c>
      <c r="F119" s="18">
        <v>720</v>
      </c>
      <c r="G119" s="20" t="s">
        <v>132</v>
      </c>
      <c r="H119" s="22"/>
      <c r="I119" s="4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 customHeight="1" thickBot="1">
      <c r="A120" s="12"/>
      <c r="B120" s="109" t="s">
        <v>133</v>
      </c>
      <c r="C120" s="106"/>
      <c r="D120" s="100" t="s">
        <v>20</v>
      </c>
      <c r="E120" s="17">
        <v>1556</v>
      </c>
      <c r="F120" s="18">
        <v>720</v>
      </c>
      <c r="G120" s="20" t="s">
        <v>132</v>
      </c>
      <c r="H120" s="22"/>
      <c r="I120" s="4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 customHeight="1" thickBot="1">
      <c r="A121" s="12"/>
      <c r="B121" s="108"/>
      <c r="C121" s="106"/>
      <c r="D121" s="100" t="s">
        <v>14</v>
      </c>
      <c r="E121" s="17">
        <v>1557</v>
      </c>
      <c r="F121" s="18">
        <v>382</v>
      </c>
      <c r="G121" s="20" t="s">
        <v>132</v>
      </c>
      <c r="H121" s="22"/>
      <c r="I121" s="4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 customHeight="1" thickBot="1">
      <c r="A122" s="12"/>
      <c r="B122" s="108"/>
      <c r="C122" s="106"/>
      <c r="D122" s="100" t="s">
        <v>60</v>
      </c>
      <c r="E122" s="17">
        <v>1558</v>
      </c>
      <c r="F122" s="18">
        <v>895</v>
      </c>
      <c r="G122" s="20" t="s">
        <v>132</v>
      </c>
      <c r="H122" s="22"/>
      <c r="I122" s="4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 customHeight="1" thickBot="1">
      <c r="A123" s="12"/>
      <c r="B123" s="109" t="s">
        <v>134</v>
      </c>
      <c r="C123" s="107" t="s">
        <v>68</v>
      </c>
      <c r="D123" s="100" t="s">
        <v>18</v>
      </c>
      <c r="E123" s="17">
        <v>1559</v>
      </c>
      <c r="F123" s="18">
        <v>1495</v>
      </c>
      <c r="G123" s="20" t="s">
        <v>132</v>
      </c>
      <c r="H123" s="22"/>
      <c r="I123" s="4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 customHeight="1" thickBot="1">
      <c r="A124" s="12"/>
      <c r="B124" s="108"/>
      <c r="C124" s="107" t="s">
        <v>111</v>
      </c>
      <c r="D124" s="100" t="s">
        <v>26</v>
      </c>
      <c r="E124" s="17">
        <v>1563</v>
      </c>
      <c r="F124" s="18">
        <v>895</v>
      </c>
      <c r="G124" s="20" t="s">
        <v>132</v>
      </c>
      <c r="H124" s="22"/>
      <c r="I124" s="4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 customHeight="1" thickBot="1">
      <c r="A125" s="12"/>
      <c r="B125" s="108"/>
      <c r="C125" s="106"/>
      <c r="D125" s="100" t="s">
        <v>20</v>
      </c>
      <c r="E125" s="17">
        <v>1560</v>
      </c>
      <c r="F125" s="18">
        <v>1495</v>
      </c>
      <c r="G125" s="20" t="s">
        <v>59</v>
      </c>
      <c r="H125" s="22"/>
      <c r="I125" s="4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 customHeight="1" thickBot="1">
      <c r="A126" s="12"/>
      <c r="B126" s="108"/>
      <c r="C126" s="106"/>
      <c r="D126" s="100" t="s">
        <v>14</v>
      </c>
      <c r="E126" s="17">
        <v>1561</v>
      </c>
      <c r="F126" s="18">
        <v>995</v>
      </c>
      <c r="G126" s="20" t="s">
        <v>59</v>
      </c>
      <c r="H126" s="22"/>
      <c r="I126" s="4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 customHeight="1" thickBot="1">
      <c r="A127" s="12"/>
      <c r="B127" s="108"/>
      <c r="C127" s="106"/>
      <c r="D127" s="100" t="s">
        <v>60</v>
      </c>
      <c r="E127" s="17">
        <v>1562</v>
      </c>
      <c r="F127" s="18">
        <v>895</v>
      </c>
      <c r="G127" s="20" t="s">
        <v>59</v>
      </c>
      <c r="H127" s="22"/>
      <c r="I127" s="4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 customHeight="1" thickBot="1">
      <c r="A128" s="12"/>
      <c r="B128" s="108"/>
      <c r="C128" s="106"/>
      <c r="D128" s="100" t="s">
        <v>27</v>
      </c>
      <c r="E128" s="17">
        <v>1564</v>
      </c>
      <c r="F128" s="18">
        <v>695</v>
      </c>
      <c r="G128" s="20" t="s">
        <v>59</v>
      </c>
      <c r="H128" s="22"/>
      <c r="I128" s="4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 customHeight="1" thickBot="1">
      <c r="A129" s="12"/>
      <c r="B129" s="108"/>
      <c r="C129" s="106"/>
      <c r="D129" s="100" t="s">
        <v>29</v>
      </c>
      <c r="E129" s="17">
        <v>1565</v>
      </c>
      <c r="F129" s="18">
        <v>995</v>
      </c>
      <c r="G129" s="20" t="s">
        <v>59</v>
      </c>
      <c r="H129" s="22"/>
      <c r="I129" s="4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 customHeight="1" thickBot="1">
      <c r="A130" s="12"/>
      <c r="B130" s="108"/>
      <c r="C130" s="106"/>
      <c r="D130" s="100" t="s">
        <v>22</v>
      </c>
      <c r="E130" s="17">
        <v>1566</v>
      </c>
      <c r="F130" s="18">
        <v>795</v>
      </c>
      <c r="G130" s="20" t="s">
        <v>59</v>
      </c>
      <c r="H130" s="22"/>
      <c r="I130" s="4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 customHeight="1" thickBot="1">
      <c r="A131" s="12"/>
      <c r="B131" s="109" t="s">
        <v>134</v>
      </c>
      <c r="C131" s="106"/>
      <c r="D131" s="100" t="s">
        <v>26</v>
      </c>
      <c r="E131" s="17">
        <v>3511</v>
      </c>
      <c r="F131" s="18">
        <v>795</v>
      </c>
      <c r="G131" s="20" t="s">
        <v>59</v>
      </c>
      <c r="H131" s="22"/>
      <c r="I131" s="4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 customHeight="1" thickBot="1">
      <c r="A132" s="12"/>
      <c r="B132" s="109" t="s">
        <v>135</v>
      </c>
      <c r="C132" s="106"/>
      <c r="D132" s="100" t="s">
        <v>29</v>
      </c>
      <c r="E132" s="17">
        <v>3512</v>
      </c>
      <c r="F132" s="18">
        <v>895</v>
      </c>
      <c r="G132" s="20" t="s">
        <v>59</v>
      </c>
      <c r="H132" s="22"/>
      <c r="I132" s="4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 customHeight="1" thickBot="1">
      <c r="A133" s="12"/>
      <c r="B133" s="108"/>
      <c r="C133" s="106"/>
      <c r="D133" s="100" t="s">
        <v>29</v>
      </c>
      <c r="E133" s="17">
        <v>3513</v>
      </c>
      <c r="F133" s="18">
        <v>895</v>
      </c>
      <c r="G133" s="20" t="s">
        <v>59</v>
      </c>
      <c r="H133" s="22"/>
      <c r="I133" s="4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 customHeight="1" thickBot="1">
      <c r="A134" s="12"/>
      <c r="B134" s="108"/>
      <c r="C134" s="106"/>
      <c r="D134" s="100" t="s">
        <v>27</v>
      </c>
      <c r="E134" s="17">
        <v>3514</v>
      </c>
      <c r="F134" s="18">
        <v>595</v>
      </c>
      <c r="G134" s="20" t="s">
        <v>100</v>
      </c>
      <c r="H134" s="22"/>
      <c r="I134" s="4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 customHeight="1" thickBot="1">
      <c r="A135" s="12"/>
      <c r="B135" s="109" t="s">
        <v>108</v>
      </c>
      <c r="C135" s="107" t="s">
        <v>136</v>
      </c>
      <c r="D135" s="100" t="s">
        <v>18</v>
      </c>
      <c r="E135" s="17">
        <v>1598</v>
      </c>
      <c r="F135" s="18">
        <v>720</v>
      </c>
      <c r="G135" s="20" t="s">
        <v>100</v>
      </c>
      <c r="H135" s="22"/>
      <c r="I135" s="4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 customHeight="1" thickBot="1">
      <c r="A136" s="12"/>
      <c r="B136" s="109" t="s">
        <v>137</v>
      </c>
      <c r="C136" s="106"/>
      <c r="D136" s="100" t="s">
        <v>26</v>
      </c>
      <c r="E136" s="17">
        <v>1599</v>
      </c>
      <c r="F136" s="18">
        <v>445</v>
      </c>
      <c r="G136" s="20" t="s">
        <v>100</v>
      </c>
      <c r="H136" s="22"/>
      <c r="I136" s="4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 customHeight="1" thickBot="1">
      <c r="A137" s="12"/>
      <c r="B137" s="108"/>
      <c r="C137" s="106"/>
      <c r="D137" s="100" t="s">
        <v>20</v>
      </c>
      <c r="E137" s="17">
        <v>1600</v>
      </c>
      <c r="F137" s="18">
        <v>1495</v>
      </c>
      <c r="G137" s="20" t="s">
        <v>100</v>
      </c>
      <c r="H137" s="22"/>
      <c r="I137" s="4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 customHeight="1" thickBot="1">
      <c r="A138" s="12"/>
      <c r="B138" s="108"/>
      <c r="C138" s="106"/>
      <c r="D138" s="100" t="s">
        <v>29</v>
      </c>
      <c r="E138" s="17">
        <v>1601</v>
      </c>
      <c r="F138" s="18">
        <v>895</v>
      </c>
      <c r="G138" s="20" t="s">
        <v>100</v>
      </c>
      <c r="H138" s="22"/>
      <c r="I138" s="4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 customHeight="1" thickBot="1">
      <c r="A139" s="12"/>
      <c r="B139" s="108"/>
      <c r="C139" s="106"/>
      <c r="D139" s="100" t="s">
        <v>138</v>
      </c>
      <c r="E139" s="17" t="s">
        <v>139</v>
      </c>
      <c r="F139" s="18">
        <v>595</v>
      </c>
      <c r="G139" s="20" t="s">
        <v>140</v>
      </c>
      <c r="H139" s="22"/>
      <c r="I139" s="4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 customHeight="1" thickBot="1">
      <c r="A140" s="12"/>
      <c r="B140" s="108"/>
      <c r="C140" s="106"/>
      <c r="D140" s="100" t="s">
        <v>22</v>
      </c>
      <c r="E140" s="17">
        <v>1602</v>
      </c>
      <c r="F140" s="18">
        <v>795</v>
      </c>
      <c r="G140" s="20" t="s">
        <v>141</v>
      </c>
      <c r="H140" s="22"/>
      <c r="I140" s="4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 customHeight="1" thickBot="1">
      <c r="A141" s="12"/>
      <c r="B141" s="109" t="s">
        <v>142</v>
      </c>
      <c r="C141" s="107" t="s">
        <v>143</v>
      </c>
      <c r="D141" s="100" t="s">
        <v>29</v>
      </c>
      <c r="E141" s="17">
        <v>3415</v>
      </c>
      <c r="F141" s="18">
        <v>1695</v>
      </c>
      <c r="G141" s="20" t="s">
        <v>144</v>
      </c>
      <c r="H141" s="22"/>
      <c r="I141" s="4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 customHeight="1" thickBot="1">
      <c r="A142" s="12"/>
      <c r="B142" s="109" t="s">
        <v>145</v>
      </c>
      <c r="C142" s="107" t="s">
        <v>146</v>
      </c>
      <c r="D142" s="100" t="s">
        <v>26</v>
      </c>
      <c r="E142" s="17">
        <v>1237</v>
      </c>
      <c r="F142" s="18">
        <v>764</v>
      </c>
      <c r="G142" s="20" t="s">
        <v>147</v>
      </c>
      <c r="H142" s="22"/>
      <c r="I142" s="4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 customHeight="1" thickBot="1">
      <c r="A143" s="12"/>
      <c r="B143" s="109" t="s">
        <v>148</v>
      </c>
      <c r="C143" s="107" t="s">
        <v>149</v>
      </c>
      <c r="D143" s="100" t="s">
        <v>29</v>
      </c>
      <c r="E143" s="17">
        <v>1238</v>
      </c>
      <c r="F143" s="18">
        <v>636</v>
      </c>
      <c r="G143" s="20" t="s">
        <v>147</v>
      </c>
      <c r="H143" s="22"/>
      <c r="I143" s="4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 customHeight="1" thickBot="1">
      <c r="A144" s="12"/>
      <c r="B144" s="109" t="s">
        <v>148</v>
      </c>
      <c r="C144" s="107" t="s">
        <v>125</v>
      </c>
      <c r="D144" s="100" t="s">
        <v>22</v>
      </c>
      <c r="E144" s="17">
        <v>1239</v>
      </c>
      <c r="F144" s="18">
        <v>255</v>
      </c>
      <c r="G144" s="20" t="s">
        <v>147</v>
      </c>
      <c r="H144" s="22"/>
      <c r="I144" s="4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 customHeight="1" thickBot="1">
      <c r="A145" s="12"/>
      <c r="B145" s="109" t="s">
        <v>148</v>
      </c>
      <c r="C145" s="107" t="s">
        <v>68</v>
      </c>
      <c r="D145" s="100" t="s">
        <v>18</v>
      </c>
      <c r="E145" s="17">
        <v>1286</v>
      </c>
      <c r="F145" s="18">
        <v>720</v>
      </c>
      <c r="G145" s="20" t="s">
        <v>23</v>
      </c>
      <c r="H145" s="22"/>
      <c r="I145" s="4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 customHeight="1" thickBot="1">
      <c r="A146" s="12"/>
      <c r="B146" s="108"/>
      <c r="C146" s="107" t="s">
        <v>111</v>
      </c>
      <c r="D146" s="100" t="s">
        <v>20</v>
      </c>
      <c r="E146" s="17">
        <v>1287</v>
      </c>
      <c r="F146" s="18">
        <v>720</v>
      </c>
      <c r="G146" s="23"/>
      <c r="H146" s="22"/>
      <c r="I146" s="4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 customHeight="1" thickBot="1">
      <c r="A147" s="12"/>
      <c r="B147" s="108"/>
      <c r="C147" s="106"/>
      <c r="D147" s="100" t="s">
        <v>14</v>
      </c>
      <c r="E147" s="17">
        <v>1288</v>
      </c>
      <c r="F147" s="18">
        <v>573</v>
      </c>
      <c r="G147" s="20" t="s">
        <v>150</v>
      </c>
      <c r="H147" s="22"/>
      <c r="I147" s="4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 customHeight="1" thickBot="1">
      <c r="A148" s="12"/>
      <c r="B148" s="108"/>
      <c r="C148" s="106"/>
      <c r="D148" s="100" t="s">
        <v>60</v>
      </c>
      <c r="E148" s="17">
        <v>1289</v>
      </c>
      <c r="F148" s="18">
        <v>955</v>
      </c>
      <c r="G148" s="20" t="s">
        <v>150</v>
      </c>
      <c r="H148" s="22"/>
      <c r="I148" s="4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 customHeight="1" thickBot="1">
      <c r="A149" s="12"/>
      <c r="B149" s="108"/>
      <c r="C149" s="106"/>
      <c r="D149" s="100" t="s">
        <v>151</v>
      </c>
      <c r="E149" s="17">
        <v>1290</v>
      </c>
      <c r="F149" s="18">
        <v>764</v>
      </c>
      <c r="G149" s="20" t="s">
        <v>47</v>
      </c>
      <c r="H149" s="22"/>
      <c r="I149" s="4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 customHeight="1" thickBot="1">
      <c r="A150" s="12"/>
      <c r="B150" s="108"/>
      <c r="C150" s="106"/>
      <c r="D150" s="100" t="s">
        <v>54</v>
      </c>
      <c r="E150" s="17">
        <v>1291</v>
      </c>
      <c r="F150" s="18">
        <v>95</v>
      </c>
      <c r="G150" s="23"/>
      <c r="H150" s="22"/>
      <c r="I150" s="4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 customHeight="1" thickBot="1">
      <c r="A151" s="12"/>
      <c r="B151" s="108"/>
      <c r="C151" s="106"/>
      <c r="D151" s="100" t="s">
        <v>54</v>
      </c>
      <c r="E151" s="17">
        <v>1292</v>
      </c>
      <c r="F151" s="18">
        <v>191</v>
      </c>
      <c r="G151" s="23"/>
      <c r="H151" s="22"/>
      <c r="I151" s="4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 customHeight="1" thickBot="1">
      <c r="A152" s="12"/>
      <c r="B152" s="108"/>
      <c r="C152" s="106"/>
      <c r="D152" s="100" t="s">
        <v>152</v>
      </c>
      <c r="E152" s="17">
        <v>1293</v>
      </c>
      <c r="F152" s="18">
        <v>191</v>
      </c>
      <c r="G152" s="20" t="s">
        <v>153</v>
      </c>
      <c r="H152" s="22"/>
      <c r="I152" s="4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 customHeight="1" thickBot="1">
      <c r="A153" s="12"/>
      <c r="B153" s="108"/>
      <c r="C153" s="107" t="s">
        <v>154</v>
      </c>
      <c r="D153" s="100" t="s">
        <v>26</v>
      </c>
      <c r="E153" s="17">
        <v>1294</v>
      </c>
      <c r="F153" s="18">
        <v>764</v>
      </c>
      <c r="G153" s="23"/>
      <c r="H153" s="22"/>
      <c r="I153" s="4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 customHeight="1" thickBot="1">
      <c r="A154" s="12"/>
      <c r="B154" s="108"/>
      <c r="C154" s="106"/>
      <c r="D154" s="100" t="s">
        <v>29</v>
      </c>
      <c r="E154" s="17">
        <v>1295</v>
      </c>
      <c r="F154" s="18">
        <v>955</v>
      </c>
      <c r="G154" s="20" t="s">
        <v>155</v>
      </c>
      <c r="H154" s="22"/>
      <c r="I154" s="4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 customHeight="1" thickBot="1">
      <c r="A155" s="12"/>
      <c r="B155" s="108"/>
      <c r="C155" s="106"/>
      <c r="D155" s="100" t="s">
        <v>27</v>
      </c>
      <c r="E155" s="17">
        <v>1296</v>
      </c>
      <c r="F155" s="18">
        <v>764</v>
      </c>
      <c r="G155" s="20" t="s">
        <v>155</v>
      </c>
      <c r="H155" s="22"/>
      <c r="I155" s="4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 customHeight="1" thickBot="1">
      <c r="A156" s="12"/>
      <c r="B156" s="108"/>
      <c r="C156" s="106"/>
      <c r="D156" s="100" t="s">
        <v>156</v>
      </c>
      <c r="E156" s="17">
        <v>1370</v>
      </c>
      <c r="F156" s="18">
        <v>477</v>
      </c>
      <c r="G156" s="20" t="s">
        <v>157</v>
      </c>
      <c r="H156" s="22"/>
      <c r="I156" s="4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 customHeight="1" thickBot="1">
      <c r="A157" s="12"/>
      <c r="B157" s="109" t="s">
        <v>145</v>
      </c>
      <c r="C157" s="107" t="s">
        <v>158</v>
      </c>
      <c r="D157" s="100" t="s">
        <v>18</v>
      </c>
      <c r="E157" s="17">
        <v>3090</v>
      </c>
      <c r="F157" s="18">
        <v>1695</v>
      </c>
      <c r="G157" s="20" t="s">
        <v>157</v>
      </c>
      <c r="H157" s="22"/>
      <c r="I157" s="4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 customHeight="1" thickBot="1">
      <c r="A158" s="12"/>
      <c r="B158" s="109" t="s">
        <v>159</v>
      </c>
      <c r="C158" s="106"/>
      <c r="D158" s="100" t="s">
        <v>20</v>
      </c>
      <c r="E158" s="17">
        <v>3091</v>
      </c>
      <c r="F158" s="18">
        <v>1595</v>
      </c>
      <c r="G158" s="23"/>
      <c r="H158" s="22"/>
      <c r="I158" s="4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 customHeight="1" thickBot="1">
      <c r="A159" s="12"/>
      <c r="B159" s="108"/>
      <c r="C159" s="106"/>
      <c r="D159" s="100" t="s">
        <v>14</v>
      </c>
      <c r="E159" s="17">
        <v>3092</v>
      </c>
      <c r="F159" s="18">
        <v>995</v>
      </c>
      <c r="G159" s="20" t="s">
        <v>160</v>
      </c>
      <c r="H159" s="22"/>
      <c r="I159" s="4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 customHeight="1" thickBot="1">
      <c r="A160" s="12"/>
      <c r="B160" s="108"/>
      <c r="C160" s="106"/>
      <c r="D160" s="100" t="s">
        <v>161</v>
      </c>
      <c r="E160" s="17">
        <v>3093</v>
      </c>
      <c r="F160" s="18">
        <v>295</v>
      </c>
      <c r="G160" s="23"/>
      <c r="H160" s="22"/>
      <c r="I160" s="4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 customHeight="1" thickBot="1">
      <c r="A161" s="12"/>
      <c r="B161" s="108"/>
      <c r="C161" s="106"/>
      <c r="D161" s="100" t="s">
        <v>162</v>
      </c>
      <c r="E161" s="17">
        <v>3094</v>
      </c>
      <c r="F161" s="18">
        <v>195</v>
      </c>
      <c r="G161" s="20" t="s">
        <v>163</v>
      </c>
      <c r="H161" s="22"/>
      <c r="I161" s="4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 customHeight="1" thickBot="1">
      <c r="A162" s="12"/>
      <c r="B162" s="108"/>
      <c r="C162" s="106"/>
      <c r="D162" s="100" t="s">
        <v>164</v>
      </c>
      <c r="E162" s="17">
        <v>3095</v>
      </c>
      <c r="F162" s="18">
        <v>3995</v>
      </c>
      <c r="G162" s="23"/>
      <c r="H162" s="22"/>
      <c r="I162" s="4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 customHeight="1" thickBot="1">
      <c r="A163" s="12"/>
      <c r="B163" s="108"/>
      <c r="C163" s="106"/>
      <c r="D163" s="100" t="s">
        <v>165</v>
      </c>
      <c r="E163" s="17">
        <v>3096</v>
      </c>
      <c r="F163" s="18">
        <v>295</v>
      </c>
      <c r="G163" s="20" t="s">
        <v>48</v>
      </c>
      <c r="H163" s="22"/>
      <c r="I163" s="4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 customHeight="1" thickBot="1">
      <c r="A164" s="12"/>
      <c r="B164" s="108"/>
      <c r="C164" s="106"/>
      <c r="D164" s="100" t="s">
        <v>166</v>
      </c>
      <c r="E164" s="17">
        <v>3097</v>
      </c>
      <c r="F164" s="18">
        <v>195</v>
      </c>
      <c r="G164" s="20" t="s">
        <v>167</v>
      </c>
      <c r="H164" s="22"/>
      <c r="I164" s="4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 customHeight="1" thickBot="1">
      <c r="A165" s="12"/>
      <c r="B165" s="108"/>
      <c r="C165" s="106"/>
      <c r="D165" s="100" t="s">
        <v>168</v>
      </c>
      <c r="E165" s="17">
        <v>3098</v>
      </c>
      <c r="F165" s="18">
        <v>245</v>
      </c>
      <c r="G165" s="20" t="s">
        <v>167</v>
      </c>
      <c r="H165" s="22"/>
      <c r="I165" s="4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 customHeight="1" thickBot="1">
      <c r="A166" s="12"/>
      <c r="B166" s="108"/>
      <c r="C166" s="106"/>
      <c r="D166" s="100" t="s">
        <v>169</v>
      </c>
      <c r="E166" s="17">
        <v>3099</v>
      </c>
      <c r="F166" s="18">
        <v>245</v>
      </c>
      <c r="G166" s="23"/>
      <c r="H166" s="22"/>
      <c r="I166" s="4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 customHeight="1" thickBot="1">
      <c r="A167" s="12"/>
      <c r="B167" s="108"/>
      <c r="C167" s="106"/>
      <c r="D167" s="100" t="s">
        <v>170</v>
      </c>
      <c r="E167" s="17">
        <v>3100</v>
      </c>
      <c r="F167" s="18">
        <v>1795</v>
      </c>
      <c r="G167" s="23"/>
      <c r="H167" s="22"/>
      <c r="I167" s="4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 customHeight="1" thickBot="1">
      <c r="A168" s="12"/>
      <c r="B168" s="108"/>
      <c r="C168" s="106"/>
      <c r="D168" s="100" t="s">
        <v>26</v>
      </c>
      <c r="E168" s="17">
        <v>3101</v>
      </c>
      <c r="F168" s="18">
        <v>895</v>
      </c>
      <c r="G168" s="23"/>
      <c r="H168" s="22"/>
      <c r="I168" s="4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 customHeight="1" thickBot="1">
      <c r="A169" s="12"/>
      <c r="B169" s="108"/>
      <c r="C169" s="106"/>
      <c r="D169" s="100" t="s">
        <v>27</v>
      </c>
      <c r="E169" s="17">
        <v>3102</v>
      </c>
      <c r="F169" s="18">
        <v>695</v>
      </c>
      <c r="G169" s="23"/>
      <c r="H169" s="22"/>
      <c r="I169" s="4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 customHeight="1" thickBot="1">
      <c r="A170" s="12"/>
      <c r="B170" s="108"/>
      <c r="C170" s="106"/>
      <c r="D170" s="100" t="s">
        <v>27</v>
      </c>
      <c r="E170" s="17">
        <v>3103</v>
      </c>
      <c r="F170" s="18">
        <v>695</v>
      </c>
      <c r="G170" s="23"/>
      <c r="H170" s="22"/>
      <c r="I170" s="4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 customHeight="1" thickBot="1">
      <c r="A171" s="12"/>
      <c r="B171" s="108"/>
      <c r="C171" s="106"/>
      <c r="D171" s="100" t="s">
        <v>29</v>
      </c>
      <c r="E171" s="17">
        <v>3104</v>
      </c>
      <c r="F171" s="18">
        <v>995</v>
      </c>
      <c r="G171" s="23"/>
      <c r="H171" s="22"/>
      <c r="I171" s="4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 customHeight="1" thickBot="1">
      <c r="A172" s="12"/>
      <c r="B172" s="109" t="s">
        <v>171</v>
      </c>
      <c r="C172" s="107" t="s">
        <v>172</v>
      </c>
      <c r="D172" s="100" t="s">
        <v>26</v>
      </c>
      <c r="E172" s="17">
        <v>3143</v>
      </c>
      <c r="F172" s="18">
        <v>895</v>
      </c>
      <c r="G172" s="23"/>
      <c r="H172" s="22"/>
      <c r="I172" s="4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 customHeight="1" thickBot="1">
      <c r="A173" s="12"/>
      <c r="B173" s="109" t="s">
        <v>159</v>
      </c>
      <c r="C173" s="107" t="s">
        <v>173</v>
      </c>
      <c r="D173" s="100" t="s">
        <v>29</v>
      </c>
      <c r="E173" s="17">
        <v>1648</v>
      </c>
      <c r="F173" s="18">
        <v>764</v>
      </c>
      <c r="G173" s="23"/>
      <c r="H173" s="22"/>
      <c r="I173" s="4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 customHeight="1" thickBot="1">
      <c r="A174" s="12"/>
      <c r="B174" s="108"/>
      <c r="C174" s="106"/>
      <c r="D174" s="100" t="s">
        <v>174</v>
      </c>
      <c r="E174" s="13"/>
      <c r="F174" s="18">
        <v>295</v>
      </c>
      <c r="G174" s="20" t="s">
        <v>175</v>
      </c>
      <c r="H174" s="22"/>
      <c r="I174" s="4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 customHeight="1" thickBot="1">
      <c r="A175" s="12"/>
      <c r="B175" s="108"/>
      <c r="C175" s="106"/>
      <c r="D175" s="100" t="s">
        <v>26</v>
      </c>
      <c r="E175" s="17">
        <v>3110</v>
      </c>
      <c r="F175" s="18">
        <v>895</v>
      </c>
      <c r="G175" s="20" t="s">
        <v>175</v>
      </c>
      <c r="H175" s="22"/>
      <c r="I175" s="4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 customHeight="1" thickBot="1">
      <c r="A176" s="12"/>
      <c r="B176" s="108"/>
      <c r="C176" s="106"/>
      <c r="D176" s="100" t="s">
        <v>27</v>
      </c>
      <c r="E176" s="17">
        <v>3111</v>
      </c>
      <c r="F176" s="18">
        <v>695</v>
      </c>
      <c r="G176" s="23"/>
      <c r="H176" s="22"/>
      <c r="I176" s="4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 customHeight="1" thickBot="1">
      <c r="A177" s="12"/>
      <c r="B177" s="108"/>
      <c r="C177" s="106"/>
      <c r="D177" s="100" t="s">
        <v>29</v>
      </c>
      <c r="E177" s="17">
        <v>3112</v>
      </c>
      <c r="F177" s="18">
        <v>995</v>
      </c>
      <c r="G177" s="23"/>
      <c r="H177" s="22"/>
      <c r="I177" s="4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customHeight="1" thickBot="1">
      <c r="A178" s="12"/>
      <c r="B178" s="109" t="s">
        <v>159</v>
      </c>
      <c r="C178" s="107" t="s">
        <v>68</v>
      </c>
      <c r="D178" s="100" t="s">
        <v>176</v>
      </c>
      <c r="E178" s="17">
        <v>3133</v>
      </c>
      <c r="F178" s="18">
        <v>1495</v>
      </c>
      <c r="G178" s="23"/>
      <c r="H178" s="22"/>
      <c r="I178" s="4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 customHeight="1" thickBot="1">
      <c r="A179" s="12"/>
      <c r="B179" s="109" t="s">
        <v>159</v>
      </c>
      <c r="C179" s="107" t="s">
        <v>177</v>
      </c>
      <c r="D179" s="100" t="s">
        <v>178</v>
      </c>
      <c r="E179" s="17">
        <v>3267</v>
      </c>
      <c r="F179" s="18">
        <v>1295</v>
      </c>
      <c r="G179" s="23"/>
      <c r="H179" s="22"/>
      <c r="I179" s="4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 customHeight="1" thickBot="1">
      <c r="A180" s="12"/>
      <c r="B180" s="108"/>
      <c r="C180" s="106"/>
      <c r="D180" s="100" t="s">
        <v>103</v>
      </c>
      <c r="E180" s="17">
        <v>3268</v>
      </c>
      <c r="F180" s="18">
        <v>995</v>
      </c>
      <c r="G180" s="23"/>
      <c r="H180" s="22"/>
      <c r="I180" s="4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 customHeight="1" thickBot="1">
      <c r="A181" s="12"/>
      <c r="B181" s="109" t="s">
        <v>159</v>
      </c>
      <c r="C181" s="107" t="s">
        <v>179</v>
      </c>
      <c r="D181" s="100" t="s">
        <v>180</v>
      </c>
      <c r="E181" s="17">
        <v>3555</v>
      </c>
      <c r="F181" s="18">
        <v>595</v>
      </c>
      <c r="G181" s="23"/>
      <c r="H181" s="22"/>
      <c r="I181" s="4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 customHeight="1" thickBot="1">
      <c r="A182" s="12"/>
      <c r="B182" s="108"/>
      <c r="C182" s="106"/>
      <c r="D182" s="100" t="s">
        <v>181</v>
      </c>
      <c r="E182" s="17">
        <v>3556</v>
      </c>
      <c r="F182" s="18">
        <v>595</v>
      </c>
      <c r="G182" s="23"/>
      <c r="H182" s="22"/>
      <c r="I182" s="4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 customHeight="1" thickBot="1">
      <c r="A183" s="12"/>
      <c r="B183" s="109" t="s">
        <v>182</v>
      </c>
      <c r="C183" s="107" t="s">
        <v>125</v>
      </c>
      <c r="D183" s="100" t="s">
        <v>12</v>
      </c>
      <c r="E183" s="17">
        <v>977</v>
      </c>
      <c r="F183" s="18">
        <v>382</v>
      </c>
      <c r="G183" s="20" t="s">
        <v>183</v>
      </c>
      <c r="H183" s="22"/>
      <c r="I183" s="4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 customHeight="1" thickBot="1">
      <c r="A184" s="12"/>
      <c r="B184" s="109" t="s">
        <v>184</v>
      </c>
      <c r="C184" s="107" t="s">
        <v>126</v>
      </c>
      <c r="D184" s="100" t="s">
        <v>82</v>
      </c>
      <c r="E184" s="17">
        <v>978</v>
      </c>
      <c r="F184" s="18">
        <v>382</v>
      </c>
      <c r="G184" s="23"/>
      <c r="H184" s="22"/>
      <c r="I184" s="4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 customHeight="1" thickBot="1">
      <c r="A185" s="12"/>
      <c r="B185" s="108"/>
      <c r="C185" s="106"/>
      <c r="D185" s="100" t="s">
        <v>14</v>
      </c>
      <c r="E185" s="17">
        <v>979</v>
      </c>
      <c r="F185" s="18">
        <v>509</v>
      </c>
      <c r="G185" s="20" t="s">
        <v>140</v>
      </c>
      <c r="H185" s="22"/>
      <c r="I185" s="4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 customHeight="1" thickBot="1">
      <c r="A186" s="12"/>
      <c r="B186" s="109" t="s">
        <v>182</v>
      </c>
      <c r="C186" s="107" t="s">
        <v>146</v>
      </c>
      <c r="D186" s="100" t="s">
        <v>12</v>
      </c>
      <c r="E186" s="17">
        <v>603</v>
      </c>
      <c r="F186" s="18">
        <v>414</v>
      </c>
      <c r="G186" s="20" t="s">
        <v>141</v>
      </c>
      <c r="H186" s="22"/>
      <c r="I186" s="4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 customHeight="1" thickBot="1">
      <c r="A187" s="12"/>
      <c r="B187" s="109" t="s">
        <v>185</v>
      </c>
      <c r="C187" s="107" t="s">
        <v>186</v>
      </c>
      <c r="D187" s="100" t="s">
        <v>82</v>
      </c>
      <c r="E187" s="17">
        <v>604</v>
      </c>
      <c r="F187" s="18">
        <v>414</v>
      </c>
      <c r="G187" s="20" t="s">
        <v>141</v>
      </c>
      <c r="H187" s="22"/>
      <c r="I187" s="4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 customHeight="1" thickBot="1">
      <c r="A188" s="12"/>
      <c r="B188" s="108"/>
      <c r="C188" s="106"/>
      <c r="D188" s="100" t="s">
        <v>14</v>
      </c>
      <c r="E188" s="17">
        <v>605</v>
      </c>
      <c r="F188" s="18">
        <v>573</v>
      </c>
      <c r="G188" s="20" t="s">
        <v>187</v>
      </c>
      <c r="H188" s="22"/>
      <c r="I188" s="4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 customHeight="1" thickBot="1">
      <c r="A189" s="12"/>
      <c r="B189" s="108"/>
      <c r="C189" s="106"/>
      <c r="D189" s="100" t="s">
        <v>22</v>
      </c>
      <c r="E189" s="17">
        <v>606</v>
      </c>
      <c r="F189" s="18">
        <v>318</v>
      </c>
      <c r="G189" s="20" t="s">
        <v>23</v>
      </c>
      <c r="H189" s="22"/>
      <c r="I189" s="4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 customHeight="1" thickBot="1">
      <c r="A190" s="12"/>
      <c r="B190" s="108"/>
      <c r="C190" s="106"/>
      <c r="D190" s="100" t="s">
        <v>121</v>
      </c>
      <c r="E190" s="17">
        <v>607</v>
      </c>
      <c r="F190" s="18">
        <v>318</v>
      </c>
      <c r="G190" s="23"/>
      <c r="H190" s="22"/>
      <c r="I190" s="4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 customHeight="1" thickBot="1">
      <c r="A191" s="12"/>
      <c r="B191" s="108"/>
      <c r="C191" s="106"/>
      <c r="D191" s="100" t="s">
        <v>188</v>
      </c>
      <c r="E191" s="17">
        <v>608</v>
      </c>
      <c r="F191" s="18">
        <v>445</v>
      </c>
      <c r="G191" s="23"/>
      <c r="H191" s="22"/>
      <c r="I191" s="4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 customHeight="1" thickBot="1">
      <c r="A192" s="12"/>
      <c r="B192" s="109" t="s">
        <v>182</v>
      </c>
      <c r="C192" s="107" t="s">
        <v>189</v>
      </c>
      <c r="D192" s="100" t="s">
        <v>12</v>
      </c>
      <c r="E192" s="17">
        <v>3064</v>
      </c>
      <c r="F192" s="18">
        <v>414</v>
      </c>
      <c r="G192" s="20" t="s">
        <v>160</v>
      </c>
      <c r="H192" s="22"/>
      <c r="I192" s="4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 customHeight="1" thickBot="1">
      <c r="A193" s="12"/>
      <c r="B193" s="109" t="s">
        <v>190</v>
      </c>
      <c r="C193" s="106"/>
      <c r="D193" s="100" t="s">
        <v>22</v>
      </c>
      <c r="E193" s="17">
        <v>3065</v>
      </c>
      <c r="F193" s="18">
        <v>318</v>
      </c>
      <c r="G193" s="20" t="s">
        <v>191</v>
      </c>
      <c r="H193" s="22"/>
      <c r="I193" s="4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 customHeight="1" thickBot="1">
      <c r="A194" s="12"/>
      <c r="B194" s="109" t="s">
        <v>145</v>
      </c>
      <c r="C194" s="107" t="s">
        <v>146</v>
      </c>
      <c r="D194" s="100" t="s">
        <v>29</v>
      </c>
      <c r="E194" s="17">
        <v>685</v>
      </c>
      <c r="F194" s="18">
        <v>1295</v>
      </c>
      <c r="G194" s="23"/>
      <c r="H194" s="22"/>
      <c r="I194" s="4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 customHeight="1" thickBot="1">
      <c r="A195" s="12"/>
      <c r="B195" s="109" t="s">
        <v>148</v>
      </c>
      <c r="C195" s="107" t="s">
        <v>192</v>
      </c>
      <c r="D195" s="100" t="s">
        <v>29</v>
      </c>
      <c r="E195" s="17">
        <v>754</v>
      </c>
      <c r="F195" s="18">
        <v>1295</v>
      </c>
      <c r="G195" s="23"/>
      <c r="H195" s="22"/>
      <c r="I195" s="4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 customHeight="1" thickBot="1">
      <c r="A196" s="12"/>
      <c r="B196" s="109" t="s">
        <v>193</v>
      </c>
      <c r="C196" s="107" t="s">
        <v>194</v>
      </c>
      <c r="D196" s="100" t="s">
        <v>18</v>
      </c>
      <c r="E196" s="17">
        <v>2302</v>
      </c>
      <c r="F196" s="18">
        <v>1695</v>
      </c>
      <c r="G196" s="20" t="s">
        <v>47</v>
      </c>
      <c r="H196" s="22"/>
      <c r="I196" s="4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 customHeight="1" thickBot="1">
      <c r="A197" s="12"/>
      <c r="B197" s="109" t="s">
        <v>195</v>
      </c>
      <c r="C197" s="106"/>
      <c r="D197" s="100" t="s">
        <v>20</v>
      </c>
      <c r="E197" s="17">
        <v>2303</v>
      </c>
      <c r="F197" s="18">
        <v>1595</v>
      </c>
      <c r="G197" s="23"/>
      <c r="H197" s="22"/>
      <c r="I197" s="4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 customHeight="1" thickBot="1">
      <c r="A198" s="12"/>
      <c r="B198" s="108"/>
      <c r="C198" s="106"/>
      <c r="D198" s="100" t="s">
        <v>14</v>
      </c>
      <c r="E198" s="17">
        <v>2304</v>
      </c>
      <c r="F198" s="18">
        <v>995</v>
      </c>
      <c r="G198" s="25">
        <v>44258</v>
      </c>
      <c r="H198" s="22"/>
      <c r="I198" s="4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 customHeight="1" thickBot="1">
      <c r="A199" s="12"/>
      <c r="B199" s="108"/>
      <c r="C199" s="106"/>
      <c r="D199" s="100" t="s">
        <v>60</v>
      </c>
      <c r="E199" s="17">
        <v>2305</v>
      </c>
      <c r="F199" s="18">
        <v>895</v>
      </c>
      <c r="G199" s="25">
        <v>44396</v>
      </c>
      <c r="H199" s="22"/>
      <c r="I199" s="4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5" customHeight="1" thickBot="1">
      <c r="A200" s="12"/>
      <c r="B200" s="108"/>
      <c r="C200" s="106"/>
      <c r="D200" s="100" t="s">
        <v>61</v>
      </c>
      <c r="E200" s="17">
        <v>2306</v>
      </c>
      <c r="F200" s="18">
        <v>895</v>
      </c>
      <c r="G200" s="23"/>
      <c r="H200" s="22"/>
      <c r="I200" s="4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5" customHeight="1" thickBot="1">
      <c r="A201" s="12"/>
      <c r="B201" s="108"/>
      <c r="C201" s="106"/>
      <c r="D201" s="100" t="s">
        <v>26</v>
      </c>
      <c r="E201" s="17">
        <v>2301</v>
      </c>
      <c r="F201" s="18">
        <v>1095</v>
      </c>
      <c r="G201" s="20" t="s">
        <v>39</v>
      </c>
      <c r="H201" s="22"/>
      <c r="I201" s="4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5" customHeight="1" thickBot="1">
      <c r="A202" s="12"/>
      <c r="B202" s="109" t="s">
        <v>108</v>
      </c>
      <c r="C202" s="107" t="s">
        <v>192</v>
      </c>
      <c r="D202" s="100" t="s">
        <v>33</v>
      </c>
      <c r="E202" s="17">
        <v>755</v>
      </c>
      <c r="F202" s="18">
        <v>414</v>
      </c>
      <c r="G202" s="20" t="s">
        <v>39</v>
      </c>
      <c r="H202" s="22"/>
      <c r="I202" s="4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5" customHeight="1" thickBot="1">
      <c r="A203" s="12"/>
      <c r="B203" s="109" t="s">
        <v>196</v>
      </c>
      <c r="C203" s="107" t="s">
        <v>197</v>
      </c>
      <c r="D203" s="100" t="s">
        <v>18</v>
      </c>
      <c r="E203" s="17">
        <v>2256</v>
      </c>
      <c r="F203" s="18">
        <v>1595</v>
      </c>
      <c r="G203" s="20" t="s">
        <v>198</v>
      </c>
      <c r="H203" s="22"/>
      <c r="I203" s="4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5" customHeight="1" thickBot="1">
      <c r="A204" s="12"/>
      <c r="B204" s="108"/>
      <c r="C204" s="106"/>
      <c r="D204" s="100" t="s">
        <v>20</v>
      </c>
      <c r="E204" s="17">
        <v>2257</v>
      </c>
      <c r="F204" s="18">
        <v>1495</v>
      </c>
      <c r="G204" s="20" t="s">
        <v>199</v>
      </c>
      <c r="H204" s="22"/>
      <c r="I204" s="4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5" customHeight="1" thickBot="1">
      <c r="A205" s="12"/>
      <c r="B205" s="108"/>
      <c r="C205" s="106"/>
      <c r="D205" s="100" t="s">
        <v>14</v>
      </c>
      <c r="E205" s="17">
        <v>2258</v>
      </c>
      <c r="F205" s="18">
        <v>995</v>
      </c>
      <c r="G205" s="23"/>
      <c r="H205" s="22"/>
      <c r="I205" s="4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5" customHeight="1" thickBot="1">
      <c r="A206" s="12"/>
      <c r="B206" s="108"/>
      <c r="C206" s="106"/>
      <c r="D206" s="100" t="s">
        <v>60</v>
      </c>
      <c r="E206" s="17">
        <v>2259</v>
      </c>
      <c r="F206" s="18">
        <v>895</v>
      </c>
      <c r="G206" s="23"/>
      <c r="H206" s="22"/>
      <c r="I206" s="4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5" customHeight="1" thickBot="1">
      <c r="A207" s="12"/>
      <c r="B207" s="108"/>
      <c r="C207" s="106"/>
      <c r="D207" s="100" t="s">
        <v>61</v>
      </c>
      <c r="E207" s="17">
        <v>2260</v>
      </c>
      <c r="F207" s="18">
        <v>895</v>
      </c>
      <c r="G207" s="23"/>
      <c r="H207" s="22"/>
      <c r="I207" s="4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5" customHeight="1" thickBot="1">
      <c r="A208" s="12"/>
      <c r="B208" s="108"/>
      <c r="C208" s="106"/>
      <c r="D208" s="100" t="s">
        <v>26</v>
      </c>
      <c r="E208" s="17">
        <v>2261</v>
      </c>
      <c r="F208" s="18">
        <v>1095</v>
      </c>
      <c r="G208" s="23"/>
      <c r="H208" s="22"/>
      <c r="I208" s="4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5" customHeight="1" thickBot="1">
      <c r="A209" s="12"/>
      <c r="B209" s="108"/>
      <c r="C209" s="106"/>
      <c r="D209" s="100" t="s">
        <v>26</v>
      </c>
      <c r="E209" s="17">
        <v>3135</v>
      </c>
      <c r="F209" s="18">
        <v>1095</v>
      </c>
      <c r="G209" s="25">
        <v>44001</v>
      </c>
      <c r="H209" s="22"/>
      <c r="I209" s="4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5" customHeight="1" thickBot="1">
      <c r="A210" s="12"/>
      <c r="B210" s="108"/>
      <c r="C210" s="106"/>
      <c r="D210" s="100" t="s">
        <v>29</v>
      </c>
      <c r="E210" s="17">
        <v>2262</v>
      </c>
      <c r="F210" s="18">
        <v>1395</v>
      </c>
      <c r="G210" s="23"/>
      <c r="H210" s="22"/>
      <c r="I210" s="4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5" customHeight="1" thickBot="1">
      <c r="A211" s="12"/>
      <c r="B211" s="108"/>
      <c r="C211" s="106"/>
      <c r="D211" s="100" t="s">
        <v>200</v>
      </c>
      <c r="E211" s="17">
        <v>2263</v>
      </c>
      <c r="F211" s="18">
        <v>2495</v>
      </c>
      <c r="G211" s="23"/>
      <c r="H211" s="22"/>
      <c r="I211" s="4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5" customHeight="1" thickBot="1">
      <c r="A212" s="12"/>
      <c r="B212" s="108"/>
      <c r="C212" s="106"/>
      <c r="D212" s="100" t="s">
        <v>201</v>
      </c>
      <c r="E212" s="17">
        <v>3066</v>
      </c>
      <c r="F212" s="18">
        <v>395</v>
      </c>
      <c r="G212" s="23"/>
      <c r="H212" s="22"/>
      <c r="I212" s="4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5" customHeight="1" thickBot="1">
      <c r="A213" s="12"/>
      <c r="B213" s="109" t="s">
        <v>196</v>
      </c>
      <c r="C213" s="107" t="s">
        <v>202</v>
      </c>
      <c r="D213" s="100" t="s">
        <v>18</v>
      </c>
      <c r="E213" s="17">
        <v>3071</v>
      </c>
      <c r="F213" s="18">
        <v>955</v>
      </c>
      <c r="G213" s="20" t="s">
        <v>44</v>
      </c>
      <c r="H213" s="22"/>
      <c r="I213" s="4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5" customHeight="1" thickBot="1">
      <c r="A214" s="12"/>
      <c r="B214" s="108"/>
      <c r="C214" s="106"/>
      <c r="D214" s="100" t="s">
        <v>20</v>
      </c>
      <c r="E214" s="17">
        <v>3072</v>
      </c>
      <c r="F214" s="18">
        <v>955</v>
      </c>
      <c r="G214" s="20" t="s">
        <v>44</v>
      </c>
      <c r="H214" s="22"/>
      <c r="I214" s="4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5" customHeight="1" thickBot="1">
      <c r="A215" s="12"/>
      <c r="B215" s="108"/>
      <c r="C215" s="106"/>
      <c r="D215" s="100" t="s">
        <v>14</v>
      </c>
      <c r="E215" s="17">
        <v>3073</v>
      </c>
      <c r="F215" s="18">
        <v>1145</v>
      </c>
      <c r="G215" s="20" t="s">
        <v>59</v>
      </c>
      <c r="H215" s="22"/>
      <c r="I215" s="4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5" customHeight="1" thickBot="1">
      <c r="A216" s="12"/>
      <c r="B216" s="109" t="s">
        <v>196</v>
      </c>
      <c r="C216" s="107" t="s">
        <v>203</v>
      </c>
      <c r="D216" s="100" t="s">
        <v>53</v>
      </c>
      <c r="E216" s="17">
        <v>3231</v>
      </c>
      <c r="F216" s="18">
        <v>895</v>
      </c>
      <c r="G216" s="20" t="s">
        <v>204</v>
      </c>
      <c r="H216" s="22"/>
      <c r="I216" s="4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5" customHeight="1" thickBot="1">
      <c r="A217" s="12"/>
      <c r="B217" s="108"/>
      <c r="C217" s="106"/>
      <c r="D217" s="100" t="s">
        <v>201</v>
      </c>
      <c r="E217" s="17">
        <v>3248</v>
      </c>
      <c r="F217" s="18">
        <v>295</v>
      </c>
      <c r="G217" s="20" t="s">
        <v>204</v>
      </c>
      <c r="H217" s="22"/>
      <c r="I217" s="4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5" customHeight="1" thickBot="1">
      <c r="A218" s="12"/>
      <c r="B218" s="109" t="s">
        <v>205</v>
      </c>
      <c r="C218" s="107" t="s">
        <v>125</v>
      </c>
      <c r="D218" s="100" t="s">
        <v>26</v>
      </c>
      <c r="E218" s="17">
        <v>3444</v>
      </c>
      <c r="F218" s="18">
        <v>1095</v>
      </c>
      <c r="G218" s="23"/>
      <c r="H218" s="22"/>
      <c r="I218" s="4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5" customHeight="1" thickBot="1">
      <c r="A219" s="12"/>
      <c r="B219" s="108"/>
      <c r="C219" s="106"/>
      <c r="D219" s="100" t="s">
        <v>27</v>
      </c>
      <c r="E219" s="17">
        <v>3445</v>
      </c>
      <c r="F219" s="18">
        <v>895</v>
      </c>
      <c r="G219" s="23"/>
      <c r="H219" s="22"/>
      <c r="I219" s="4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5" customHeight="1" thickBot="1">
      <c r="A220" s="12"/>
      <c r="B220" s="108"/>
      <c r="C220" s="106"/>
      <c r="D220" s="100" t="s">
        <v>29</v>
      </c>
      <c r="E220" s="17">
        <v>3446</v>
      </c>
      <c r="F220" s="18">
        <v>1395</v>
      </c>
      <c r="G220" s="23"/>
      <c r="H220" s="22"/>
      <c r="I220" s="4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5" customHeight="1" thickBot="1">
      <c r="A221" s="12"/>
      <c r="B221" s="108"/>
      <c r="C221" s="106"/>
      <c r="D221" s="100" t="s">
        <v>200</v>
      </c>
      <c r="E221" s="17">
        <v>3121</v>
      </c>
      <c r="F221" s="18">
        <v>2995</v>
      </c>
      <c r="G221" s="23"/>
      <c r="H221" s="22"/>
      <c r="I221" s="4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5" customHeight="1" thickBot="1">
      <c r="A222" s="12"/>
      <c r="B222" s="108"/>
      <c r="C222" s="106"/>
      <c r="D222" s="100" t="s">
        <v>201</v>
      </c>
      <c r="E222" s="17">
        <v>3122</v>
      </c>
      <c r="F222" s="18">
        <v>395</v>
      </c>
      <c r="G222" s="23"/>
      <c r="H222" s="22"/>
      <c r="I222" s="4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5" customHeight="1" thickBot="1">
      <c r="A223" s="12"/>
      <c r="B223" s="108"/>
      <c r="C223" s="106"/>
      <c r="D223" s="100" t="s">
        <v>206</v>
      </c>
      <c r="E223" s="17">
        <v>3123</v>
      </c>
      <c r="F223" s="18">
        <v>595</v>
      </c>
      <c r="G223" s="23"/>
      <c r="H223" s="22"/>
      <c r="I223" s="4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5" customHeight="1" thickBot="1">
      <c r="A224" s="12"/>
      <c r="B224" s="109" t="s">
        <v>205</v>
      </c>
      <c r="C224" s="107" t="s">
        <v>207</v>
      </c>
      <c r="D224" s="100" t="s">
        <v>29</v>
      </c>
      <c r="E224" s="17">
        <v>3447</v>
      </c>
      <c r="F224" s="18">
        <v>1495</v>
      </c>
      <c r="G224" s="20" t="s">
        <v>21</v>
      </c>
      <c r="H224" s="22"/>
      <c r="I224" s="4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5" customHeight="1" thickBot="1">
      <c r="A225" s="12"/>
      <c r="B225" s="109" t="s">
        <v>142</v>
      </c>
      <c r="C225" s="107" t="s">
        <v>208</v>
      </c>
      <c r="D225" s="100" t="s">
        <v>18</v>
      </c>
      <c r="E225" s="17">
        <v>3147</v>
      </c>
      <c r="F225" s="18">
        <v>1695</v>
      </c>
      <c r="G225" s="23"/>
      <c r="H225" s="22"/>
      <c r="I225" s="4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5" customHeight="1" thickBot="1">
      <c r="A226" s="12"/>
      <c r="B226" s="109" t="s">
        <v>209</v>
      </c>
      <c r="C226" s="106"/>
      <c r="D226" s="100" t="s">
        <v>20</v>
      </c>
      <c r="E226" s="17">
        <v>3148</v>
      </c>
      <c r="F226" s="18">
        <v>1595</v>
      </c>
      <c r="G226" s="23"/>
      <c r="H226" s="22"/>
      <c r="I226" s="4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5" customHeight="1" thickBot="1">
      <c r="A227" s="12"/>
      <c r="B227" s="108"/>
      <c r="C227" s="106"/>
      <c r="D227" s="100" t="s">
        <v>14</v>
      </c>
      <c r="E227" s="17">
        <v>3149</v>
      </c>
      <c r="F227" s="18">
        <v>995</v>
      </c>
      <c r="G227" s="20" t="s">
        <v>210</v>
      </c>
      <c r="H227" s="22"/>
      <c r="I227" s="4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5" customHeight="1" thickBot="1">
      <c r="A228" s="12"/>
      <c r="B228" s="108"/>
      <c r="C228" s="106"/>
      <c r="D228" s="100" t="s">
        <v>211</v>
      </c>
      <c r="E228" s="17">
        <v>3150</v>
      </c>
      <c r="F228" s="18">
        <v>2995</v>
      </c>
      <c r="G228" s="23"/>
      <c r="H228" s="22"/>
      <c r="I228" s="4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5" customHeight="1" thickBot="1">
      <c r="A229" s="12"/>
      <c r="B229" s="108"/>
      <c r="C229" s="106"/>
      <c r="D229" s="100" t="s">
        <v>212</v>
      </c>
      <c r="E229" s="17">
        <v>3151</v>
      </c>
      <c r="F229" s="18">
        <v>2495</v>
      </c>
      <c r="G229" s="23"/>
      <c r="H229" s="22"/>
      <c r="I229" s="4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5" customHeight="1" thickBot="1">
      <c r="A230" s="12"/>
      <c r="B230" s="108"/>
      <c r="C230" s="106"/>
      <c r="D230" s="100" t="s">
        <v>60</v>
      </c>
      <c r="E230" s="17">
        <v>3152</v>
      </c>
      <c r="F230" s="18">
        <v>1295</v>
      </c>
      <c r="G230" s="23"/>
      <c r="H230" s="22"/>
      <c r="I230" s="4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5" customHeight="1" thickBot="1">
      <c r="A231" s="12"/>
      <c r="B231" s="108"/>
      <c r="C231" s="106"/>
      <c r="D231" s="100" t="s">
        <v>61</v>
      </c>
      <c r="E231" s="17">
        <v>3153</v>
      </c>
      <c r="F231" s="18">
        <v>1295</v>
      </c>
      <c r="G231" s="23"/>
      <c r="H231" s="22"/>
      <c r="I231" s="4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5" customHeight="1" thickBot="1">
      <c r="A232" s="12"/>
      <c r="B232" s="108"/>
      <c r="C232" s="106"/>
      <c r="D232" s="100" t="s">
        <v>213</v>
      </c>
      <c r="E232" s="17">
        <v>3154</v>
      </c>
      <c r="F232" s="18">
        <v>3495</v>
      </c>
      <c r="G232" s="23"/>
      <c r="H232" s="22"/>
      <c r="I232" s="4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5" customHeight="1" thickBot="1">
      <c r="A233" s="12"/>
      <c r="B233" s="108"/>
      <c r="C233" s="106"/>
      <c r="D233" s="100" t="s">
        <v>201</v>
      </c>
      <c r="E233" s="17">
        <v>3158</v>
      </c>
      <c r="F233" s="18">
        <v>395</v>
      </c>
      <c r="G233" s="23"/>
      <c r="H233" s="22"/>
      <c r="I233" s="4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5" customHeight="1" thickBot="1">
      <c r="A234" s="12"/>
      <c r="B234" s="108"/>
      <c r="C234" s="106"/>
      <c r="D234" s="100" t="s">
        <v>63</v>
      </c>
      <c r="E234" s="17">
        <v>3415</v>
      </c>
      <c r="F234" s="18">
        <v>1395</v>
      </c>
      <c r="G234" s="20" t="s">
        <v>214</v>
      </c>
      <c r="H234" s="22"/>
      <c r="I234" s="4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" customHeight="1" thickBot="1">
      <c r="A235" s="149"/>
      <c r="B235" s="150"/>
      <c r="C235" s="150"/>
      <c r="D235" s="150"/>
      <c r="E235" s="150"/>
      <c r="F235" s="150"/>
      <c r="G235" s="151"/>
      <c r="H235" s="22"/>
      <c r="I235" s="4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5" customHeight="1" thickBot="1">
      <c r="A236" s="104" t="s">
        <v>217</v>
      </c>
      <c r="H236" s="4"/>
      <c r="I236" s="4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5" customHeight="1" thickBot="1">
      <c r="A237" s="12"/>
      <c r="B237" s="109" t="s">
        <v>218</v>
      </c>
      <c r="C237" s="107" t="s">
        <v>219</v>
      </c>
      <c r="D237" s="100" t="s">
        <v>12</v>
      </c>
      <c r="E237" s="17">
        <v>287</v>
      </c>
      <c r="F237" s="18">
        <v>223</v>
      </c>
      <c r="G237" s="20" t="s">
        <v>220</v>
      </c>
      <c r="H237" s="22"/>
      <c r="I237" s="4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5" customHeight="1" thickBot="1">
      <c r="A238" s="12"/>
      <c r="B238" s="109" t="s">
        <v>221</v>
      </c>
      <c r="C238" s="107" t="s">
        <v>222</v>
      </c>
      <c r="D238" s="100" t="s">
        <v>82</v>
      </c>
      <c r="E238" s="17">
        <v>288</v>
      </c>
      <c r="F238" s="18">
        <v>223</v>
      </c>
      <c r="G238" s="23"/>
      <c r="H238" s="22"/>
      <c r="I238" s="4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5" customHeight="1" thickBot="1">
      <c r="A239" s="12"/>
      <c r="B239" s="108"/>
      <c r="C239" s="106"/>
      <c r="D239" s="100" t="s">
        <v>14</v>
      </c>
      <c r="E239" s="17">
        <v>289</v>
      </c>
      <c r="F239" s="18">
        <v>445</v>
      </c>
      <c r="G239" s="20" t="s">
        <v>223</v>
      </c>
      <c r="H239" s="22"/>
      <c r="I239" s="4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5" customHeight="1" thickBot="1">
      <c r="A240" s="12"/>
      <c r="B240" s="108"/>
      <c r="C240" s="106"/>
      <c r="D240" s="100" t="s">
        <v>22</v>
      </c>
      <c r="E240" s="17">
        <v>290</v>
      </c>
      <c r="F240" s="18">
        <v>223</v>
      </c>
      <c r="G240" s="20" t="s">
        <v>120</v>
      </c>
      <c r="H240" s="22"/>
      <c r="I240" s="4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5" customHeight="1" thickBot="1">
      <c r="A241" s="12"/>
      <c r="B241" s="108"/>
      <c r="C241" s="106"/>
      <c r="D241" s="100" t="s">
        <v>224</v>
      </c>
      <c r="E241" s="17">
        <v>291</v>
      </c>
      <c r="F241" s="18">
        <v>95</v>
      </c>
      <c r="G241" s="23"/>
      <c r="H241" s="22"/>
      <c r="I241" s="4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5" customHeight="1" thickBot="1">
      <c r="A242" s="12"/>
      <c r="B242" s="108"/>
      <c r="C242" s="107" t="s">
        <v>225</v>
      </c>
      <c r="D242" s="100" t="s">
        <v>18</v>
      </c>
      <c r="E242" s="17">
        <v>292</v>
      </c>
      <c r="F242" s="18">
        <v>720</v>
      </c>
      <c r="G242" s="23"/>
      <c r="H242" s="22"/>
      <c r="I242" s="4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5" customHeight="1" thickBot="1">
      <c r="A243" s="12"/>
      <c r="B243" s="108"/>
      <c r="C243" s="107" t="s">
        <v>89</v>
      </c>
      <c r="D243" s="100" t="s">
        <v>82</v>
      </c>
      <c r="E243" s="17">
        <v>303</v>
      </c>
      <c r="F243" s="18">
        <v>255</v>
      </c>
      <c r="G243" s="23"/>
      <c r="H243" s="22"/>
      <c r="I243" s="4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5" customHeight="1" thickBot="1">
      <c r="A244" s="12"/>
      <c r="B244" s="108"/>
      <c r="C244" s="107" t="s">
        <v>226</v>
      </c>
      <c r="D244" s="100" t="s">
        <v>14</v>
      </c>
      <c r="E244" s="17">
        <v>294</v>
      </c>
      <c r="F244" s="18">
        <v>445</v>
      </c>
      <c r="G244" s="23"/>
      <c r="H244" s="22"/>
      <c r="I244" s="4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5" customHeight="1" thickBot="1">
      <c r="A245" s="12"/>
      <c r="B245" s="108"/>
      <c r="C245" s="106"/>
      <c r="D245" s="100" t="s">
        <v>22</v>
      </c>
      <c r="E245" s="17">
        <v>295</v>
      </c>
      <c r="F245" s="18">
        <v>223</v>
      </c>
      <c r="G245" s="20" t="s">
        <v>227</v>
      </c>
      <c r="H245" s="22"/>
      <c r="I245" s="4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5" customHeight="1" thickBot="1">
      <c r="A246" s="12"/>
      <c r="B246" s="108"/>
      <c r="C246" s="107" t="s">
        <v>225</v>
      </c>
      <c r="D246" s="100" t="s">
        <v>12</v>
      </c>
      <c r="E246" s="17">
        <v>296</v>
      </c>
      <c r="F246" s="18">
        <v>223</v>
      </c>
      <c r="G246" s="20" t="s">
        <v>228</v>
      </c>
      <c r="H246" s="22"/>
      <c r="I246" s="4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5" customHeight="1" thickBot="1">
      <c r="A247" s="12"/>
      <c r="B247" s="108"/>
      <c r="C247" s="107" t="s">
        <v>229</v>
      </c>
      <c r="D247" s="100" t="s">
        <v>18</v>
      </c>
      <c r="E247" s="17">
        <v>300</v>
      </c>
      <c r="F247" s="18">
        <v>720</v>
      </c>
      <c r="G247" s="20" t="s">
        <v>230</v>
      </c>
      <c r="H247" s="22"/>
      <c r="I247" s="4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5" customHeight="1" thickBot="1">
      <c r="A248" s="12"/>
      <c r="B248" s="108"/>
      <c r="C248" s="107" t="s">
        <v>231</v>
      </c>
      <c r="D248" s="100" t="s">
        <v>18</v>
      </c>
      <c r="E248" s="17">
        <v>301</v>
      </c>
      <c r="F248" s="18">
        <v>720</v>
      </c>
      <c r="G248" s="23"/>
      <c r="H248" s="22"/>
      <c r="I248" s="4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5" customHeight="1" thickBot="1">
      <c r="A249" s="12"/>
      <c r="B249" s="109" t="s">
        <v>232</v>
      </c>
      <c r="C249" s="107" t="s">
        <v>219</v>
      </c>
      <c r="D249" s="100" t="s">
        <v>82</v>
      </c>
      <c r="E249" s="17">
        <v>293</v>
      </c>
      <c r="F249" s="18">
        <v>255</v>
      </c>
      <c r="G249" s="23"/>
      <c r="H249" s="22"/>
      <c r="I249" s="4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5" customHeight="1" thickBot="1">
      <c r="A250" s="12"/>
      <c r="B250" s="108"/>
      <c r="C250" s="106"/>
      <c r="D250" s="100" t="s">
        <v>22</v>
      </c>
      <c r="E250" s="17">
        <v>297</v>
      </c>
      <c r="F250" s="18">
        <v>318</v>
      </c>
      <c r="G250" s="23"/>
      <c r="H250" s="22"/>
      <c r="I250" s="4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5" customHeight="1" thickBot="1">
      <c r="A251" s="12"/>
      <c r="B251" s="109" t="s">
        <v>218</v>
      </c>
      <c r="C251" s="107" t="s">
        <v>225</v>
      </c>
      <c r="D251" s="100" t="s">
        <v>12</v>
      </c>
      <c r="E251" s="17">
        <v>302</v>
      </c>
      <c r="F251" s="18">
        <v>223</v>
      </c>
      <c r="G251" s="23"/>
      <c r="H251" s="22"/>
      <c r="I251" s="4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5" customHeight="1" thickBot="1">
      <c r="A252" s="12"/>
      <c r="B252" s="109" t="s">
        <v>233</v>
      </c>
      <c r="C252" s="107" t="s">
        <v>222</v>
      </c>
      <c r="D252" s="100" t="s">
        <v>82</v>
      </c>
      <c r="E252" s="17">
        <v>303</v>
      </c>
      <c r="F252" s="18">
        <v>255</v>
      </c>
      <c r="G252" s="23"/>
      <c r="H252" s="22"/>
      <c r="I252" s="4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5" customHeight="1" thickBot="1">
      <c r="A253" s="12"/>
      <c r="B253" s="108"/>
      <c r="C253" s="107" t="s">
        <v>234</v>
      </c>
      <c r="D253" s="100" t="s">
        <v>14</v>
      </c>
      <c r="E253" s="17">
        <v>304</v>
      </c>
      <c r="F253" s="18">
        <v>445</v>
      </c>
      <c r="G253" s="20" t="s">
        <v>235</v>
      </c>
      <c r="H253" s="22"/>
      <c r="I253" s="4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5" customHeight="1" thickBot="1">
      <c r="A254" s="12"/>
      <c r="B254" s="108"/>
      <c r="C254" s="106"/>
      <c r="D254" s="100" t="s">
        <v>22</v>
      </c>
      <c r="E254" s="17">
        <v>295</v>
      </c>
      <c r="F254" s="18">
        <v>223</v>
      </c>
      <c r="G254" s="20" t="s">
        <v>236</v>
      </c>
      <c r="H254" s="22"/>
      <c r="I254" s="4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5" customHeight="1" thickBot="1">
      <c r="A255" s="12"/>
      <c r="B255" s="108"/>
      <c r="C255" s="106"/>
      <c r="D255" s="100" t="s">
        <v>237</v>
      </c>
      <c r="E255" s="17">
        <v>306</v>
      </c>
      <c r="F255" s="18">
        <v>95</v>
      </c>
      <c r="G255" s="23"/>
      <c r="H255" s="22"/>
      <c r="I255" s="4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5" customHeight="1" thickBot="1">
      <c r="A256" s="12"/>
      <c r="B256" s="108"/>
      <c r="C256" s="107" t="s">
        <v>238</v>
      </c>
      <c r="D256" s="100" t="s">
        <v>18</v>
      </c>
      <c r="E256" s="17">
        <v>307</v>
      </c>
      <c r="F256" s="18">
        <v>720</v>
      </c>
      <c r="G256" s="23"/>
      <c r="H256" s="22"/>
      <c r="I256" s="4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5" customHeight="1" thickBot="1">
      <c r="A257" s="12"/>
      <c r="B257" s="108"/>
      <c r="C257" s="107" t="s">
        <v>70</v>
      </c>
      <c r="D257" s="100" t="s">
        <v>82</v>
      </c>
      <c r="E257" s="17">
        <v>308</v>
      </c>
      <c r="F257" s="18">
        <v>255</v>
      </c>
      <c r="G257" s="23"/>
      <c r="H257" s="22"/>
      <c r="I257" s="4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5" customHeight="1" thickBot="1">
      <c r="A258" s="12"/>
      <c r="B258" s="108"/>
      <c r="C258" s="107" t="s">
        <v>234</v>
      </c>
      <c r="D258" s="100" t="s">
        <v>14</v>
      </c>
      <c r="E258" s="17">
        <v>309</v>
      </c>
      <c r="F258" s="18">
        <v>445</v>
      </c>
      <c r="G258" s="23"/>
      <c r="H258" s="22"/>
      <c r="I258" s="4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5" customHeight="1" thickBot="1">
      <c r="A259" s="12"/>
      <c r="B259" s="108"/>
      <c r="C259" s="107" t="s">
        <v>229</v>
      </c>
      <c r="D259" s="100" t="s">
        <v>18</v>
      </c>
      <c r="E259" s="17">
        <v>715</v>
      </c>
      <c r="F259" s="18">
        <v>720</v>
      </c>
      <c r="G259" s="20" t="s">
        <v>239</v>
      </c>
      <c r="H259" s="22"/>
      <c r="I259" s="4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5" customHeight="1" thickBot="1">
      <c r="A260" s="12"/>
      <c r="B260" s="109" t="s">
        <v>240</v>
      </c>
      <c r="C260" s="107" t="s">
        <v>68</v>
      </c>
      <c r="D260" s="100" t="s">
        <v>12</v>
      </c>
      <c r="E260" s="17">
        <v>310</v>
      </c>
      <c r="F260" s="18">
        <v>255</v>
      </c>
      <c r="G260" s="20" t="s">
        <v>241</v>
      </c>
      <c r="H260" s="22"/>
      <c r="I260" s="4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5" customHeight="1" thickBot="1">
      <c r="A261" s="12"/>
      <c r="B261" s="109" t="s">
        <v>242</v>
      </c>
      <c r="C261" s="107" t="s">
        <v>89</v>
      </c>
      <c r="D261" s="100" t="s">
        <v>82</v>
      </c>
      <c r="E261" s="17">
        <v>311</v>
      </c>
      <c r="F261" s="18">
        <v>255</v>
      </c>
      <c r="G261" s="20" t="s">
        <v>243</v>
      </c>
      <c r="H261" s="22"/>
      <c r="I261" s="4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5" customHeight="1" thickBot="1">
      <c r="A262" s="12"/>
      <c r="B262" s="108"/>
      <c r="C262" s="106"/>
      <c r="D262" s="100" t="s">
        <v>14</v>
      </c>
      <c r="E262" s="17">
        <v>312</v>
      </c>
      <c r="F262" s="18">
        <v>382</v>
      </c>
      <c r="G262" s="20" t="s">
        <v>244</v>
      </c>
      <c r="H262" s="22"/>
      <c r="I262" s="4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5" customHeight="1" thickBot="1">
      <c r="A263" s="12"/>
      <c r="B263" s="108"/>
      <c r="C263" s="106"/>
      <c r="D263" s="100" t="s">
        <v>22</v>
      </c>
      <c r="E263" s="17">
        <v>762</v>
      </c>
      <c r="F263" s="18">
        <v>286</v>
      </c>
      <c r="G263" s="20" t="s">
        <v>245</v>
      </c>
      <c r="H263" s="22"/>
      <c r="I263" s="4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5" customHeight="1" thickBot="1">
      <c r="A264" s="12"/>
      <c r="B264" s="108"/>
      <c r="C264" s="107" t="s">
        <v>246</v>
      </c>
      <c r="D264" s="100" t="s">
        <v>22</v>
      </c>
      <c r="E264" s="17">
        <v>1476</v>
      </c>
      <c r="F264" s="18">
        <v>382</v>
      </c>
      <c r="G264" s="20" t="s">
        <v>247</v>
      </c>
      <c r="H264" s="22"/>
      <c r="I264" s="4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5" customHeight="1" thickBot="1">
      <c r="A265" s="12"/>
      <c r="B265" s="108"/>
      <c r="C265" s="107" t="s">
        <v>248</v>
      </c>
      <c r="D265" s="100" t="s">
        <v>103</v>
      </c>
      <c r="E265" s="17">
        <v>915</v>
      </c>
      <c r="F265" s="18">
        <v>223</v>
      </c>
      <c r="G265" s="20" t="s">
        <v>249</v>
      </c>
      <c r="H265" s="22"/>
      <c r="I265" s="4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5" customHeight="1" thickBot="1">
      <c r="A266" s="12"/>
      <c r="B266" s="108"/>
      <c r="C266" s="107" t="s">
        <v>225</v>
      </c>
      <c r="D266" s="100" t="s">
        <v>12</v>
      </c>
      <c r="E266" s="17">
        <v>298</v>
      </c>
      <c r="F266" s="18">
        <v>255</v>
      </c>
      <c r="G266" s="23"/>
      <c r="H266" s="22"/>
      <c r="I266" s="4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5" customHeight="1" thickBot="1">
      <c r="A267" s="12"/>
      <c r="B267" s="108"/>
      <c r="C267" s="107" t="s">
        <v>126</v>
      </c>
      <c r="D267" s="100" t="s">
        <v>82</v>
      </c>
      <c r="E267" s="17">
        <v>305</v>
      </c>
      <c r="F267" s="18">
        <v>255</v>
      </c>
      <c r="G267" s="20" t="s">
        <v>250</v>
      </c>
      <c r="H267" s="22"/>
      <c r="I267" s="4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5" customHeight="1" thickBot="1">
      <c r="A268" s="12"/>
      <c r="B268" s="108"/>
      <c r="C268" s="106"/>
      <c r="D268" s="100" t="s">
        <v>14</v>
      </c>
      <c r="E268" s="17">
        <v>609</v>
      </c>
      <c r="F268" s="18">
        <v>382</v>
      </c>
      <c r="G268" s="20" t="s">
        <v>250</v>
      </c>
      <c r="H268" s="22"/>
      <c r="I268" s="4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5" customHeight="1" thickBot="1">
      <c r="A269" s="12"/>
      <c r="B269" s="109" t="s">
        <v>251</v>
      </c>
      <c r="C269" s="107" t="s">
        <v>238</v>
      </c>
      <c r="D269" s="100" t="s">
        <v>18</v>
      </c>
      <c r="E269" s="17">
        <v>555</v>
      </c>
      <c r="F269" s="18">
        <v>720</v>
      </c>
      <c r="G269" s="20" t="s">
        <v>252</v>
      </c>
      <c r="H269" s="22"/>
      <c r="I269" s="4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5" customHeight="1" thickBot="1">
      <c r="A270" s="12"/>
      <c r="B270" s="108"/>
      <c r="C270" s="107" t="s">
        <v>89</v>
      </c>
      <c r="D270" s="100" t="s">
        <v>20</v>
      </c>
      <c r="E270" s="17">
        <v>556</v>
      </c>
      <c r="F270" s="18">
        <v>720</v>
      </c>
      <c r="G270" s="20" t="s">
        <v>253</v>
      </c>
      <c r="H270" s="22"/>
      <c r="I270" s="4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5" customHeight="1" thickBot="1">
      <c r="A271" s="12"/>
      <c r="B271" s="108"/>
      <c r="C271" s="106"/>
      <c r="D271" s="100" t="s">
        <v>14</v>
      </c>
      <c r="E271" s="17">
        <v>557</v>
      </c>
      <c r="F271" s="18">
        <v>445</v>
      </c>
      <c r="G271" s="20" t="s">
        <v>254</v>
      </c>
      <c r="H271" s="22"/>
      <c r="I271" s="4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5" customHeight="1" thickBot="1">
      <c r="A272" s="12"/>
      <c r="B272" s="108"/>
      <c r="C272" s="106"/>
      <c r="D272" s="100" t="s">
        <v>22</v>
      </c>
      <c r="E272" s="17">
        <v>558</v>
      </c>
      <c r="F272" s="18">
        <v>286</v>
      </c>
      <c r="G272" s="23"/>
      <c r="H272" s="22"/>
      <c r="I272" s="4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5" customHeight="1" thickBot="1">
      <c r="A273" s="12"/>
      <c r="B273" s="109" t="s">
        <v>255</v>
      </c>
      <c r="C273" s="107" t="s">
        <v>225</v>
      </c>
      <c r="D273" s="100" t="s">
        <v>12</v>
      </c>
      <c r="E273" s="17">
        <v>322</v>
      </c>
      <c r="F273" s="18">
        <v>382</v>
      </c>
      <c r="G273" s="23"/>
      <c r="H273" s="22"/>
      <c r="I273" s="4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5" customHeight="1" thickBot="1">
      <c r="A274" s="12"/>
      <c r="B274" s="109">
        <v>2003</v>
      </c>
      <c r="C274" s="107" t="s">
        <v>222</v>
      </c>
      <c r="D274" s="100" t="s">
        <v>82</v>
      </c>
      <c r="E274" s="17">
        <v>323</v>
      </c>
      <c r="F274" s="18">
        <v>382</v>
      </c>
      <c r="G274" s="20" t="s">
        <v>256</v>
      </c>
      <c r="H274" s="22"/>
      <c r="I274" s="4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5" customHeight="1" thickBot="1">
      <c r="A275" s="12"/>
      <c r="B275" s="108"/>
      <c r="C275" s="106"/>
      <c r="D275" s="100" t="s">
        <v>14</v>
      </c>
      <c r="E275" s="17">
        <v>324</v>
      </c>
      <c r="F275" s="18">
        <v>509</v>
      </c>
      <c r="G275" s="20" t="s">
        <v>13</v>
      </c>
      <c r="H275" s="22"/>
      <c r="I275" s="4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5" customHeight="1" thickBot="1">
      <c r="A276" s="12"/>
      <c r="B276" s="108"/>
      <c r="C276" s="106"/>
      <c r="D276" s="100" t="s">
        <v>22</v>
      </c>
      <c r="E276" s="17">
        <v>325</v>
      </c>
      <c r="F276" s="18">
        <v>318</v>
      </c>
      <c r="G276" s="23"/>
      <c r="H276" s="22"/>
      <c r="I276" s="4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5" customHeight="1" thickBot="1">
      <c r="A277" s="12"/>
      <c r="B277" s="108"/>
      <c r="C277" s="106"/>
      <c r="D277" s="100" t="s">
        <v>65</v>
      </c>
      <c r="E277" s="17" t="s">
        <v>257</v>
      </c>
      <c r="F277" s="18">
        <v>636</v>
      </c>
      <c r="G277" s="20" t="s">
        <v>258</v>
      </c>
      <c r="H277" s="22"/>
      <c r="I277" s="4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5" customHeight="1" thickBot="1">
      <c r="A278" s="12"/>
      <c r="B278" s="108"/>
      <c r="C278" s="106"/>
      <c r="D278" s="100" t="s">
        <v>259</v>
      </c>
      <c r="E278" s="17">
        <v>326</v>
      </c>
      <c r="F278" s="18">
        <v>223</v>
      </c>
      <c r="G278" s="20" t="s">
        <v>260</v>
      </c>
      <c r="H278" s="22"/>
      <c r="I278" s="4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5" customHeight="1" thickBot="1">
      <c r="A279" s="12"/>
      <c r="B279" s="108"/>
      <c r="C279" s="107" t="s">
        <v>261</v>
      </c>
      <c r="D279" s="100" t="s">
        <v>12</v>
      </c>
      <c r="E279" s="17">
        <v>610</v>
      </c>
      <c r="F279" s="18">
        <v>286</v>
      </c>
      <c r="G279" s="20" t="s">
        <v>262</v>
      </c>
      <c r="H279" s="22"/>
      <c r="I279" s="4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5" customHeight="1" thickBot="1">
      <c r="A280" s="12"/>
      <c r="B280" s="108"/>
      <c r="C280" s="106"/>
      <c r="D280" s="100" t="s">
        <v>22</v>
      </c>
      <c r="E280" s="17">
        <v>611</v>
      </c>
      <c r="F280" s="18">
        <v>223</v>
      </c>
      <c r="G280" s="20" t="s">
        <v>263</v>
      </c>
      <c r="H280" s="22"/>
      <c r="I280" s="4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5" customHeight="1" thickBot="1">
      <c r="A281" s="12"/>
      <c r="B281" s="108"/>
      <c r="C281" s="106"/>
      <c r="D281" s="100" t="s">
        <v>259</v>
      </c>
      <c r="E281" s="17">
        <v>612</v>
      </c>
      <c r="F281" s="18">
        <v>127</v>
      </c>
      <c r="G281" s="23"/>
      <c r="H281" s="22"/>
      <c r="I281" s="4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5" customHeight="1" thickBot="1">
      <c r="A282" s="12"/>
      <c r="B282" s="109" t="s">
        <v>255</v>
      </c>
      <c r="C282" s="107" t="s">
        <v>68</v>
      </c>
      <c r="D282" s="100" t="s">
        <v>26</v>
      </c>
      <c r="E282" s="17">
        <v>705</v>
      </c>
      <c r="F282" s="18">
        <v>286</v>
      </c>
      <c r="G282" s="20" t="s">
        <v>264</v>
      </c>
      <c r="H282" s="22"/>
      <c r="I282" s="4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5" customHeight="1" thickBot="1">
      <c r="A283" s="12"/>
      <c r="B283" s="109">
        <v>2003</v>
      </c>
      <c r="C283" s="106"/>
      <c r="D283" s="100" t="s">
        <v>103</v>
      </c>
      <c r="E283" s="17">
        <v>706</v>
      </c>
      <c r="F283" s="18">
        <v>286</v>
      </c>
      <c r="G283" s="23"/>
      <c r="H283" s="22"/>
      <c r="I283" s="4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5" customHeight="1" thickBot="1">
      <c r="A284" s="12"/>
      <c r="B284" s="108"/>
      <c r="C284" s="107" t="s">
        <v>83</v>
      </c>
      <c r="D284" s="100" t="s">
        <v>26</v>
      </c>
      <c r="E284" s="17">
        <v>792</v>
      </c>
      <c r="F284" s="18">
        <v>382</v>
      </c>
      <c r="G284" s="20" t="s">
        <v>265</v>
      </c>
      <c r="H284" s="22"/>
      <c r="I284" s="4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5" customHeight="1" thickBot="1">
      <c r="A285" s="12"/>
      <c r="B285" s="108"/>
      <c r="C285" s="107" t="s">
        <v>126</v>
      </c>
      <c r="D285" s="100" t="s">
        <v>29</v>
      </c>
      <c r="E285" s="17">
        <v>793</v>
      </c>
      <c r="F285" s="18">
        <v>382</v>
      </c>
      <c r="G285" s="20" t="s">
        <v>266</v>
      </c>
      <c r="H285" s="22"/>
      <c r="I285" s="4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5" customHeight="1" thickBot="1">
      <c r="A286" s="12"/>
      <c r="B286" s="108"/>
      <c r="C286" s="106"/>
      <c r="D286" s="100" t="s">
        <v>14</v>
      </c>
      <c r="E286" s="17">
        <v>794</v>
      </c>
      <c r="F286" s="18">
        <v>509</v>
      </c>
      <c r="G286" s="23"/>
      <c r="H286" s="22"/>
      <c r="I286" s="4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5" customHeight="1" thickBot="1">
      <c r="A287" s="12"/>
      <c r="B287" s="108"/>
      <c r="C287" s="107" t="s">
        <v>267</v>
      </c>
      <c r="D287" s="100" t="s">
        <v>26</v>
      </c>
      <c r="E287" s="17">
        <v>806</v>
      </c>
      <c r="F287" s="18">
        <v>382</v>
      </c>
      <c r="G287" s="23"/>
      <c r="H287" s="22"/>
      <c r="I287" s="4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5" customHeight="1" thickBot="1">
      <c r="A288" s="12"/>
      <c r="B288" s="109" t="s">
        <v>255</v>
      </c>
      <c r="C288" s="107" t="s">
        <v>68</v>
      </c>
      <c r="D288" s="100" t="s">
        <v>60</v>
      </c>
      <c r="E288" s="17">
        <v>1030</v>
      </c>
      <c r="F288" s="18">
        <v>955</v>
      </c>
      <c r="G288" s="20" t="s">
        <v>268</v>
      </c>
      <c r="H288" s="22"/>
      <c r="I288" s="4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5" customHeight="1" thickBot="1">
      <c r="A289" s="12"/>
      <c r="B289" s="109">
        <v>2003</v>
      </c>
      <c r="C289" s="107" t="s">
        <v>111</v>
      </c>
      <c r="D289" s="100" t="s">
        <v>61</v>
      </c>
      <c r="E289" s="17">
        <v>1031</v>
      </c>
      <c r="F289" s="18">
        <v>764</v>
      </c>
      <c r="G289" s="20" t="s">
        <v>120</v>
      </c>
      <c r="H289" s="22"/>
      <c r="I289" s="4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5" customHeight="1" thickBot="1">
      <c r="A290" s="12"/>
      <c r="B290" s="108"/>
      <c r="C290" s="106"/>
      <c r="D290" s="100" t="s">
        <v>61</v>
      </c>
      <c r="E290" s="17">
        <v>1032</v>
      </c>
      <c r="F290" s="18">
        <v>191</v>
      </c>
      <c r="G290" s="20" t="s">
        <v>269</v>
      </c>
      <c r="H290" s="22"/>
      <c r="I290" s="4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5" customHeight="1" thickBot="1">
      <c r="A291" s="12"/>
      <c r="B291" s="108"/>
      <c r="C291" s="106"/>
      <c r="D291" s="100" t="s">
        <v>18</v>
      </c>
      <c r="E291" s="17">
        <v>1033</v>
      </c>
      <c r="F291" s="18">
        <v>720</v>
      </c>
      <c r="G291" s="23"/>
      <c r="H291" s="22"/>
      <c r="I291" s="4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5" customHeight="1" thickBot="1">
      <c r="A292" s="12"/>
      <c r="B292" s="108"/>
      <c r="C292" s="106"/>
      <c r="D292" s="100" t="s">
        <v>26</v>
      </c>
      <c r="E292" s="17">
        <v>1034</v>
      </c>
      <c r="F292" s="18">
        <v>382</v>
      </c>
      <c r="G292" s="23"/>
      <c r="H292" s="22"/>
      <c r="I292" s="4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5" customHeight="1" thickBot="1">
      <c r="A293" s="12"/>
      <c r="B293" s="108"/>
      <c r="C293" s="106"/>
      <c r="D293" s="100" t="s">
        <v>20</v>
      </c>
      <c r="E293" s="17">
        <v>1035</v>
      </c>
      <c r="F293" s="18">
        <v>720</v>
      </c>
      <c r="G293" s="23"/>
      <c r="H293" s="22"/>
      <c r="I293" s="4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5" customHeight="1" thickBot="1">
      <c r="A294" s="12"/>
      <c r="B294" s="108"/>
      <c r="C294" s="106"/>
      <c r="D294" s="100" t="s">
        <v>14</v>
      </c>
      <c r="E294" s="17">
        <v>1036</v>
      </c>
      <c r="F294" s="18">
        <v>573</v>
      </c>
      <c r="G294" s="23"/>
      <c r="H294" s="22"/>
      <c r="I294" s="4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5" customHeight="1" thickBot="1">
      <c r="A295" s="12"/>
      <c r="B295" s="108"/>
      <c r="C295" s="106"/>
      <c r="D295" s="100" t="s">
        <v>22</v>
      </c>
      <c r="E295" s="17">
        <v>1037</v>
      </c>
      <c r="F295" s="18">
        <v>414</v>
      </c>
      <c r="G295" s="20" t="s">
        <v>270</v>
      </c>
      <c r="H295" s="22"/>
      <c r="I295" s="4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5" customHeight="1" thickBot="1">
      <c r="A296" s="12"/>
      <c r="B296" s="109" t="s">
        <v>255</v>
      </c>
      <c r="C296" s="107" t="s">
        <v>271</v>
      </c>
      <c r="D296" s="100" t="s">
        <v>18</v>
      </c>
      <c r="E296" s="17">
        <v>1413</v>
      </c>
      <c r="F296" s="18">
        <v>720</v>
      </c>
      <c r="G296" s="20" t="s">
        <v>270</v>
      </c>
      <c r="H296" s="22"/>
      <c r="I296" s="4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5" customHeight="1" thickBot="1">
      <c r="A297" s="12"/>
      <c r="B297" s="109">
        <v>2003</v>
      </c>
      <c r="C297" s="107" t="s">
        <v>70</v>
      </c>
      <c r="D297" s="100" t="s">
        <v>20</v>
      </c>
      <c r="E297" s="17">
        <v>1414</v>
      </c>
      <c r="F297" s="18">
        <v>720</v>
      </c>
      <c r="G297" s="23"/>
      <c r="H297" s="22"/>
      <c r="I297" s="4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5" customHeight="1" thickBot="1">
      <c r="A298" s="12"/>
      <c r="B298" s="108"/>
      <c r="C298" s="106"/>
      <c r="D298" s="100" t="s">
        <v>14</v>
      </c>
      <c r="E298" s="17">
        <v>1415</v>
      </c>
      <c r="F298" s="18">
        <v>445</v>
      </c>
      <c r="G298" s="23"/>
      <c r="H298" s="22"/>
      <c r="I298" s="4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5" customHeight="1" thickBot="1">
      <c r="A299" s="12"/>
      <c r="B299" s="109" t="s">
        <v>255</v>
      </c>
      <c r="C299" s="107" t="s">
        <v>225</v>
      </c>
      <c r="D299" s="100" t="s">
        <v>26</v>
      </c>
      <c r="E299" s="17">
        <v>1003</v>
      </c>
      <c r="F299" s="18">
        <v>382</v>
      </c>
      <c r="G299" s="20" t="s">
        <v>264</v>
      </c>
      <c r="H299" s="22"/>
      <c r="I299" s="4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5" customHeight="1" thickBot="1">
      <c r="A300" s="12"/>
      <c r="B300" s="109">
        <v>2008</v>
      </c>
      <c r="C300" s="106"/>
      <c r="D300" s="100" t="s">
        <v>29</v>
      </c>
      <c r="E300" s="17">
        <v>1004</v>
      </c>
      <c r="F300" s="18">
        <v>382</v>
      </c>
      <c r="G300" s="20" t="s">
        <v>41</v>
      </c>
      <c r="H300" s="22"/>
      <c r="I300" s="4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5" customHeight="1" thickBot="1">
      <c r="A301" s="12"/>
      <c r="B301" s="108"/>
      <c r="C301" s="106"/>
      <c r="D301" s="100" t="s">
        <v>14</v>
      </c>
      <c r="E301" s="17">
        <v>1005</v>
      </c>
      <c r="F301" s="18">
        <v>509</v>
      </c>
      <c r="G301" s="23"/>
      <c r="H301" s="22"/>
      <c r="I301" s="4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5" customHeight="1" thickBot="1">
      <c r="A302" s="12"/>
      <c r="B302" s="108"/>
      <c r="C302" s="106"/>
      <c r="D302" s="100" t="s">
        <v>22</v>
      </c>
      <c r="E302" s="17">
        <v>1006</v>
      </c>
      <c r="F302" s="18">
        <v>509</v>
      </c>
      <c r="G302" s="20" t="s">
        <v>272</v>
      </c>
      <c r="H302" s="22"/>
      <c r="I302" s="4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5" customHeight="1" thickBot="1">
      <c r="A303" s="12"/>
      <c r="B303" s="108"/>
      <c r="C303" s="106"/>
      <c r="D303" s="100" t="s">
        <v>273</v>
      </c>
      <c r="E303" s="17">
        <v>1007</v>
      </c>
      <c r="F303" s="18">
        <v>286</v>
      </c>
      <c r="G303" s="23"/>
      <c r="H303" s="22"/>
      <c r="I303" s="4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5" customHeight="1" thickBot="1">
      <c r="A304" s="12"/>
      <c r="B304" s="109" t="s">
        <v>255</v>
      </c>
      <c r="C304" s="107" t="s">
        <v>274</v>
      </c>
      <c r="D304" s="100" t="s">
        <v>18</v>
      </c>
      <c r="E304" s="17">
        <v>1661</v>
      </c>
      <c r="F304" s="18">
        <v>720</v>
      </c>
      <c r="G304" s="23"/>
      <c r="H304" s="22"/>
      <c r="I304" s="4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5" customHeight="1" thickBot="1">
      <c r="A305" s="12"/>
      <c r="B305" s="109">
        <v>2008</v>
      </c>
      <c r="C305" s="106"/>
      <c r="D305" s="100" t="s">
        <v>20</v>
      </c>
      <c r="E305" s="17">
        <v>1662</v>
      </c>
      <c r="F305" s="18">
        <v>720</v>
      </c>
      <c r="G305" s="20" t="s">
        <v>275</v>
      </c>
      <c r="H305" s="22"/>
      <c r="I305" s="4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5" customHeight="1" thickBot="1">
      <c r="A306" s="12"/>
      <c r="B306" s="108"/>
      <c r="C306" s="106"/>
      <c r="D306" s="100" t="s">
        <v>14</v>
      </c>
      <c r="E306" s="17">
        <v>1663</v>
      </c>
      <c r="F306" s="18">
        <v>445</v>
      </c>
      <c r="G306" s="20" t="s">
        <v>276</v>
      </c>
      <c r="H306" s="22"/>
      <c r="I306" s="4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5" customHeight="1" thickBot="1">
      <c r="A307" s="12"/>
      <c r="B307" s="108"/>
      <c r="C307" s="106"/>
      <c r="D307" s="100" t="s">
        <v>26</v>
      </c>
      <c r="E307" s="17">
        <v>1664</v>
      </c>
      <c r="F307" s="18">
        <v>764</v>
      </c>
      <c r="G307" s="20" t="s">
        <v>277</v>
      </c>
      <c r="H307" s="22"/>
      <c r="I307" s="4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5" customHeight="1" thickBot="1">
      <c r="A308" s="12"/>
      <c r="B308" s="108"/>
      <c r="C308" s="106"/>
      <c r="D308" s="100" t="s">
        <v>29</v>
      </c>
      <c r="E308" s="17">
        <v>1666</v>
      </c>
      <c r="F308" s="18">
        <v>955</v>
      </c>
      <c r="G308" s="23"/>
      <c r="H308" s="22"/>
      <c r="I308" s="4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5" customHeight="1" thickBot="1">
      <c r="A309" s="12"/>
      <c r="B309" s="109" t="s">
        <v>278</v>
      </c>
      <c r="C309" s="107" t="s">
        <v>219</v>
      </c>
      <c r="D309" s="100" t="s">
        <v>22</v>
      </c>
      <c r="E309" s="17">
        <v>559</v>
      </c>
      <c r="F309" s="18">
        <v>382</v>
      </c>
      <c r="G309" s="20" t="s">
        <v>279</v>
      </c>
      <c r="H309" s="22"/>
      <c r="I309" s="4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5" customHeight="1" thickBot="1">
      <c r="A310" s="12"/>
      <c r="B310" s="109" t="s">
        <v>280</v>
      </c>
      <c r="C310" s="107" t="s">
        <v>225</v>
      </c>
      <c r="D310" s="100" t="s">
        <v>18</v>
      </c>
      <c r="E310" s="17">
        <v>833</v>
      </c>
      <c r="F310" s="18">
        <v>720</v>
      </c>
      <c r="G310" s="20" t="s">
        <v>281</v>
      </c>
      <c r="H310" s="22"/>
      <c r="I310" s="4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5" customHeight="1" thickBot="1">
      <c r="A311" s="12"/>
      <c r="B311" s="108"/>
      <c r="C311" s="106"/>
      <c r="D311" s="100" t="s">
        <v>29</v>
      </c>
      <c r="E311" s="17">
        <v>834</v>
      </c>
      <c r="F311" s="18">
        <v>382</v>
      </c>
      <c r="G311" s="23"/>
      <c r="H311" s="22"/>
      <c r="I311" s="4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5" customHeight="1" thickBot="1">
      <c r="A312" s="12"/>
      <c r="B312" s="108"/>
      <c r="C312" s="106"/>
      <c r="D312" s="100" t="s">
        <v>14</v>
      </c>
      <c r="E312" s="17">
        <v>835</v>
      </c>
      <c r="F312" s="18">
        <v>509</v>
      </c>
      <c r="G312" s="23"/>
      <c r="H312" s="22"/>
      <c r="I312" s="4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5" customHeight="1" thickBot="1">
      <c r="A313" s="12"/>
      <c r="B313" s="108"/>
      <c r="C313" s="106"/>
      <c r="D313" s="100" t="s">
        <v>22</v>
      </c>
      <c r="E313" s="17">
        <v>560</v>
      </c>
      <c r="F313" s="18">
        <v>382</v>
      </c>
      <c r="G313" s="23"/>
      <c r="H313" s="22"/>
      <c r="I313" s="4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5" customHeight="1" thickBot="1">
      <c r="A314" s="12"/>
      <c r="B314" s="108"/>
      <c r="C314" s="107" t="s">
        <v>238</v>
      </c>
      <c r="D314" s="100" t="s">
        <v>18</v>
      </c>
      <c r="E314" s="17">
        <v>1637</v>
      </c>
      <c r="F314" s="18">
        <v>720</v>
      </c>
      <c r="G314" s="23"/>
      <c r="H314" s="22"/>
      <c r="I314" s="4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5" customHeight="1" thickBot="1">
      <c r="A315" s="12"/>
      <c r="B315" s="108"/>
      <c r="C315" s="107" t="s">
        <v>111</v>
      </c>
      <c r="D315" s="100" t="s">
        <v>20</v>
      </c>
      <c r="E315" s="17">
        <v>1638</v>
      </c>
      <c r="F315" s="18">
        <v>720</v>
      </c>
      <c r="G315" s="20" t="s">
        <v>282</v>
      </c>
      <c r="H315" s="22"/>
      <c r="I315" s="4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5" customHeight="1" thickBot="1">
      <c r="A316" s="12"/>
      <c r="B316" s="108"/>
      <c r="C316" s="106"/>
      <c r="D316" s="100" t="s">
        <v>14</v>
      </c>
      <c r="E316" s="17">
        <v>1639</v>
      </c>
      <c r="F316" s="18">
        <v>509</v>
      </c>
      <c r="G316" s="20" t="s">
        <v>283</v>
      </c>
      <c r="H316" s="22"/>
      <c r="I316" s="4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5" customHeight="1" thickBot="1">
      <c r="A317" s="12"/>
      <c r="B317" s="108"/>
      <c r="C317" s="106"/>
      <c r="D317" s="100" t="s">
        <v>60</v>
      </c>
      <c r="E317" s="17">
        <v>1640</v>
      </c>
      <c r="F317" s="18">
        <v>955</v>
      </c>
      <c r="G317" s="20" t="s">
        <v>282</v>
      </c>
      <c r="H317" s="22"/>
      <c r="I317" s="4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5" customHeight="1" thickBot="1">
      <c r="A318" s="12"/>
      <c r="B318" s="108"/>
      <c r="C318" s="106"/>
      <c r="D318" s="100" t="s">
        <v>61</v>
      </c>
      <c r="E318" s="17">
        <v>1641</v>
      </c>
      <c r="F318" s="18">
        <v>573</v>
      </c>
      <c r="G318" s="20" t="s">
        <v>284</v>
      </c>
      <c r="H318" s="22"/>
      <c r="I318" s="4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5" customHeight="1" thickBot="1">
      <c r="A319" s="12"/>
      <c r="B319" s="108"/>
      <c r="C319" s="107" t="s">
        <v>285</v>
      </c>
      <c r="D319" s="100" t="s">
        <v>18</v>
      </c>
      <c r="E319" s="17">
        <v>345</v>
      </c>
      <c r="F319" s="18">
        <v>720</v>
      </c>
      <c r="G319" s="20" t="s">
        <v>286</v>
      </c>
      <c r="H319" s="22"/>
      <c r="I319" s="4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5" customHeight="1" thickBot="1">
      <c r="A320" s="12"/>
      <c r="B320" s="108"/>
      <c r="C320" s="107" t="s">
        <v>287</v>
      </c>
      <c r="D320" s="100" t="s">
        <v>20</v>
      </c>
      <c r="E320" s="17">
        <v>346</v>
      </c>
      <c r="F320" s="18">
        <v>720</v>
      </c>
      <c r="G320" s="20" t="s">
        <v>288</v>
      </c>
      <c r="H320" s="22"/>
      <c r="I320" s="4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5" customHeight="1" thickBot="1">
      <c r="A321" s="12"/>
      <c r="B321" s="108"/>
      <c r="C321" s="106"/>
      <c r="D321" s="100" t="s">
        <v>14</v>
      </c>
      <c r="E321" s="17">
        <v>347</v>
      </c>
      <c r="F321" s="18">
        <v>509</v>
      </c>
      <c r="G321" s="20" t="s">
        <v>288</v>
      </c>
      <c r="H321" s="22"/>
      <c r="I321" s="4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5" customHeight="1" thickBot="1">
      <c r="A322" s="12"/>
      <c r="B322" s="108"/>
      <c r="C322" s="106"/>
      <c r="D322" s="100" t="s">
        <v>22</v>
      </c>
      <c r="E322" s="17">
        <v>348</v>
      </c>
      <c r="F322" s="18">
        <v>382</v>
      </c>
      <c r="G322" s="20" t="s">
        <v>289</v>
      </c>
      <c r="H322" s="22"/>
      <c r="I322" s="4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5" customHeight="1" thickBot="1">
      <c r="A323" s="12"/>
      <c r="B323" s="108"/>
      <c r="C323" s="106"/>
      <c r="D323" s="100" t="s">
        <v>65</v>
      </c>
      <c r="E323" s="17">
        <v>341</v>
      </c>
      <c r="F323" s="18">
        <v>223</v>
      </c>
      <c r="G323" s="23"/>
      <c r="H323" s="22"/>
      <c r="I323" s="4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5" customHeight="1" thickBot="1">
      <c r="A324" s="12"/>
      <c r="B324" s="108"/>
      <c r="C324" s="106"/>
      <c r="D324" s="100" t="s">
        <v>60</v>
      </c>
      <c r="E324" s="17">
        <v>349</v>
      </c>
      <c r="F324" s="18">
        <v>955</v>
      </c>
      <c r="G324" s="20" t="s">
        <v>290</v>
      </c>
      <c r="H324" s="22"/>
      <c r="I324" s="4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5" customHeight="1" thickBot="1">
      <c r="A325" s="12"/>
      <c r="B325" s="108"/>
      <c r="C325" s="106"/>
      <c r="D325" s="100" t="s">
        <v>61</v>
      </c>
      <c r="E325" s="17">
        <v>350</v>
      </c>
      <c r="F325" s="18">
        <v>955</v>
      </c>
      <c r="G325" s="20" t="s">
        <v>291</v>
      </c>
      <c r="H325" s="22"/>
      <c r="I325" s="4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5" customHeight="1" thickBot="1">
      <c r="A326" s="12"/>
      <c r="B326" s="108"/>
      <c r="C326" s="106"/>
      <c r="D326" s="100" t="s">
        <v>292</v>
      </c>
      <c r="E326" s="17">
        <v>351</v>
      </c>
      <c r="F326" s="18">
        <v>1145</v>
      </c>
      <c r="G326" s="20" t="s">
        <v>293</v>
      </c>
      <c r="H326" s="22"/>
      <c r="I326" s="4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5" customHeight="1" thickBot="1">
      <c r="A327" s="12"/>
      <c r="B327" s="108"/>
      <c r="C327" s="106"/>
      <c r="D327" s="100" t="s">
        <v>63</v>
      </c>
      <c r="E327" s="17">
        <v>352</v>
      </c>
      <c r="F327" s="18">
        <v>255</v>
      </c>
      <c r="G327" s="20" t="s">
        <v>294</v>
      </c>
      <c r="H327" s="22"/>
      <c r="I327" s="4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5" customHeight="1" thickBot="1">
      <c r="A328" s="12"/>
      <c r="B328" s="108"/>
      <c r="C328" s="107" t="s">
        <v>295</v>
      </c>
      <c r="D328" s="100" t="s">
        <v>18</v>
      </c>
      <c r="E328" s="17">
        <v>353</v>
      </c>
      <c r="F328" s="18">
        <v>720</v>
      </c>
      <c r="G328" s="23"/>
      <c r="H328" s="22"/>
      <c r="I328" s="4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5" customHeight="1" thickBot="1">
      <c r="A329" s="12"/>
      <c r="B329" s="108"/>
      <c r="C329" s="107" t="s">
        <v>70</v>
      </c>
      <c r="D329" s="100" t="s">
        <v>20</v>
      </c>
      <c r="E329" s="17">
        <v>354</v>
      </c>
      <c r="F329" s="18">
        <v>720</v>
      </c>
      <c r="G329" s="23"/>
      <c r="H329" s="22"/>
      <c r="I329" s="4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5" customHeight="1" thickBot="1">
      <c r="A330" s="12"/>
      <c r="B330" s="108"/>
      <c r="C330" s="106"/>
      <c r="D330" s="100" t="s">
        <v>14</v>
      </c>
      <c r="E330" s="17">
        <v>355</v>
      </c>
      <c r="F330" s="18">
        <v>445</v>
      </c>
      <c r="G330" s="20" t="s">
        <v>296</v>
      </c>
      <c r="H330" s="22"/>
      <c r="I330" s="4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5" customHeight="1" thickBot="1">
      <c r="A331" s="12"/>
      <c r="B331" s="108"/>
      <c r="C331" s="107" t="s">
        <v>297</v>
      </c>
      <c r="D331" s="100" t="s">
        <v>18</v>
      </c>
      <c r="E331" s="17">
        <v>356</v>
      </c>
      <c r="F331" s="18">
        <v>720</v>
      </c>
      <c r="G331" s="23"/>
      <c r="H331" s="22"/>
      <c r="I331" s="4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5" customHeight="1" thickBot="1">
      <c r="A332" s="12"/>
      <c r="B332" s="108"/>
      <c r="C332" s="107" t="s">
        <v>70</v>
      </c>
      <c r="D332" s="100" t="s">
        <v>20</v>
      </c>
      <c r="E332" s="17">
        <v>357</v>
      </c>
      <c r="F332" s="18">
        <v>720</v>
      </c>
      <c r="G332" s="23"/>
      <c r="H332" s="22"/>
      <c r="I332" s="4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.5" customHeight="1" thickBot="1">
      <c r="A333" s="12"/>
      <c r="B333" s="108"/>
      <c r="C333" s="106"/>
      <c r="D333" s="100" t="s">
        <v>14</v>
      </c>
      <c r="E333" s="17">
        <v>358</v>
      </c>
      <c r="F333" s="18">
        <v>445</v>
      </c>
      <c r="G333" s="23"/>
      <c r="H333" s="22"/>
      <c r="I333" s="4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23" customHeight="1" thickBot="1">
      <c r="A334" s="12"/>
      <c r="B334" s="108"/>
      <c r="C334" s="107" t="s">
        <v>267</v>
      </c>
      <c r="D334" s="100" t="s">
        <v>22</v>
      </c>
      <c r="E334" s="17" t="s">
        <v>298</v>
      </c>
      <c r="F334" s="18">
        <v>382</v>
      </c>
      <c r="G334" s="23"/>
      <c r="H334" s="22"/>
      <c r="I334" s="4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.5" customHeight="1" thickBot="1">
      <c r="A335" s="12"/>
      <c r="B335" s="108"/>
      <c r="C335" s="107" t="s">
        <v>299</v>
      </c>
      <c r="D335" s="100" t="s">
        <v>22</v>
      </c>
      <c r="E335" s="17" t="s">
        <v>300</v>
      </c>
      <c r="F335" s="18">
        <v>382</v>
      </c>
      <c r="G335" s="20" t="s">
        <v>301</v>
      </c>
      <c r="H335" s="22"/>
      <c r="I335" s="4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.5" customHeight="1" thickBot="1">
      <c r="A336" s="12"/>
      <c r="B336" s="109" t="s">
        <v>302</v>
      </c>
      <c r="C336" s="107" t="s">
        <v>303</v>
      </c>
      <c r="D336" s="100" t="s">
        <v>12</v>
      </c>
      <c r="E336" s="17">
        <v>359</v>
      </c>
      <c r="F336" s="18">
        <v>286</v>
      </c>
      <c r="G336" s="23"/>
      <c r="H336" s="22"/>
      <c r="I336" s="4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.5" customHeight="1" thickBot="1">
      <c r="A337" s="12"/>
      <c r="B337" s="108"/>
      <c r="C337" s="107" t="s">
        <v>126</v>
      </c>
      <c r="D337" s="100" t="s">
        <v>82</v>
      </c>
      <c r="E337" s="17">
        <v>360</v>
      </c>
      <c r="F337" s="18">
        <v>286</v>
      </c>
      <c r="G337" s="20" t="s">
        <v>304</v>
      </c>
      <c r="H337" s="22"/>
      <c r="I337" s="4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.5" customHeight="1" thickBot="1">
      <c r="A338" s="12"/>
      <c r="B338" s="108"/>
      <c r="C338" s="106"/>
      <c r="D338" s="100" t="s">
        <v>14</v>
      </c>
      <c r="E338" s="17">
        <v>361</v>
      </c>
      <c r="F338" s="18">
        <v>445</v>
      </c>
      <c r="G338" s="20" t="s">
        <v>305</v>
      </c>
      <c r="H338" s="22"/>
      <c r="I338" s="4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.5" customHeight="1" thickBot="1">
      <c r="A339" s="12"/>
      <c r="B339" s="108"/>
      <c r="C339" s="107" t="s">
        <v>306</v>
      </c>
      <c r="D339" s="100" t="s">
        <v>103</v>
      </c>
      <c r="E339" s="17">
        <v>916</v>
      </c>
      <c r="F339" s="18">
        <v>255</v>
      </c>
      <c r="G339" s="23"/>
      <c r="H339" s="22"/>
      <c r="I339" s="4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.5" customHeight="1" thickBot="1">
      <c r="A340" s="12"/>
      <c r="B340" s="108"/>
      <c r="C340" s="107" t="s">
        <v>261</v>
      </c>
      <c r="D340" s="100" t="s">
        <v>103</v>
      </c>
      <c r="E340" s="17">
        <v>1025</v>
      </c>
      <c r="F340" s="18">
        <v>255</v>
      </c>
      <c r="G340" s="23"/>
      <c r="H340" s="22"/>
      <c r="I340" s="4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.5" customHeight="1" thickBot="1">
      <c r="A341" s="12"/>
      <c r="B341" s="108"/>
      <c r="C341" s="106"/>
      <c r="D341" s="100" t="s">
        <v>259</v>
      </c>
      <c r="E341" s="17">
        <v>1024</v>
      </c>
      <c r="F341" s="18">
        <v>159</v>
      </c>
      <c r="G341" s="23"/>
      <c r="H341" s="22"/>
      <c r="I341" s="4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.5" customHeight="1" thickBot="1">
      <c r="A342" s="12"/>
      <c r="B342" s="109" t="s">
        <v>307</v>
      </c>
      <c r="C342" s="107" t="s">
        <v>308</v>
      </c>
      <c r="D342" s="100" t="s">
        <v>18</v>
      </c>
      <c r="E342" s="17">
        <v>935</v>
      </c>
      <c r="F342" s="18">
        <v>720</v>
      </c>
      <c r="G342" s="23"/>
      <c r="H342" s="22"/>
      <c r="I342" s="4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.5" customHeight="1" thickBot="1">
      <c r="A343" s="12"/>
      <c r="B343" s="108"/>
      <c r="C343" s="107" t="s">
        <v>287</v>
      </c>
      <c r="D343" s="100" t="s">
        <v>20</v>
      </c>
      <c r="E343" s="17">
        <v>937</v>
      </c>
      <c r="F343" s="18">
        <v>720</v>
      </c>
      <c r="G343" s="23"/>
      <c r="H343" s="22"/>
      <c r="I343" s="4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.5" customHeight="1" thickBot="1">
      <c r="A344" s="12"/>
      <c r="B344" s="108"/>
      <c r="C344" s="106"/>
      <c r="D344" s="100" t="s">
        <v>14</v>
      </c>
      <c r="E344" s="17">
        <v>936</v>
      </c>
      <c r="F344" s="18">
        <v>509</v>
      </c>
      <c r="G344" s="23"/>
      <c r="H344" s="22"/>
      <c r="I344" s="4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.5" customHeight="1" thickBot="1">
      <c r="A345" s="12"/>
      <c r="B345" s="108"/>
      <c r="C345" s="106"/>
      <c r="D345" s="100" t="s">
        <v>22</v>
      </c>
      <c r="E345" s="17">
        <v>942</v>
      </c>
      <c r="F345" s="18">
        <v>955</v>
      </c>
      <c r="G345" s="23"/>
      <c r="H345" s="22"/>
      <c r="I345" s="4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.5" customHeight="1" thickBot="1">
      <c r="A346" s="12"/>
      <c r="B346" s="108"/>
      <c r="C346" s="106"/>
      <c r="D346" s="100" t="s">
        <v>60</v>
      </c>
      <c r="E346" s="17">
        <v>938</v>
      </c>
      <c r="F346" s="18">
        <v>955</v>
      </c>
      <c r="G346" s="23"/>
      <c r="H346" s="22"/>
      <c r="I346" s="4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.5" customHeight="1" thickBot="1">
      <c r="A347" s="12"/>
      <c r="B347" s="108"/>
      <c r="C347" s="106"/>
      <c r="D347" s="100" t="s">
        <v>61</v>
      </c>
      <c r="E347" s="17">
        <v>939</v>
      </c>
      <c r="F347" s="18">
        <v>764</v>
      </c>
      <c r="G347" s="23"/>
      <c r="H347" s="22"/>
      <c r="I347" s="4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.5" customHeight="1" thickBot="1">
      <c r="A348" s="12"/>
      <c r="B348" s="108"/>
      <c r="C348" s="106"/>
      <c r="D348" s="100" t="s">
        <v>60</v>
      </c>
      <c r="E348" s="17">
        <v>940</v>
      </c>
      <c r="F348" s="18">
        <v>764</v>
      </c>
      <c r="G348" s="23"/>
      <c r="H348" s="22"/>
      <c r="I348" s="4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.5" customHeight="1" thickBot="1">
      <c r="A349" s="12"/>
      <c r="B349" s="108"/>
      <c r="C349" s="106"/>
      <c r="D349" s="100" t="s">
        <v>61</v>
      </c>
      <c r="E349" s="17">
        <v>941</v>
      </c>
      <c r="F349" s="18">
        <v>1145</v>
      </c>
      <c r="G349" s="23"/>
      <c r="H349" s="22"/>
      <c r="I349" s="4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.5" customHeight="1" thickBot="1">
      <c r="A350" s="12"/>
      <c r="B350" s="108"/>
      <c r="C350" s="106"/>
      <c r="D350" s="100" t="s">
        <v>63</v>
      </c>
      <c r="E350" s="17">
        <v>943</v>
      </c>
      <c r="F350" s="18">
        <v>382</v>
      </c>
      <c r="G350" s="20" t="s">
        <v>309</v>
      </c>
      <c r="H350" s="22"/>
      <c r="I350" s="4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.5" customHeight="1" thickBot="1">
      <c r="A351" s="12"/>
      <c r="B351" s="109" t="s">
        <v>307</v>
      </c>
      <c r="C351" s="107" t="s">
        <v>306</v>
      </c>
      <c r="D351" s="100" t="s">
        <v>12</v>
      </c>
      <c r="E351" s="17">
        <v>1368</v>
      </c>
      <c r="F351" s="18">
        <v>286</v>
      </c>
      <c r="G351" s="23"/>
      <c r="H351" s="22"/>
      <c r="I351" s="4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.5" customHeight="1" thickBot="1">
      <c r="A352" s="12"/>
      <c r="B352" s="108"/>
      <c r="C352" s="106"/>
      <c r="D352" s="100" t="s">
        <v>55</v>
      </c>
      <c r="E352" s="17">
        <v>1369</v>
      </c>
      <c r="F352" s="18">
        <v>159</v>
      </c>
      <c r="G352" s="20" t="s">
        <v>310</v>
      </c>
      <c r="H352" s="22"/>
      <c r="I352" s="4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.5" customHeight="1" thickBot="1">
      <c r="A353" s="12"/>
      <c r="B353" s="109" t="s">
        <v>307</v>
      </c>
      <c r="C353" s="107" t="s">
        <v>297</v>
      </c>
      <c r="D353" s="100" t="s">
        <v>18</v>
      </c>
      <c r="E353" s="17">
        <v>3374</v>
      </c>
      <c r="F353" s="18">
        <v>720</v>
      </c>
      <c r="G353" s="20" t="s">
        <v>311</v>
      </c>
      <c r="H353" s="22"/>
      <c r="I353" s="4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.5" customHeight="1" thickBot="1">
      <c r="A354" s="12"/>
      <c r="B354" s="108"/>
      <c r="C354" s="106"/>
      <c r="D354" s="100" t="s">
        <v>20</v>
      </c>
      <c r="E354" s="17">
        <v>1720</v>
      </c>
      <c r="F354" s="18">
        <v>720</v>
      </c>
      <c r="G354" s="20" t="s">
        <v>312</v>
      </c>
      <c r="H354" s="22"/>
      <c r="I354" s="4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.5" customHeight="1" thickBot="1">
      <c r="A355" s="12"/>
      <c r="B355" s="108"/>
      <c r="C355" s="106"/>
      <c r="D355" s="100" t="s">
        <v>14</v>
      </c>
      <c r="E355" s="17">
        <v>1721</v>
      </c>
      <c r="F355" s="18">
        <v>509</v>
      </c>
      <c r="G355" s="20" t="s">
        <v>313</v>
      </c>
      <c r="H355" s="22"/>
      <c r="I355" s="4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.5" customHeight="1" thickBot="1">
      <c r="A356" s="12"/>
      <c r="B356" s="109" t="s">
        <v>314</v>
      </c>
      <c r="C356" s="107" t="s">
        <v>261</v>
      </c>
      <c r="D356" s="100" t="s">
        <v>12</v>
      </c>
      <c r="E356" s="17">
        <v>362</v>
      </c>
      <c r="F356" s="18">
        <v>286</v>
      </c>
      <c r="G356" s="20" t="s">
        <v>315</v>
      </c>
      <c r="H356" s="22"/>
      <c r="I356" s="4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.5" customHeight="1" thickBot="1">
      <c r="A357" s="12"/>
      <c r="B357" s="108"/>
      <c r="C357" s="107" t="s">
        <v>126</v>
      </c>
      <c r="D357" s="100" t="s">
        <v>82</v>
      </c>
      <c r="E357" s="17">
        <v>363</v>
      </c>
      <c r="F357" s="18">
        <v>286</v>
      </c>
      <c r="G357" s="23"/>
      <c r="H357" s="22"/>
      <c r="I357" s="4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.5" customHeight="1" thickBot="1">
      <c r="A358" s="12"/>
      <c r="B358" s="108"/>
      <c r="C358" s="106"/>
      <c r="D358" s="100" t="s">
        <v>14</v>
      </c>
      <c r="E358" s="17">
        <v>364</v>
      </c>
      <c r="F358" s="18">
        <v>445</v>
      </c>
      <c r="G358" s="23"/>
      <c r="H358" s="22"/>
      <c r="I358" s="4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.5" customHeight="1" thickBot="1">
      <c r="A359" s="12"/>
      <c r="B359" s="109" t="s">
        <v>314</v>
      </c>
      <c r="C359" s="107" t="s">
        <v>225</v>
      </c>
      <c r="D359" s="100" t="s">
        <v>12</v>
      </c>
      <c r="E359" s="17">
        <v>365</v>
      </c>
      <c r="F359" s="18">
        <v>286</v>
      </c>
      <c r="G359" s="20" t="s">
        <v>316</v>
      </c>
      <c r="H359" s="22"/>
      <c r="I359" s="4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.5" customHeight="1" thickBot="1">
      <c r="A360" s="12"/>
      <c r="B360" s="108"/>
      <c r="C360" s="107" t="s">
        <v>317</v>
      </c>
      <c r="D360" s="100" t="s">
        <v>82</v>
      </c>
      <c r="E360" s="17">
        <v>366</v>
      </c>
      <c r="F360" s="18">
        <v>286</v>
      </c>
      <c r="G360" s="20" t="s">
        <v>310</v>
      </c>
      <c r="H360" s="22"/>
      <c r="I360" s="4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.5" customHeight="1" thickBot="1">
      <c r="A361" s="12"/>
      <c r="B361" s="108"/>
      <c r="C361" s="106"/>
      <c r="D361" s="100" t="s">
        <v>14</v>
      </c>
      <c r="E361" s="17">
        <v>367</v>
      </c>
      <c r="F361" s="18">
        <v>445</v>
      </c>
      <c r="G361" s="23"/>
      <c r="H361" s="22"/>
      <c r="I361" s="4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.5" customHeight="1" thickBot="1">
      <c r="A362" s="12"/>
      <c r="B362" s="108"/>
      <c r="C362" s="106"/>
      <c r="D362" s="100" t="s">
        <v>22</v>
      </c>
      <c r="E362" s="17">
        <v>368</v>
      </c>
      <c r="F362" s="18">
        <v>382</v>
      </c>
      <c r="G362" s="23"/>
      <c r="H362" s="22"/>
      <c r="I362" s="4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.5" customHeight="1" thickBot="1">
      <c r="A363" s="12"/>
      <c r="B363" s="108"/>
      <c r="C363" s="106"/>
      <c r="D363" s="100" t="s">
        <v>259</v>
      </c>
      <c r="E363" s="17">
        <v>369</v>
      </c>
      <c r="F363" s="18">
        <v>95</v>
      </c>
      <c r="G363" s="23"/>
      <c r="H363" s="22"/>
      <c r="I363" s="4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.5" customHeight="1" thickBot="1">
      <c r="A364" s="12"/>
      <c r="B364" s="109" t="s">
        <v>314</v>
      </c>
      <c r="C364" s="107" t="s">
        <v>219</v>
      </c>
      <c r="D364" s="100" t="s">
        <v>18</v>
      </c>
      <c r="E364" s="17">
        <v>811</v>
      </c>
      <c r="F364" s="18">
        <v>720</v>
      </c>
      <c r="G364" s="23"/>
      <c r="H364" s="22"/>
      <c r="I364" s="4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.5" customHeight="1" thickBot="1">
      <c r="A365" s="12"/>
      <c r="B365" s="108"/>
      <c r="C365" s="106"/>
      <c r="D365" s="100" t="s">
        <v>20</v>
      </c>
      <c r="E365" s="17">
        <v>812</v>
      </c>
      <c r="F365" s="18">
        <v>720</v>
      </c>
      <c r="G365" s="23"/>
      <c r="H365" s="22"/>
      <c r="I365" s="4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.5" customHeight="1" thickBot="1">
      <c r="A366" s="12"/>
      <c r="B366" s="108"/>
      <c r="C366" s="106"/>
      <c r="D366" s="100" t="s">
        <v>14</v>
      </c>
      <c r="E366" s="17">
        <v>813</v>
      </c>
      <c r="F366" s="18">
        <v>445</v>
      </c>
      <c r="G366" s="23"/>
      <c r="H366" s="22"/>
      <c r="I366" s="4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.5" customHeight="1" thickBot="1">
      <c r="A367" s="12"/>
      <c r="B367" s="108"/>
      <c r="C367" s="106"/>
      <c r="D367" s="100" t="s">
        <v>22</v>
      </c>
      <c r="E367" s="17">
        <v>814</v>
      </c>
      <c r="F367" s="18">
        <v>414</v>
      </c>
      <c r="G367" s="23"/>
      <c r="H367" s="22"/>
      <c r="I367" s="4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.5" customHeight="1" thickBot="1">
      <c r="A368" s="12"/>
      <c r="B368" s="108"/>
      <c r="C368" s="107" t="s">
        <v>318</v>
      </c>
      <c r="D368" s="100" t="s">
        <v>29</v>
      </c>
      <c r="E368" s="17">
        <v>815</v>
      </c>
      <c r="F368" s="18">
        <v>255</v>
      </c>
      <c r="G368" s="23"/>
      <c r="H368" s="22"/>
      <c r="I368" s="4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.5" customHeight="1" thickBot="1">
      <c r="A369" s="12"/>
      <c r="B369" s="108"/>
      <c r="C369" s="107" t="s">
        <v>319</v>
      </c>
      <c r="D369" s="100" t="s">
        <v>29</v>
      </c>
      <c r="E369" s="17">
        <v>816</v>
      </c>
      <c r="F369" s="18">
        <v>255</v>
      </c>
      <c r="G369" s="23"/>
      <c r="H369" s="22"/>
      <c r="I369" s="4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.5" customHeight="1" thickBot="1">
      <c r="A370" s="12"/>
      <c r="B370" s="108"/>
      <c r="C370" s="106"/>
      <c r="D370" s="100" t="s">
        <v>259</v>
      </c>
      <c r="E370" s="17">
        <v>817</v>
      </c>
      <c r="F370" s="18">
        <v>95</v>
      </c>
      <c r="G370" s="23"/>
      <c r="H370" s="22"/>
      <c r="I370" s="4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.5" customHeight="1" thickBot="1">
      <c r="A371" s="12"/>
      <c r="B371" s="108"/>
      <c r="C371" s="106"/>
      <c r="D371" s="100" t="s">
        <v>55</v>
      </c>
      <c r="E371" s="17">
        <v>1266</v>
      </c>
      <c r="F371" s="18">
        <v>191</v>
      </c>
      <c r="G371" s="23"/>
      <c r="H371" s="22"/>
      <c r="I371" s="4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.5" customHeight="1" thickBot="1">
      <c r="A372" s="12"/>
      <c r="B372" s="108"/>
      <c r="C372" s="107" t="s">
        <v>219</v>
      </c>
      <c r="D372" s="100" t="s">
        <v>18</v>
      </c>
      <c r="E372" s="17">
        <v>1581</v>
      </c>
      <c r="F372" s="18">
        <v>720</v>
      </c>
      <c r="G372" s="23"/>
      <c r="H372" s="22"/>
      <c r="I372" s="4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.5" customHeight="1" thickBot="1">
      <c r="A373" s="12"/>
      <c r="B373" s="108"/>
      <c r="C373" s="106"/>
      <c r="D373" s="100" t="s">
        <v>60</v>
      </c>
      <c r="E373" s="17">
        <v>1582</v>
      </c>
      <c r="F373" s="18">
        <v>0</v>
      </c>
      <c r="G373" s="23"/>
      <c r="H373" s="22"/>
      <c r="I373" s="4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.5" customHeight="1" thickBot="1">
      <c r="A374" s="12"/>
      <c r="B374" s="109" t="s">
        <v>314</v>
      </c>
      <c r="C374" s="107" t="s">
        <v>320</v>
      </c>
      <c r="D374" s="100" t="s">
        <v>18</v>
      </c>
      <c r="E374" s="17">
        <v>841</v>
      </c>
      <c r="F374" s="18">
        <v>720</v>
      </c>
      <c r="G374" s="23"/>
      <c r="H374" s="22"/>
      <c r="I374" s="4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.5" customHeight="1" thickBot="1">
      <c r="A375" s="12"/>
      <c r="B375" s="108"/>
      <c r="C375" s="106"/>
      <c r="D375" s="100" t="s">
        <v>321</v>
      </c>
      <c r="E375" s="17">
        <v>842</v>
      </c>
      <c r="F375" s="18">
        <v>191</v>
      </c>
      <c r="G375" s="23"/>
      <c r="H375" s="22"/>
      <c r="I375" s="4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.5" customHeight="1" thickBot="1">
      <c r="A376" s="12"/>
      <c r="B376" s="108"/>
      <c r="C376" s="106"/>
      <c r="D376" s="100" t="s">
        <v>259</v>
      </c>
      <c r="E376" s="17">
        <v>843</v>
      </c>
      <c r="F376" s="18">
        <v>286</v>
      </c>
      <c r="G376" s="23"/>
      <c r="H376" s="22"/>
      <c r="I376" s="4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.5" customHeight="1" thickBot="1">
      <c r="A377" s="12"/>
      <c r="B377" s="108"/>
      <c r="C377" s="106"/>
      <c r="D377" s="100" t="s">
        <v>14</v>
      </c>
      <c r="E377" s="17">
        <v>844</v>
      </c>
      <c r="F377" s="18">
        <v>509</v>
      </c>
      <c r="G377" s="23"/>
      <c r="H377" s="22"/>
      <c r="I377" s="4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.5" customHeight="1" thickBot="1">
      <c r="A378" s="12"/>
      <c r="B378" s="108"/>
      <c r="C378" s="106"/>
      <c r="D378" s="100" t="s">
        <v>82</v>
      </c>
      <c r="E378" s="17">
        <v>845</v>
      </c>
      <c r="F378" s="18">
        <v>414</v>
      </c>
      <c r="G378" s="23"/>
      <c r="H378" s="22"/>
      <c r="I378" s="4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.5" customHeight="1" thickBot="1">
      <c r="A379" s="12"/>
      <c r="B379" s="108"/>
      <c r="C379" s="106"/>
      <c r="D379" s="100" t="s">
        <v>22</v>
      </c>
      <c r="E379" s="17">
        <v>846</v>
      </c>
      <c r="F379" s="18">
        <v>764</v>
      </c>
      <c r="G379" s="23"/>
      <c r="H379" s="22"/>
      <c r="I379" s="4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.5" customHeight="1" thickBot="1">
      <c r="A380" s="12"/>
      <c r="B380" s="108"/>
      <c r="C380" s="106"/>
      <c r="D380" s="100" t="s">
        <v>212</v>
      </c>
      <c r="E380" s="17">
        <v>847</v>
      </c>
      <c r="F380" s="18">
        <v>286</v>
      </c>
      <c r="G380" s="23"/>
      <c r="H380" s="22"/>
      <c r="I380" s="4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.5" customHeight="1" thickBot="1">
      <c r="A381" s="12"/>
      <c r="B381" s="108"/>
      <c r="C381" s="106"/>
      <c r="D381" s="100" t="s">
        <v>60</v>
      </c>
      <c r="E381" s="17">
        <v>848</v>
      </c>
      <c r="F381" s="18">
        <v>286</v>
      </c>
      <c r="G381" s="23"/>
      <c r="H381" s="22"/>
      <c r="I381" s="4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.5" customHeight="1" thickBot="1">
      <c r="A382" s="12"/>
      <c r="B382" s="108"/>
      <c r="C382" s="106"/>
      <c r="D382" s="100" t="s">
        <v>61</v>
      </c>
      <c r="E382" s="17">
        <v>849</v>
      </c>
      <c r="F382" s="18">
        <v>286</v>
      </c>
      <c r="G382" s="23"/>
      <c r="H382" s="22"/>
      <c r="I382" s="4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.5" customHeight="1" thickBot="1">
      <c r="A383" s="12"/>
      <c r="B383" s="109" t="s">
        <v>322</v>
      </c>
      <c r="C383" s="107" t="s">
        <v>323</v>
      </c>
      <c r="D383" s="100" t="s">
        <v>18</v>
      </c>
      <c r="E383" s="17">
        <v>1509</v>
      </c>
      <c r="F383" s="18">
        <v>1495</v>
      </c>
      <c r="G383" s="23"/>
      <c r="H383" s="22"/>
      <c r="I383" s="4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.5" customHeight="1" thickBot="1">
      <c r="A384" s="12"/>
      <c r="B384" s="108"/>
      <c r="C384" s="106"/>
      <c r="D384" s="100" t="s">
        <v>26</v>
      </c>
      <c r="E384" s="17">
        <v>1510</v>
      </c>
      <c r="F384" s="18">
        <v>1095</v>
      </c>
      <c r="G384" s="23"/>
      <c r="H384" s="22"/>
      <c r="I384" s="4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27.5" customHeight="1" thickBot="1">
      <c r="A385" s="12"/>
      <c r="B385" s="108"/>
      <c r="C385" s="106"/>
      <c r="D385" s="100" t="s">
        <v>18</v>
      </c>
      <c r="E385" s="17">
        <v>1538</v>
      </c>
      <c r="F385" s="18">
        <v>1495</v>
      </c>
      <c r="G385" s="23"/>
      <c r="H385" s="22"/>
      <c r="I385" s="4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.5" customHeight="1" thickBot="1">
      <c r="A386" s="127"/>
      <c r="B386" s="128"/>
      <c r="C386" s="128"/>
      <c r="D386" s="128"/>
      <c r="E386" s="128"/>
      <c r="F386" s="128"/>
      <c r="G386" s="129"/>
      <c r="H386" s="22"/>
      <c r="I386" s="4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.5" customHeight="1" thickBot="1">
      <c r="A387" s="12"/>
      <c r="B387" s="108"/>
      <c r="C387" s="106"/>
      <c r="D387" s="100" t="s">
        <v>20</v>
      </c>
      <c r="E387" s="17">
        <v>1540</v>
      </c>
      <c r="F387" s="18">
        <v>1495</v>
      </c>
      <c r="G387" s="23"/>
      <c r="H387" s="22"/>
      <c r="I387" s="4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.5" customHeight="1" thickBot="1">
      <c r="A388" s="12"/>
      <c r="B388" s="108"/>
      <c r="C388" s="106"/>
      <c r="D388" s="100" t="s">
        <v>14</v>
      </c>
      <c r="E388" s="17">
        <v>1543</v>
      </c>
      <c r="F388" s="18">
        <v>995</v>
      </c>
      <c r="G388" s="23"/>
      <c r="H388" s="22"/>
      <c r="I388" s="4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.5" customHeight="1" thickBot="1">
      <c r="A389" s="12"/>
      <c r="B389" s="108"/>
      <c r="C389" s="106"/>
      <c r="D389" s="100" t="s">
        <v>60</v>
      </c>
      <c r="E389" s="17">
        <v>1537</v>
      </c>
      <c r="F389" s="18">
        <v>895</v>
      </c>
      <c r="G389" s="23"/>
      <c r="H389" s="22"/>
      <c r="I389" s="4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.5" customHeight="1" thickBot="1">
      <c r="A390" s="12"/>
      <c r="B390" s="108"/>
      <c r="C390" s="106"/>
      <c r="D390" s="100" t="s">
        <v>325</v>
      </c>
      <c r="E390" s="17">
        <v>1539</v>
      </c>
      <c r="F390" s="18">
        <v>795</v>
      </c>
      <c r="G390" s="23"/>
      <c r="H390" s="22"/>
      <c r="I390" s="4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.5" customHeight="1" thickBot="1">
      <c r="A391" s="12"/>
      <c r="B391" s="108"/>
      <c r="C391" s="106"/>
      <c r="D391" s="100" t="s">
        <v>326</v>
      </c>
      <c r="E391" s="17">
        <v>1541</v>
      </c>
      <c r="F391" s="18">
        <v>1095</v>
      </c>
      <c r="G391" s="23"/>
      <c r="H391" s="22"/>
      <c r="I391" s="4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.5" customHeight="1" thickBot="1">
      <c r="A392" s="12"/>
      <c r="B392" s="108"/>
      <c r="C392" s="106"/>
      <c r="D392" s="100" t="s">
        <v>327</v>
      </c>
      <c r="E392" s="17">
        <v>1542</v>
      </c>
      <c r="F392" s="18">
        <v>1095</v>
      </c>
      <c r="G392" s="23"/>
      <c r="H392" s="22"/>
      <c r="I392" s="4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thickBot="1">
      <c r="A393" s="136"/>
      <c r="B393" s="143"/>
      <c r="C393" s="144"/>
      <c r="D393" s="139" t="s">
        <v>60</v>
      </c>
      <c r="E393" s="140">
        <v>1512</v>
      </c>
      <c r="F393" s="141">
        <v>895</v>
      </c>
      <c r="G393" s="148"/>
      <c r="H393" s="22"/>
      <c r="I393" s="4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.5" customHeight="1" thickBot="1">
      <c r="A394" s="105" t="s">
        <v>328</v>
      </c>
      <c r="G394" s="123"/>
      <c r="H394" s="4"/>
      <c r="I394" s="4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.5" customHeight="1" thickBot="1">
      <c r="A395" s="12"/>
      <c r="B395" s="109" t="s">
        <v>329</v>
      </c>
      <c r="C395" s="107" t="s">
        <v>330</v>
      </c>
      <c r="D395" s="100" t="s">
        <v>18</v>
      </c>
      <c r="E395" s="17">
        <v>371</v>
      </c>
      <c r="F395" s="18">
        <v>720</v>
      </c>
      <c r="G395" s="23"/>
      <c r="H395" s="22"/>
      <c r="I395" s="4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.5" customHeight="1" thickBot="1">
      <c r="A396" s="12"/>
      <c r="B396" s="108"/>
      <c r="C396" s="107" t="s">
        <v>331</v>
      </c>
      <c r="D396" s="100" t="s">
        <v>29</v>
      </c>
      <c r="E396" s="17">
        <v>372</v>
      </c>
      <c r="F396" s="18">
        <v>1295</v>
      </c>
      <c r="G396" s="23"/>
      <c r="H396" s="22"/>
      <c r="I396" s="4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.5" customHeight="1" thickBot="1">
      <c r="A397" s="12"/>
      <c r="B397" s="108"/>
      <c r="C397" s="106"/>
      <c r="D397" s="100" t="s">
        <v>14</v>
      </c>
      <c r="E397" s="17">
        <v>373</v>
      </c>
      <c r="F397" s="18">
        <v>995</v>
      </c>
      <c r="G397" s="23"/>
      <c r="H397" s="22"/>
      <c r="I397" s="4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.5" customHeight="1" thickBot="1">
      <c r="A398" s="12"/>
      <c r="B398" s="108"/>
      <c r="C398" s="106"/>
      <c r="D398" s="100" t="s">
        <v>22</v>
      </c>
      <c r="E398" s="17">
        <v>374</v>
      </c>
      <c r="F398" s="18">
        <v>895</v>
      </c>
      <c r="G398" s="23"/>
      <c r="H398" s="22"/>
      <c r="I398" s="4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.5" customHeight="1" thickBot="1">
      <c r="A399" s="12"/>
      <c r="B399" s="108"/>
      <c r="C399" s="106"/>
      <c r="D399" s="100" t="s">
        <v>332</v>
      </c>
      <c r="E399" s="13"/>
      <c r="F399" s="18">
        <v>695</v>
      </c>
      <c r="G399" s="23"/>
      <c r="H399" s="22"/>
      <c r="I399" s="4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.5" customHeight="1" thickBot="1">
      <c r="A400" s="12"/>
      <c r="B400" s="108"/>
      <c r="C400" s="106"/>
      <c r="D400" s="100" t="s">
        <v>333</v>
      </c>
      <c r="E400" s="13"/>
      <c r="F400" s="18">
        <v>695</v>
      </c>
      <c r="G400" s="23"/>
      <c r="H400" s="22"/>
      <c r="I400" s="4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.5" customHeight="1" thickBot="1">
      <c r="A401" s="12"/>
      <c r="B401" s="108"/>
      <c r="C401" s="107" t="s">
        <v>334</v>
      </c>
      <c r="D401" s="100" t="s">
        <v>18</v>
      </c>
      <c r="E401" s="17">
        <v>375</v>
      </c>
      <c r="F401" s="18">
        <v>720</v>
      </c>
      <c r="G401" s="23"/>
      <c r="H401" s="22"/>
      <c r="I401" s="4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.5" customHeight="1" thickBot="1">
      <c r="A402" s="12"/>
      <c r="B402" s="108"/>
      <c r="C402" s="107" t="s">
        <v>331</v>
      </c>
      <c r="D402" s="100" t="s">
        <v>29</v>
      </c>
      <c r="E402" s="17">
        <v>376</v>
      </c>
      <c r="F402" s="18">
        <v>1195</v>
      </c>
      <c r="G402" s="23"/>
      <c r="H402" s="22"/>
      <c r="I402" s="4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.5" customHeight="1" thickBot="1">
      <c r="A403" s="12"/>
      <c r="B403" s="108"/>
      <c r="C403" s="106"/>
      <c r="D403" s="100" t="s">
        <v>14</v>
      </c>
      <c r="E403" s="17">
        <v>377</v>
      </c>
      <c r="F403" s="18">
        <v>895</v>
      </c>
      <c r="G403" s="23"/>
      <c r="H403" s="22"/>
      <c r="I403" s="4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.5" customHeight="1" thickBot="1">
      <c r="A404" s="12"/>
      <c r="B404" s="108"/>
      <c r="C404" s="106"/>
      <c r="D404" s="100" t="s">
        <v>22</v>
      </c>
      <c r="E404" s="17">
        <v>378</v>
      </c>
      <c r="F404" s="18">
        <v>795</v>
      </c>
      <c r="G404" s="23"/>
      <c r="H404" s="22"/>
      <c r="I404" s="4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.5" customHeight="1" thickBot="1">
      <c r="A405" s="12"/>
      <c r="B405" s="108"/>
      <c r="C405" s="107" t="s">
        <v>335</v>
      </c>
      <c r="D405" s="100" t="s">
        <v>22</v>
      </c>
      <c r="E405" s="17">
        <v>379</v>
      </c>
      <c r="F405" s="18">
        <v>895</v>
      </c>
      <c r="G405" s="23"/>
      <c r="H405" s="22"/>
      <c r="I405" s="4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30.5" customHeight="1" thickBot="1">
      <c r="A406" s="12"/>
      <c r="B406" s="108"/>
      <c r="C406" s="106"/>
      <c r="D406" s="100" t="s">
        <v>124</v>
      </c>
      <c r="E406" s="13"/>
      <c r="F406" s="18">
        <v>695</v>
      </c>
      <c r="G406" s="23"/>
      <c r="H406" s="22"/>
      <c r="I406" s="4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.5" customHeight="1" thickBot="1">
      <c r="A407" s="12"/>
      <c r="B407" s="108"/>
      <c r="C407" s="107" t="s">
        <v>336</v>
      </c>
      <c r="D407" s="100" t="s">
        <v>18</v>
      </c>
      <c r="E407" s="17">
        <v>380</v>
      </c>
      <c r="F407" s="18">
        <v>720</v>
      </c>
      <c r="G407" s="23"/>
      <c r="H407" s="22"/>
      <c r="I407" s="4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.5" customHeight="1" thickBot="1">
      <c r="A408" s="12"/>
      <c r="B408" s="108"/>
      <c r="C408" s="107" t="s">
        <v>331</v>
      </c>
      <c r="D408" s="100" t="s">
        <v>29</v>
      </c>
      <c r="E408" s="17">
        <v>381</v>
      </c>
      <c r="F408" s="18">
        <v>1195</v>
      </c>
      <c r="G408" s="23"/>
      <c r="H408" s="22"/>
      <c r="I408" s="4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.5" customHeight="1" thickBot="1">
      <c r="A409" s="12"/>
      <c r="B409" s="108"/>
      <c r="C409" s="106"/>
      <c r="D409" s="100" t="s">
        <v>14</v>
      </c>
      <c r="E409" s="17">
        <v>382</v>
      </c>
      <c r="F409" s="18">
        <v>895</v>
      </c>
      <c r="G409" s="23"/>
      <c r="H409" s="22"/>
      <c r="I409" s="4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.5" customHeight="1" thickBot="1">
      <c r="A410" s="12"/>
      <c r="B410" s="108"/>
      <c r="C410" s="106"/>
      <c r="D410" s="100" t="s">
        <v>22</v>
      </c>
      <c r="E410" s="17">
        <v>383</v>
      </c>
      <c r="F410" s="18">
        <v>795</v>
      </c>
      <c r="G410" s="23"/>
      <c r="H410" s="22"/>
      <c r="I410" s="4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.5" customHeight="1" thickBot="1">
      <c r="A411" s="12"/>
      <c r="B411" s="108"/>
      <c r="C411" s="107" t="s">
        <v>337</v>
      </c>
      <c r="D411" s="100" t="s">
        <v>18</v>
      </c>
      <c r="E411" s="17">
        <v>795</v>
      </c>
      <c r="F411" s="18">
        <v>720</v>
      </c>
      <c r="G411" s="23"/>
      <c r="H411" s="22"/>
      <c r="I411" s="4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.5" customHeight="1" thickBot="1">
      <c r="A412" s="12"/>
      <c r="B412" s="108"/>
      <c r="C412" s="107" t="s">
        <v>70</v>
      </c>
      <c r="D412" s="100" t="s">
        <v>20</v>
      </c>
      <c r="E412" s="17">
        <v>796</v>
      </c>
      <c r="F412" s="18">
        <v>720</v>
      </c>
      <c r="G412" s="23"/>
      <c r="H412" s="22"/>
      <c r="I412" s="4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.5" customHeight="1" thickBot="1">
      <c r="A413" s="12"/>
      <c r="B413" s="108"/>
      <c r="C413" s="106"/>
      <c r="D413" s="100" t="s">
        <v>14</v>
      </c>
      <c r="E413" s="17">
        <v>797</v>
      </c>
      <c r="F413" s="18">
        <v>895</v>
      </c>
      <c r="G413" s="23"/>
      <c r="H413" s="22"/>
      <c r="I413" s="4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8.75" customHeight="1" thickBot="1">
      <c r="A414" s="12"/>
      <c r="B414" s="108"/>
      <c r="C414" s="106"/>
      <c r="D414" s="100" t="s">
        <v>55</v>
      </c>
      <c r="E414" s="17">
        <v>798</v>
      </c>
      <c r="F414" s="18">
        <v>795</v>
      </c>
      <c r="G414" s="23"/>
      <c r="H414" s="22"/>
      <c r="I414" s="4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.5" customHeight="1" thickBot="1">
      <c r="A415" s="12"/>
      <c r="B415" s="108"/>
      <c r="C415" s="107" t="s">
        <v>338</v>
      </c>
      <c r="D415" s="100" t="s">
        <v>18</v>
      </c>
      <c r="E415" s="17">
        <v>899</v>
      </c>
      <c r="F415" s="18">
        <v>955</v>
      </c>
      <c r="G415" s="23"/>
      <c r="H415" s="22"/>
      <c r="I415" s="4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.5" customHeight="1" thickBot="1">
      <c r="A416" s="12"/>
      <c r="B416" s="108"/>
      <c r="C416" s="107" t="s">
        <v>287</v>
      </c>
      <c r="D416" s="100" t="s">
        <v>339</v>
      </c>
      <c r="E416" s="17">
        <v>900</v>
      </c>
      <c r="F416" s="18">
        <v>1095</v>
      </c>
      <c r="G416" s="23"/>
      <c r="H416" s="22"/>
      <c r="I416" s="4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.5" customHeight="1" thickBot="1">
      <c r="A417" s="12"/>
      <c r="B417" s="108"/>
      <c r="C417" s="106"/>
      <c r="D417" s="100" t="s">
        <v>60</v>
      </c>
      <c r="E417" s="17">
        <v>901</v>
      </c>
      <c r="F417" s="18">
        <v>1145</v>
      </c>
      <c r="G417" s="23"/>
      <c r="H417" s="22"/>
      <c r="I417" s="4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.5" customHeight="1" thickBot="1">
      <c r="A418" s="12"/>
      <c r="B418" s="108"/>
      <c r="C418" s="106"/>
      <c r="D418" s="100" t="s">
        <v>26</v>
      </c>
      <c r="E418" s="17">
        <v>902</v>
      </c>
      <c r="F418" s="18">
        <v>1095</v>
      </c>
      <c r="G418" s="23"/>
      <c r="H418" s="22"/>
      <c r="I418" s="4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.5" customHeight="1" thickBot="1">
      <c r="A419" s="12"/>
      <c r="B419" s="108"/>
      <c r="C419" s="106"/>
      <c r="D419" s="100" t="s">
        <v>61</v>
      </c>
      <c r="E419" s="17">
        <v>903</v>
      </c>
      <c r="F419" s="18">
        <v>1591</v>
      </c>
      <c r="G419" s="23"/>
      <c r="H419" s="22"/>
      <c r="I419" s="4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.5" customHeight="1" thickBot="1">
      <c r="A420" s="12"/>
      <c r="B420" s="108"/>
      <c r="C420" s="106"/>
      <c r="D420" s="100" t="s">
        <v>29</v>
      </c>
      <c r="E420" s="17">
        <v>904</v>
      </c>
      <c r="F420" s="18">
        <v>1395</v>
      </c>
      <c r="G420" s="23"/>
      <c r="H420" s="22"/>
      <c r="I420" s="4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.5" customHeight="1" thickBot="1">
      <c r="A421" s="12"/>
      <c r="B421" s="108"/>
      <c r="C421" s="106"/>
      <c r="D421" s="100" t="s">
        <v>340</v>
      </c>
      <c r="E421" s="17">
        <v>905</v>
      </c>
      <c r="F421" s="18">
        <v>995</v>
      </c>
      <c r="G421" s="23"/>
      <c r="H421" s="22"/>
      <c r="I421" s="4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.5" customHeight="1" thickBot="1">
      <c r="A422" s="12"/>
      <c r="B422" s="108"/>
      <c r="C422" s="106"/>
      <c r="D422" s="100" t="s">
        <v>14</v>
      </c>
      <c r="E422" s="17">
        <v>906</v>
      </c>
      <c r="F422" s="18">
        <v>1095</v>
      </c>
      <c r="G422" s="23"/>
      <c r="H422" s="22"/>
      <c r="I422" s="4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.5" customHeight="1" thickBot="1">
      <c r="A423" s="12"/>
      <c r="B423" s="108"/>
      <c r="C423" s="106"/>
      <c r="D423" s="100" t="s">
        <v>20</v>
      </c>
      <c r="E423" s="17">
        <v>907</v>
      </c>
      <c r="F423" s="18">
        <v>1495</v>
      </c>
      <c r="G423" s="23"/>
      <c r="H423" s="22"/>
      <c r="I423" s="4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.5" customHeight="1" thickBot="1">
      <c r="A424" s="12"/>
      <c r="B424" s="108"/>
      <c r="C424" s="106"/>
      <c r="D424" s="100" t="s">
        <v>321</v>
      </c>
      <c r="E424" s="17">
        <v>908</v>
      </c>
      <c r="F424" s="18">
        <v>509</v>
      </c>
      <c r="G424" s="23"/>
      <c r="H424" s="22"/>
      <c r="I424" s="4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.5" customHeight="1" thickBot="1">
      <c r="A425" s="12"/>
      <c r="B425" s="108"/>
      <c r="C425" s="106"/>
      <c r="D425" s="100" t="s">
        <v>321</v>
      </c>
      <c r="E425" s="17">
        <v>909</v>
      </c>
      <c r="F425" s="18">
        <v>573</v>
      </c>
      <c r="G425" s="23"/>
      <c r="H425" s="22"/>
      <c r="I425" s="4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.5" customHeight="1" thickBot="1">
      <c r="A426" s="12"/>
      <c r="B426" s="108"/>
      <c r="C426" s="106"/>
      <c r="D426" s="100" t="s">
        <v>124</v>
      </c>
      <c r="E426" s="17">
        <v>910</v>
      </c>
      <c r="F426" s="18">
        <v>695</v>
      </c>
      <c r="G426" s="23"/>
      <c r="H426" s="22"/>
      <c r="I426" s="4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.5" customHeight="1" thickBot="1">
      <c r="A427" s="12"/>
      <c r="B427" s="108"/>
      <c r="C427" s="106"/>
      <c r="D427" s="100" t="s">
        <v>65</v>
      </c>
      <c r="E427" s="17">
        <v>911</v>
      </c>
      <c r="F427" s="18">
        <v>1295</v>
      </c>
      <c r="G427" s="23"/>
      <c r="H427" s="22"/>
      <c r="I427" s="4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.5" customHeight="1" thickBot="1">
      <c r="A428" s="12"/>
      <c r="B428" s="108"/>
      <c r="C428" s="106"/>
      <c r="D428" s="100" t="s">
        <v>212</v>
      </c>
      <c r="E428" s="17">
        <v>912</v>
      </c>
      <c r="F428" s="18">
        <v>1195</v>
      </c>
      <c r="G428" s="23"/>
      <c r="H428" s="22"/>
      <c r="I428" s="4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.5" customHeight="1" thickBot="1">
      <c r="A429" s="12"/>
      <c r="B429" s="108"/>
      <c r="C429" s="106"/>
      <c r="D429" s="100" t="s">
        <v>33</v>
      </c>
      <c r="E429" s="17">
        <v>913</v>
      </c>
      <c r="F429" s="18">
        <v>1095</v>
      </c>
      <c r="G429" s="23"/>
      <c r="H429" s="22"/>
      <c r="I429" s="4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.5" customHeight="1" thickBot="1">
      <c r="A430" s="12"/>
      <c r="B430" s="108"/>
      <c r="C430" s="106"/>
      <c r="D430" s="100" t="s">
        <v>201</v>
      </c>
      <c r="E430" s="17">
        <v>914</v>
      </c>
      <c r="F430" s="18">
        <v>95</v>
      </c>
      <c r="G430" s="23"/>
      <c r="H430" s="22"/>
      <c r="I430" s="4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.5" customHeight="1" thickBot="1">
      <c r="A431" s="12"/>
      <c r="B431" s="109" t="s">
        <v>341</v>
      </c>
      <c r="C431" s="106"/>
      <c r="D431" s="100" t="s">
        <v>342</v>
      </c>
      <c r="E431" s="17">
        <v>3413</v>
      </c>
      <c r="F431" s="18">
        <v>595</v>
      </c>
      <c r="G431" s="23"/>
      <c r="H431" s="22"/>
      <c r="I431" s="4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.5" customHeight="1" thickBot="1">
      <c r="A432" s="12"/>
      <c r="B432" s="108"/>
      <c r="C432" s="106"/>
      <c r="D432" s="100" t="s">
        <v>53</v>
      </c>
      <c r="E432" s="17">
        <v>3414</v>
      </c>
      <c r="F432" s="18">
        <v>795</v>
      </c>
      <c r="G432" s="23"/>
      <c r="H432" s="22"/>
      <c r="I432" s="4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.5" customHeight="1" thickBot="1">
      <c r="A433" s="12"/>
      <c r="B433" s="109" t="s">
        <v>329</v>
      </c>
      <c r="C433" s="107" t="s">
        <v>229</v>
      </c>
      <c r="D433" s="100" t="s">
        <v>18</v>
      </c>
      <c r="E433" s="17">
        <v>1213</v>
      </c>
      <c r="F433" s="18">
        <v>720</v>
      </c>
      <c r="G433" s="23"/>
      <c r="H433" s="22"/>
      <c r="I433" s="4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.5" customHeight="1" thickBot="1">
      <c r="A434" s="12"/>
      <c r="B434" s="108"/>
      <c r="C434" s="107" t="s">
        <v>70</v>
      </c>
      <c r="D434" s="100" t="s">
        <v>20</v>
      </c>
      <c r="E434" s="17">
        <v>1214</v>
      </c>
      <c r="F434" s="18">
        <v>720</v>
      </c>
      <c r="G434" s="23"/>
      <c r="H434" s="22"/>
      <c r="I434" s="4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.5" customHeight="1" thickBot="1">
      <c r="A435" s="12"/>
      <c r="B435" s="108"/>
      <c r="C435" s="106"/>
      <c r="D435" s="100" t="s">
        <v>14</v>
      </c>
      <c r="E435" s="17">
        <v>1215</v>
      </c>
      <c r="F435" s="18">
        <v>509</v>
      </c>
      <c r="G435" s="23"/>
      <c r="H435" s="22"/>
      <c r="I435" s="4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.5" customHeight="1" thickBot="1">
      <c r="A436" s="12"/>
      <c r="B436" s="109" t="s">
        <v>329</v>
      </c>
      <c r="C436" s="107" t="s">
        <v>343</v>
      </c>
      <c r="D436" s="100" t="s">
        <v>18</v>
      </c>
      <c r="E436" s="17">
        <v>1225</v>
      </c>
      <c r="F436" s="18">
        <v>720</v>
      </c>
      <c r="G436" s="23"/>
      <c r="H436" s="22"/>
      <c r="I436" s="4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.5" customHeight="1" thickBot="1">
      <c r="A437" s="12"/>
      <c r="B437" s="108"/>
      <c r="C437" s="107" t="s">
        <v>344</v>
      </c>
      <c r="D437" s="100" t="s">
        <v>20</v>
      </c>
      <c r="E437" s="17">
        <v>1226</v>
      </c>
      <c r="F437" s="18">
        <v>720</v>
      </c>
      <c r="G437" s="23"/>
      <c r="H437" s="22"/>
      <c r="I437" s="4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.5" customHeight="1" thickBot="1">
      <c r="A438" s="12"/>
      <c r="B438" s="108"/>
      <c r="C438" s="106"/>
      <c r="D438" s="100" t="s">
        <v>14</v>
      </c>
      <c r="E438" s="17">
        <v>1227</v>
      </c>
      <c r="F438" s="18">
        <v>573</v>
      </c>
      <c r="G438" s="23"/>
      <c r="H438" s="22"/>
      <c r="I438" s="4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.5" customHeight="1" thickBot="1">
      <c r="A439" s="12"/>
      <c r="B439" s="109" t="s">
        <v>329</v>
      </c>
      <c r="C439" s="107" t="s">
        <v>330</v>
      </c>
      <c r="D439" s="100" t="s">
        <v>18</v>
      </c>
      <c r="E439" s="17">
        <v>1544</v>
      </c>
      <c r="F439" s="18">
        <v>720</v>
      </c>
      <c r="G439" s="23"/>
      <c r="H439" s="22"/>
      <c r="I439" s="4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8.75" customHeight="1" thickBot="1">
      <c r="A440" s="12"/>
      <c r="B440" s="108"/>
      <c r="C440" s="107" t="s">
        <v>345</v>
      </c>
      <c r="D440" s="100" t="s">
        <v>18</v>
      </c>
      <c r="E440" s="17">
        <v>1545</v>
      </c>
      <c r="F440" s="18">
        <v>720</v>
      </c>
      <c r="G440" s="23"/>
      <c r="H440" s="22"/>
      <c r="I440" s="4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.5" customHeight="1" thickBot="1">
      <c r="A441" s="12"/>
      <c r="B441" s="108"/>
      <c r="C441" s="106"/>
      <c r="D441" s="100" t="s">
        <v>26</v>
      </c>
      <c r="E441" s="17">
        <v>1546</v>
      </c>
      <c r="F441" s="18">
        <v>1060</v>
      </c>
      <c r="G441" s="23"/>
      <c r="H441" s="22"/>
      <c r="I441" s="4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.5" customHeight="1" thickBot="1">
      <c r="A442" s="12"/>
      <c r="B442" s="108"/>
      <c r="C442" s="106"/>
      <c r="D442" s="100" t="s">
        <v>14</v>
      </c>
      <c r="E442" s="17">
        <v>1547</v>
      </c>
      <c r="F442" s="18">
        <v>445</v>
      </c>
      <c r="G442" s="23"/>
      <c r="H442" s="22"/>
      <c r="I442" s="4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.5" customHeight="1" thickBot="1">
      <c r="A443" s="12"/>
      <c r="B443" s="108"/>
      <c r="C443" s="106"/>
      <c r="D443" s="100" t="s">
        <v>60</v>
      </c>
      <c r="E443" s="17">
        <v>1548</v>
      </c>
      <c r="F443" s="18">
        <v>1400</v>
      </c>
      <c r="G443" s="23"/>
      <c r="H443" s="22"/>
      <c r="I443" s="4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30.5" customHeight="1" thickBot="1">
      <c r="A444" s="12"/>
      <c r="B444" s="108"/>
      <c r="C444" s="106"/>
      <c r="D444" s="100" t="s">
        <v>61</v>
      </c>
      <c r="E444" s="17">
        <v>1549</v>
      </c>
      <c r="F444" s="18">
        <v>1273</v>
      </c>
      <c r="G444" s="23"/>
      <c r="H444" s="22"/>
      <c r="I444" s="4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.5" customHeight="1" thickBot="1">
      <c r="A445" s="12"/>
      <c r="B445" s="108"/>
      <c r="C445" s="106"/>
      <c r="D445" s="100" t="s">
        <v>346</v>
      </c>
      <c r="E445" s="17">
        <v>1550</v>
      </c>
      <c r="F445" s="18">
        <v>1195</v>
      </c>
      <c r="G445" s="23"/>
      <c r="H445" s="22"/>
      <c r="I445" s="4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.5" customHeight="1" thickBot="1">
      <c r="A446" s="12"/>
      <c r="B446" s="108"/>
      <c r="C446" s="106"/>
      <c r="D446" s="100" t="s">
        <v>347</v>
      </c>
      <c r="E446" s="17">
        <v>1551</v>
      </c>
      <c r="F446" s="18">
        <v>1295</v>
      </c>
      <c r="G446" s="23"/>
      <c r="H446" s="22"/>
      <c r="I446" s="4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.5" customHeight="1" thickBot="1">
      <c r="A447" s="12"/>
      <c r="B447" s="109" t="s">
        <v>329</v>
      </c>
      <c r="C447" s="107" t="s">
        <v>348</v>
      </c>
      <c r="D447" s="100" t="s">
        <v>18</v>
      </c>
      <c r="E447" s="17">
        <v>2280</v>
      </c>
      <c r="F447" s="18">
        <v>720</v>
      </c>
      <c r="G447" s="23"/>
      <c r="H447" s="22"/>
      <c r="I447" s="4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.5" customHeight="1" thickBot="1">
      <c r="A448" s="12"/>
      <c r="B448" s="108"/>
      <c r="C448" s="107" t="s">
        <v>287</v>
      </c>
      <c r="D448" s="100" t="s">
        <v>26</v>
      </c>
      <c r="E448" s="17">
        <v>2281</v>
      </c>
      <c r="F448" s="18">
        <v>995</v>
      </c>
      <c r="G448" s="23"/>
      <c r="H448" s="22"/>
      <c r="I448" s="4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.5" customHeight="1" thickBot="1">
      <c r="A449" s="12"/>
      <c r="B449" s="108"/>
      <c r="C449" s="106"/>
      <c r="D449" s="100" t="s">
        <v>14</v>
      </c>
      <c r="E449" s="17">
        <v>2282</v>
      </c>
      <c r="F449" s="18">
        <v>764</v>
      </c>
      <c r="G449" s="23"/>
      <c r="H449" s="22"/>
      <c r="I449" s="4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.5" customHeight="1" thickBot="1">
      <c r="A450" s="12"/>
      <c r="B450" s="108"/>
      <c r="C450" s="106"/>
      <c r="D450" s="100" t="s">
        <v>22</v>
      </c>
      <c r="E450" s="17">
        <v>2283</v>
      </c>
      <c r="F450" s="18">
        <v>795</v>
      </c>
      <c r="G450" s="23"/>
      <c r="H450" s="22"/>
      <c r="I450" s="4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.5" customHeight="1" thickBot="1">
      <c r="A451" s="12"/>
      <c r="B451" s="108"/>
      <c r="C451" s="106"/>
      <c r="D451" s="100" t="s">
        <v>60</v>
      </c>
      <c r="E451" s="17">
        <v>2284</v>
      </c>
      <c r="F451" s="18">
        <v>955</v>
      </c>
      <c r="G451" s="23"/>
      <c r="H451" s="22"/>
      <c r="I451" s="4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30.5" customHeight="1" thickBot="1">
      <c r="A452" s="12"/>
      <c r="B452" s="108"/>
      <c r="C452" s="106"/>
      <c r="D452" s="100" t="s">
        <v>61</v>
      </c>
      <c r="E452" s="17">
        <v>2285</v>
      </c>
      <c r="F452" s="18">
        <v>827</v>
      </c>
      <c r="G452" s="23"/>
      <c r="H452" s="22"/>
      <c r="I452" s="4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43.5" customHeight="1" thickBot="1">
      <c r="A453" s="12"/>
      <c r="B453" s="109" t="s">
        <v>329</v>
      </c>
      <c r="C453" s="107" t="s">
        <v>349</v>
      </c>
      <c r="D453" s="100"/>
      <c r="E453" s="17">
        <v>3420</v>
      </c>
      <c r="F453" s="18">
        <v>950</v>
      </c>
      <c r="G453" s="23"/>
      <c r="H453" s="22"/>
      <c r="I453" s="4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38.5" customHeight="1" thickBot="1">
      <c r="A454" s="12"/>
      <c r="B454" s="109" t="s">
        <v>329</v>
      </c>
      <c r="C454" s="107" t="s">
        <v>330</v>
      </c>
      <c r="D454" s="100" t="s">
        <v>350</v>
      </c>
      <c r="E454" s="17" t="s">
        <v>350</v>
      </c>
      <c r="F454" s="18">
        <v>3495</v>
      </c>
      <c r="G454" s="23"/>
      <c r="H454" s="22"/>
      <c r="I454" s="4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39.5" customHeight="1" thickBot="1">
      <c r="A455" s="12"/>
      <c r="B455" s="109" t="s">
        <v>329</v>
      </c>
      <c r="C455" s="107" t="s">
        <v>330</v>
      </c>
      <c r="D455" s="100" t="s">
        <v>351</v>
      </c>
      <c r="E455" s="17" t="s">
        <v>351</v>
      </c>
      <c r="F455" s="18">
        <v>7495</v>
      </c>
      <c r="G455" s="23"/>
      <c r="H455" s="22"/>
      <c r="I455" s="4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53" customHeight="1" thickBot="1">
      <c r="A456" s="12"/>
      <c r="B456" s="109" t="s">
        <v>329</v>
      </c>
      <c r="C456" s="107" t="s">
        <v>343</v>
      </c>
      <c r="D456" s="100" t="s">
        <v>352</v>
      </c>
      <c r="E456" s="17" t="s">
        <v>352</v>
      </c>
      <c r="F456" s="18">
        <v>3295</v>
      </c>
      <c r="G456" s="23"/>
      <c r="H456" s="22"/>
      <c r="I456" s="4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43.5" customHeight="1" thickBot="1">
      <c r="A457" s="12"/>
      <c r="B457" s="109" t="s">
        <v>329</v>
      </c>
      <c r="C457" s="107" t="s">
        <v>337</v>
      </c>
      <c r="D457" s="100" t="s">
        <v>353</v>
      </c>
      <c r="E457" s="17" t="s">
        <v>353</v>
      </c>
      <c r="F457" s="18">
        <v>3495</v>
      </c>
      <c r="G457" s="23"/>
      <c r="H457" s="22"/>
      <c r="I457" s="4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92.5" customHeight="1" thickBot="1">
      <c r="A458" s="12"/>
      <c r="B458" s="109" t="s">
        <v>329</v>
      </c>
      <c r="C458" s="107" t="s">
        <v>229</v>
      </c>
      <c r="D458" s="100" t="s">
        <v>354</v>
      </c>
      <c r="E458" s="17" t="s">
        <v>354</v>
      </c>
      <c r="F458" s="18">
        <v>3195</v>
      </c>
      <c r="G458" s="23"/>
      <c r="H458" s="22"/>
      <c r="I458" s="4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50" customHeight="1" thickBot="1">
      <c r="A459" s="12"/>
      <c r="B459" s="109" t="s">
        <v>329</v>
      </c>
      <c r="C459" s="107" t="s">
        <v>338</v>
      </c>
      <c r="D459" s="100" t="s">
        <v>355</v>
      </c>
      <c r="E459" s="17" t="s">
        <v>355</v>
      </c>
      <c r="F459" s="18">
        <v>9500</v>
      </c>
      <c r="G459" s="23"/>
      <c r="H459" s="22"/>
      <c r="I459" s="4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42" customHeight="1" thickBot="1">
      <c r="A460" s="12"/>
      <c r="B460" s="109" t="s">
        <v>356</v>
      </c>
      <c r="C460" s="107" t="s">
        <v>334</v>
      </c>
      <c r="D460" s="100" t="s">
        <v>357</v>
      </c>
      <c r="E460" s="17" t="s">
        <v>357</v>
      </c>
      <c r="F460" s="18">
        <v>2995</v>
      </c>
      <c r="G460" s="23"/>
      <c r="H460" s="22"/>
      <c r="I460" s="4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41.5" customHeight="1" thickBot="1">
      <c r="A461" s="12"/>
      <c r="B461" s="109" t="s">
        <v>356</v>
      </c>
      <c r="C461" s="107" t="s">
        <v>358</v>
      </c>
      <c r="D461" s="100" t="s">
        <v>359</v>
      </c>
      <c r="E461" s="17" t="s">
        <v>359</v>
      </c>
      <c r="F461" s="18">
        <v>3495</v>
      </c>
      <c r="G461" s="23"/>
      <c r="H461" s="22"/>
      <c r="I461" s="4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30" customHeight="1" thickBot="1">
      <c r="A462" s="12"/>
      <c r="B462" s="109" t="s">
        <v>356</v>
      </c>
      <c r="C462" s="107" t="s">
        <v>297</v>
      </c>
      <c r="D462" s="100" t="s">
        <v>360</v>
      </c>
      <c r="E462" s="17" t="s">
        <v>360</v>
      </c>
      <c r="F462" s="18">
        <v>3295</v>
      </c>
      <c r="G462" s="23"/>
      <c r="H462" s="22"/>
      <c r="I462" s="4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42.5" customHeight="1" thickBot="1">
      <c r="A463" s="12"/>
      <c r="B463" s="109" t="s">
        <v>356</v>
      </c>
      <c r="C463" s="107" t="s">
        <v>361</v>
      </c>
      <c r="D463" s="100" t="s">
        <v>362</v>
      </c>
      <c r="E463" s="17" t="s">
        <v>362</v>
      </c>
      <c r="F463" s="18">
        <v>2495</v>
      </c>
      <c r="G463" s="23"/>
      <c r="H463" s="22"/>
      <c r="I463" s="4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53.5" customHeight="1" thickBot="1">
      <c r="A464" s="12"/>
      <c r="B464" s="109" t="s">
        <v>356</v>
      </c>
      <c r="C464" s="107" t="s">
        <v>363</v>
      </c>
      <c r="D464" s="100" t="s">
        <v>364</v>
      </c>
      <c r="E464" s="17" t="s">
        <v>364</v>
      </c>
      <c r="F464" s="18">
        <v>6995</v>
      </c>
      <c r="G464" s="23"/>
      <c r="H464" s="22"/>
      <c r="I464" s="4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66.5" customHeight="1" thickBot="1">
      <c r="A465" s="12"/>
      <c r="B465" s="109" t="s">
        <v>356</v>
      </c>
      <c r="C465" s="107" t="s">
        <v>365</v>
      </c>
      <c r="D465" s="100" t="s">
        <v>366</v>
      </c>
      <c r="E465" s="17" t="s">
        <v>366</v>
      </c>
      <c r="F465" s="18">
        <v>7995</v>
      </c>
      <c r="G465" s="23"/>
      <c r="H465" s="22"/>
      <c r="I465" s="4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53.5" customHeight="1" thickBot="1">
      <c r="A466" s="12"/>
      <c r="B466" s="109" t="s">
        <v>367</v>
      </c>
      <c r="C466" s="107" t="s">
        <v>334</v>
      </c>
      <c r="D466" s="100" t="s">
        <v>368</v>
      </c>
      <c r="E466" s="17" t="s">
        <v>368</v>
      </c>
      <c r="F466" s="18">
        <v>2795</v>
      </c>
      <c r="G466" s="23"/>
      <c r="H466" s="22"/>
      <c r="I466" s="4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.5" customHeight="1" thickBot="1">
      <c r="A467" s="12"/>
      <c r="B467" s="109" t="s">
        <v>367</v>
      </c>
      <c r="C467" s="107" t="s">
        <v>369</v>
      </c>
      <c r="D467" s="100" t="s">
        <v>370</v>
      </c>
      <c r="E467" s="17" t="s">
        <v>370</v>
      </c>
      <c r="F467" s="18">
        <v>2895</v>
      </c>
      <c r="G467" s="23"/>
      <c r="H467" s="22"/>
      <c r="I467" s="4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.5" customHeight="1" thickBot="1">
      <c r="A468" s="12"/>
      <c r="B468" s="108" t="s">
        <v>356</v>
      </c>
      <c r="C468" s="106" t="s">
        <v>334</v>
      </c>
      <c r="D468" s="100" t="s">
        <v>18</v>
      </c>
      <c r="E468" s="17">
        <v>691</v>
      </c>
      <c r="F468" s="18">
        <v>720</v>
      </c>
      <c r="G468" s="23"/>
      <c r="H468" s="22"/>
      <c r="I468" s="4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.5" customHeight="1" thickBot="1">
      <c r="A469" s="12"/>
      <c r="B469" s="108"/>
      <c r="C469" s="106" t="s">
        <v>70</v>
      </c>
      <c r="D469" s="100" t="s">
        <v>82</v>
      </c>
      <c r="E469" s="17">
        <v>692</v>
      </c>
      <c r="F469" s="18">
        <v>382</v>
      </c>
      <c r="G469" s="23"/>
      <c r="H469" s="22"/>
      <c r="I469" s="4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.5" customHeight="1" thickBot="1">
      <c r="A470" s="12"/>
      <c r="B470" s="109"/>
      <c r="C470" s="107"/>
      <c r="D470" s="100" t="s">
        <v>14</v>
      </c>
      <c r="E470" s="17">
        <v>693</v>
      </c>
      <c r="F470" s="18">
        <v>509</v>
      </c>
      <c r="G470" s="23"/>
      <c r="H470" s="22"/>
      <c r="I470" s="4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.5" customHeight="1" thickBot="1">
      <c r="A471" s="12"/>
      <c r="B471" s="108" t="s">
        <v>356</v>
      </c>
      <c r="C471" s="107" t="s">
        <v>358</v>
      </c>
      <c r="D471" s="100" t="s">
        <v>18</v>
      </c>
      <c r="E471" s="17">
        <v>1077</v>
      </c>
      <c r="F471" s="18">
        <v>720</v>
      </c>
      <c r="G471" s="23"/>
      <c r="H471" s="22"/>
      <c r="I471" s="4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.5" customHeight="1" thickBot="1">
      <c r="A472" s="12"/>
      <c r="B472" s="108"/>
      <c r="C472" s="106" t="s">
        <v>70</v>
      </c>
      <c r="D472" s="100" t="s">
        <v>20</v>
      </c>
      <c r="E472" s="17">
        <v>1078</v>
      </c>
      <c r="F472" s="18">
        <v>720</v>
      </c>
      <c r="G472" s="23"/>
      <c r="H472" s="22"/>
      <c r="I472" s="4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30.5" customHeight="1" thickBot="1">
      <c r="A473" s="12"/>
      <c r="B473" s="109"/>
      <c r="C473" s="107"/>
      <c r="D473" s="100" t="s">
        <v>14</v>
      </c>
      <c r="E473" s="17">
        <v>1079</v>
      </c>
      <c r="F473" s="18">
        <v>509</v>
      </c>
      <c r="G473" s="23"/>
      <c r="H473" s="22"/>
      <c r="I473" s="4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.5" customHeight="1" thickBot="1">
      <c r="A474" s="12"/>
      <c r="B474" s="108"/>
      <c r="C474" s="107" t="s">
        <v>371</v>
      </c>
      <c r="D474" s="100" t="s">
        <v>26</v>
      </c>
      <c r="E474" s="17">
        <v>1110</v>
      </c>
      <c r="F474" s="18">
        <v>1095</v>
      </c>
      <c r="G474" s="23"/>
      <c r="H474" s="22"/>
      <c r="I474" s="4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.5" customHeight="1" thickBot="1">
      <c r="A475" s="12"/>
      <c r="B475" s="109"/>
      <c r="C475" s="106"/>
      <c r="D475" s="100" t="s">
        <v>372</v>
      </c>
      <c r="E475" s="17">
        <v>1273</v>
      </c>
      <c r="F475" s="18">
        <v>795</v>
      </c>
      <c r="G475" s="23"/>
      <c r="H475" s="22"/>
      <c r="I475" s="4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.5" customHeight="1" thickBot="1">
      <c r="A476" s="12"/>
      <c r="B476" s="108" t="s">
        <v>356</v>
      </c>
      <c r="C476" s="107" t="s">
        <v>297</v>
      </c>
      <c r="D476" s="100" t="s">
        <v>18</v>
      </c>
      <c r="E476" s="17">
        <v>1216</v>
      </c>
      <c r="F476" s="18">
        <v>720</v>
      </c>
      <c r="G476" s="23"/>
      <c r="H476" s="22"/>
      <c r="I476" s="4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.5" customHeight="1" thickBot="1">
      <c r="A477" s="12"/>
      <c r="B477" s="108"/>
      <c r="C477" s="106" t="s">
        <v>70</v>
      </c>
      <c r="D477" s="100" t="s">
        <v>20</v>
      </c>
      <c r="E477" s="17">
        <v>1217</v>
      </c>
      <c r="F477" s="18">
        <v>720</v>
      </c>
      <c r="G477" s="23"/>
      <c r="H477" s="22"/>
      <c r="I477" s="4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.5" customHeight="1" thickBot="1">
      <c r="A478" s="12"/>
      <c r="B478" s="109"/>
      <c r="C478" s="107"/>
      <c r="D478" s="100" t="s">
        <v>14</v>
      </c>
      <c r="E478" s="17">
        <v>1218</v>
      </c>
      <c r="F478" s="18">
        <v>509</v>
      </c>
      <c r="G478" s="23"/>
      <c r="H478" s="22"/>
      <c r="I478" s="4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.5" customHeight="1" thickBot="1">
      <c r="A479" s="12"/>
      <c r="B479" s="108" t="s">
        <v>356</v>
      </c>
      <c r="C479" s="107" t="s">
        <v>361</v>
      </c>
      <c r="D479" s="100" t="s">
        <v>18</v>
      </c>
      <c r="E479" s="17">
        <v>1284</v>
      </c>
      <c r="F479" s="18">
        <v>720</v>
      </c>
      <c r="G479" s="23"/>
      <c r="H479" s="22"/>
      <c r="I479" s="4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.5" customHeight="1" thickBot="1">
      <c r="A480" s="12"/>
      <c r="B480" s="108"/>
      <c r="C480" s="106"/>
      <c r="D480" s="100" t="s">
        <v>14</v>
      </c>
      <c r="E480" s="17">
        <v>1285</v>
      </c>
      <c r="F480" s="18">
        <v>509</v>
      </c>
      <c r="G480" s="23"/>
      <c r="H480" s="22"/>
      <c r="I480" s="4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.5" customHeight="1" thickBot="1">
      <c r="A481" s="12"/>
      <c r="B481" s="109" t="s">
        <v>356</v>
      </c>
      <c r="C481" s="107" t="s">
        <v>363</v>
      </c>
      <c r="D481" s="100" t="s">
        <v>18</v>
      </c>
      <c r="E481" s="17">
        <v>1121</v>
      </c>
      <c r="F481" s="18">
        <v>720</v>
      </c>
      <c r="G481" s="23"/>
      <c r="H481" s="22"/>
      <c r="I481" s="4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.5" customHeight="1" thickBot="1">
      <c r="A482" s="12"/>
      <c r="B482" s="108"/>
      <c r="C482" s="106"/>
      <c r="D482" s="100" t="s">
        <v>12</v>
      </c>
      <c r="E482" s="17">
        <v>1586</v>
      </c>
      <c r="F482" s="18">
        <v>895</v>
      </c>
      <c r="G482" s="23"/>
      <c r="H482" s="22"/>
      <c r="I482" s="4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.5" customHeight="1" thickBot="1">
      <c r="A483" s="12"/>
      <c r="B483" s="109" t="s">
        <v>373</v>
      </c>
      <c r="C483" s="107" t="s">
        <v>344</v>
      </c>
      <c r="D483" s="100" t="s">
        <v>60</v>
      </c>
      <c r="E483" s="17">
        <v>1122</v>
      </c>
      <c r="F483" s="18">
        <v>955</v>
      </c>
      <c r="G483" s="23"/>
      <c r="H483" s="22"/>
      <c r="I483" s="4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27.5" customHeight="1" thickBot="1">
      <c r="A484" s="12"/>
      <c r="B484" s="108" t="s">
        <v>373</v>
      </c>
      <c r="C484" s="106" t="s">
        <v>344</v>
      </c>
      <c r="D484" s="100" t="s">
        <v>61</v>
      </c>
      <c r="E484" s="17">
        <v>1123</v>
      </c>
      <c r="F484" s="18">
        <v>1273</v>
      </c>
      <c r="G484" s="23"/>
      <c r="H484" s="22"/>
      <c r="I484" s="4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.5" customHeight="1" thickBot="1">
      <c r="A485" s="12"/>
      <c r="B485" s="110" t="s">
        <v>373</v>
      </c>
      <c r="C485" s="107" t="s">
        <v>344</v>
      </c>
      <c r="D485" s="100" t="s">
        <v>340</v>
      </c>
      <c r="E485" s="17" t="s">
        <v>374</v>
      </c>
      <c r="F485" s="18">
        <v>382</v>
      </c>
      <c r="G485" s="23"/>
      <c r="H485" s="22"/>
      <c r="I485" s="4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.5" customHeight="1" thickBot="1">
      <c r="A486" s="12"/>
      <c r="B486" s="110"/>
      <c r="C486" s="107"/>
      <c r="D486" s="100"/>
      <c r="E486" s="17"/>
      <c r="F486" s="18"/>
      <c r="G486" s="23"/>
      <c r="H486" s="22"/>
      <c r="I486" s="4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.5" customHeight="1" thickBot="1">
      <c r="A487" s="12"/>
      <c r="B487" s="110" t="s">
        <v>356</v>
      </c>
      <c r="C487" s="107" t="s">
        <v>375</v>
      </c>
      <c r="D487" s="100" t="s">
        <v>18</v>
      </c>
      <c r="E487" s="17">
        <v>1448</v>
      </c>
      <c r="F487" s="18">
        <v>955</v>
      </c>
      <c r="G487" s="23"/>
      <c r="H487" s="22"/>
      <c r="I487" s="4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.5" customHeight="1" thickBot="1">
      <c r="A488" s="12"/>
      <c r="B488" s="108"/>
      <c r="C488" s="106" t="s">
        <v>344</v>
      </c>
      <c r="D488" s="100" t="s">
        <v>26</v>
      </c>
      <c r="E488" s="13">
        <v>1449</v>
      </c>
      <c r="F488" s="18">
        <v>1095</v>
      </c>
      <c r="G488" s="23"/>
      <c r="H488" s="22"/>
      <c r="I488" s="4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.5" customHeight="1" thickBot="1">
      <c r="A489" s="12"/>
      <c r="B489" s="109"/>
      <c r="C489" s="107"/>
      <c r="D489" s="100" t="s">
        <v>20</v>
      </c>
      <c r="E489" s="17">
        <v>1450</v>
      </c>
      <c r="F489" s="18">
        <v>955</v>
      </c>
      <c r="G489" s="23"/>
      <c r="H489" s="22"/>
      <c r="I489" s="4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.5" customHeight="1" thickBot="1">
      <c r="A490" s="12"/>
      <c r="B490" s="108"/>
      <c r="C490" s="107"/>
      <c r="D490" s="100" t="s">
        <v>14</v>
      </c>
      <c r="E490" s="17">
        <v>1451</v>
      </c>
      <c r="F490" s="18">
        <v>955</v>
      </c>
      <c r="G490" s="23"/>
      <c r="H490" s="22"/>
      <c r="I490" s="4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.5" customHeight="1" thickBot="1">
      <c r="A491" s="12"/>
      <c r="B491" s="108"/>
      <c r="C491" s="106"/>
      <c r="D491" s="100" t="s">
        <v>60</v>
      </c>
      <c r="E491" s="17">
        <v>1452</v>
      </c>
      <c r="F491" s="18">
        <v>1591</v>
      </c>
      <c r="G491" s="23"/>
      <c r="H491" s="22"/>
      <c r="I491" s="4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.5" customHeight="1" thickBot="1">
      <c r="A492" s="12"/>
      <c r="B492" s="108"/>
      <c r="C492" s="106"/>
      <c r="D492" s="100" t="s">
        <v>61</v>
      </c>
      <c r="E492" s="17">
        <v>1453</v>
      </c>
      <c r="F492" s="18">
        <v>955</v>
      </c>
      <c r="G492" s="23"/>
      <c r="H492" s="22"/>
      <c r="I492" s="4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.5" customHeight="1" thickBot="1">
      <c r="A493" s="12"/>
      <c r="B493" s="108"/>
      <c r="C493" s="106"/>
      <c r="D493" s="100" t="s">
        <v>376</v>
      </c>
      <c r="E493" s="17">
        <v>1570</v>
      </c>
      <c r="F493" s="18">
        <v>320</v>
      </c>
      <c r="G493" s="23"/>
      <c r="H493" s="22"/>
      <c r="I493" s="4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.5" customHeight="1" thickBot="1">
      <c r="A494" s="12"/>
      <c r="B494" s="108"/>
      <c r="C494" s="106"/>
      <c r="D494" s="100" t="s">
        <v>377</v>
      </c>
      <c r="E494" s="17">
        <v>1571</v>
      </c>
      <c r="F494" s="18">
        <v>380</v>
      </c>
      <c r="G494" s="23"/>
      <c r="H494" s="22"/>
      <c r="I494" s="4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.5" customHeight="1" thickBot="1">
      <c r="A495" s="12"/>
      <c r="B495" s="108"/>
      <c r="C495" s="106"/>
      <c r="D495" s="100" t="s">
        <v>378</v>
      </c>
      <c r="E495" s="17">
        <v>1572</v>
      </c>
      <c r="F495" s="18">
        <v>995</v>
      </c>
      <c r="G495" s="23"/>
      <c r="H495" s="22"/>
      <c r="I495" s="4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.5" customHeight="1" thickBot="1">
      <c r="A496" s="12"/>
      <c r="B496" s="108"/>
      <c r="C496" s="106"/>
      <c r="D496" s="100" t="s">
        <v>377</v>
      </c>
      <c r="E496" s="17">
        <v>1571</v>
      </c>
      <c r="F496" s="18">
        <v>380</v>
      </c>
      <c r="G496" s="23"/>
      <c r="H496" s="22"/>
      <c r="I496" s="4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.5" customHeight="1" thickBot="1">
      <c r="A497" s="12"/>
      <c r="B497" s="108"/>
      <c r="C497" s="106"/>
      <c r="D497" s="100" t="s">
        <v>378</v>
      </c>
      <c r="E497" s="17">
        <v>1572</v>
      </c>
      <c r="F497" s="18">
        <v>420</v>
      </c>
      <c r="G497" s="23"/>
      <c r="H497" s="22"/>
      <c r="I497" s="4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.5" customHeight="1" thickBot="1">
      <c r="A498" s="12"/>
      <c r="B498" s="109" t="s">
        <v>356</v>
      </c>
      <c r="C498" s="107" t="s">
        <v>379</v>
      </c>
      <c r="D498" s="100" t="s">
        <v>60</v>
      </c>
      <c r="E498" s="17">
        <v>1588</v>
      </c>
      <c r="F498" s="18">
        <v>1591</v>
      </c>
      <c r="G498" s="23"/>
      <c r="H498" s="22"/>
      <c r="I498" s="4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.5" customHeight="1" thickBot="1">
      <c r="A499" s="12"/>
      <c r="B499" s="108"/>
      <c r="C499" s="107" t="s">
        <v>363</v>
      </c>
      <c r="D499" s="100" t="s">
        <v>22</v>
      </c>
      <c r="E499" s="17">
        <v>3520</v>
      </c>
      <c r="F499" s="18">
        <v>720</v>
      </c>
      <c r="G499" s="23"/>
      <c r="H499" s="22"/>
      <c r="I499" s="4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.5" customHeight="1" thickBot="1">
      <c r="A500" s="127"/>
      <c r="B500" s="128"/>
      <c r="C500" s="128"/>
      <c r="D500" s="128"/>
      <c r="E500" s="128"/>
      <c r="F500" s="128"/>
      <c r="G500" s="129"/>
      <c r="H500" s="22"/>
      <c r="I500" s="4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.5" customHeight="1" thickBot="1">
      <c r="A501" s="12"/>
      <c r="B501" s="109"/>
      <c r="C501" s="106"/>
      <c r="D501" s="100" t="s">
        <v>60</v>
      </c>
      <c r="E501" s="17">
        <v>3530</v>
      </c>
      <c r="F501" s="18">
        <v>890</v>
      </c>
      <c r="G501" s="23"/>
      <c r="H501" s="22"/>
      <c r="I501" s="4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.5" customHeight="1" thickBot="1">
      <c r="A502" s="12"/>
      <c r="B502" s="108"/>
      <c r="C502" s="106"/>
      <c r="D502" s="100" t="s">
        <v>60</v>
      </c>
      <c r="E502" s="17">
        <v>3531</v>
      </c>
      <c r="F502" s="18">
        <v>890</v>
      </c>
      <c r="G502" s="23"/>
      <c r="H502" s="22"/>
      <c r="I502" s="4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.5" customHeight="1" thickBot="1">
      <c r="A503" s="12"/>
      <c r="B503" s="108"/>
      <c r="C503" s="106"/>
      <c r="D503" s="100" t="s">
        <v>61</v>
      </c>
      <c r="E503" s="17">
        <v>3532</v>
      </c>
      <c r="F503" s="18">
        <v>1040</v>
      </c>
      <c r="G503" s="23"/>
      <c r="H503" s="22"/>
      <c r="I503" s="4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.5" customHeight="1" thickBot="1">
      <c r="A504" s="12"/>
      <c r="B504" s="108"/>
      <c r="C504" s="106"/>
      <c r="D504" s="100" t="s">
        <v>380</v>
      </c>
      <c r="E504" s="17">
        <v>3533</v>
      </c>
      <c r="F504" s="18">
        <v>840</v>
      </c>
      <c r="G504" s="23"/>
      <c r="H504" s="22"/>
      <c r="I504" s="4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.5" customHeight="1" thickBot="1">
      <c r="A505" s="12"/>
      <c r="B505" s="108"/>
      <c r="C505" s="106"/>
      <c r="D505" s="100" t="s">
        <v>14</v>
      </c>
      <c r="E505" s="17">
        <v>3534</v>
      </c>
      <c r="F505" s="18">
        <v>720</v>
      </c>
      <c r="G505" s="23"/>
      <c r="H505" s="22"/>
      <c r="I505" s="4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.5" customHeight="1" thickBot="1">
      <c r="A506" s="12"/>
      <c r="B506" s="108"/>
      <c r="C506" s="106"/>
      <c r="D506" s="100" t="s">
        <v>381</v>
      </c>
      <c r="E506" s="17">
        <v>3535</v>
      </c>
      <c r="F506" s="18">
        <v>795</v>
      </c>
      <c r="G506" s="23"/>
      <c r="H506" s="22"/>
      <c r="I506" s="4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.5" customHeight="1" thickBot="1">
      <c r="A507" s="12"/>
      <c r="B507" s="108"/>
      <c r="C507" s="106"/>
      <c r="D507" s="100" t="s">
        <v>200</v>
      </c>
      <c r="E507" s="17">
        <v>3538</v>
      </c>
      <c r="F507" s="18">
        <v>2495</v>
      </c>
      <c r="G507" s="23"/>
      <c r="H507" s="22"/>
      <c r="I507" s="4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.5" customHeight="1" thickBot="1">
      <c r="A508" s="12"/>
      <c r="B508" s="108"/>
      <c r="C508" s="107" t="s">
        <v>382</v>
      </c>
      <c r="D508" s="100" t="s">
        <v>259</v>
      </c>
      <c r="E508" s="17">
        <v>3529</v>
      </c>
      <c r="F508" s="18">
        <v>290</v>
      </c>
      <c r="G508" s="23"/>
      <c r="H508" s="22"/>
      <c r="I508" s="4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.5" customHeight="1" thickBot="1">
      <c r="A509" s="12"/>
      <c r="B509" s="108"/>
      <c r="C509" s="107" t="s">
        <v>68</v>
      </c>
      <c r="D509" s="100" t="s">
        <v>29</v>
      </c>
      <c r="E509" s="17">
        <v>3536</v>
      </c>
      <c r="F509" s="18">
        <v>1295</v>
      </c>
      <c r="G509" s="23"/>
      <c r="H509" s="22"/>
      <c r="I509" s="4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.5" customHeight="1" thickBot="1">
      <c r="A510" s="12"/>
      <c r="B510" s="108"/>
      <c r="C510" s="107" t="s">
        <v>68</v>
      </c>
      <c r="D510" s="100" t="s">
        <v>321</v>
      </c>
      <c r="E510" s="17">
        <v>3537</v>
      </c>
      <c r="F510" s="18">
        <v>420</v>
      </c>
      <c r="G510" s="23"/>
      <c r="H510" s="22"/>
      <c r="I510" s="4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.5" customHeight="1" thickBot="1">
      <c r="A511" s="12"/>
      <c r="B511" s="109" t="s">
        <v>356</v>
      </c>
      <c r="C511" s="107" t="s">
        <v>383</v>
      </c>
      <c r="D511" s="100" t="s">
        <v>20</v>
      </c>
      <c r="E511" s="17">
        <v>3542</v>
      </c>
      <c r="F511" s="18">
        <v>760</v>
      </c>
      <c r="G511" s="23"/>
      <c r="H511" s="22"/>
      <c r="I511" s="4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.5" customHeight="1" thickBot="1">
      <c r="A512" s="12"/>
      <c r="B512" s="109" t="s">
        <v>384</v>
      </c>
      <c r="C512" s="107" t="s">
        <v>334</v>
      </c>
      <c r="D512" s="100" t="s">
        <v>18</v>
      </c>
      <c r="E512" s="17">
        <v>826</v>
      </c>
      <c r="F512" s="18">
        <v>720</v>
      </c>
      <c r="G512" s="23"/>
      <c r="H512" s="22"/>
      <c r="I512" s="4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.5" customHeight="1" thickBot="1">
      <c r="A513" s="12"/>
      <c r="B513" s="109" t="s">
        <v>385</v>
      </c>
      <c r="C513" s="107" t="s">
        <v>89</v>
      </c>
      <c r="D513" s="100" t="s">
        <v>82</v>
      </c>
      <c r="E513" s="17">
        <v>827</v>
      </c>
      <c r="F513" s="18">
        <v>382</v>
      </c>
      <c r="G513" s="23"/>
      <c r="H513" s="22"/>
      <c r="I513" s="4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.5" customHeight="1" thickBot="1">
      <c r="A514" s="12"/>
      <c r="B514" s="108"/>
      <c r="C514" s="106"/>
      <c r="D514" s="100" t="s">
        <v>14</v>
      </c>
      <c r="E514" s="17">
        <v>828</v>
      </c>
      <c r="F514" s="18">
        <v>445</v>
      </c>
      <c r="G514" s="23"/>
      <c r="H514" s="22"/>
      <c r="I514" s="4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.5" customHeight="1" thickBot="1">
      <c r="A515" s="12"/>
      <c r="B515" s="108"/>
      <c r="C515" s="106"/>
      <c r="D515" s="100" t="s">
        <v>33</v>
      </c>
      <c r="E515" s="17">
        <v>829</v>
      </c>
      <c r="F515" s="18">
        <v>445</v>
      </c>
      <c r="G515" s="23"/>
      <c r="H515" s="22"/>
      <c r="I515" s="4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.5" customHeight="1" thickBot="1">
      <c r="A516" s="12"/>
      <c r="B516" s="108"/>
      <c r="C516" s="106"/>
      <c r="D516" s="100" t="s">
        <v>259</v>
      </c>
      <c r="E516" s="17">
        <v>839</v>
      </c>
      <c r="F516" s="18">
        <v>255</v>
      </c>
      <c r="G516" s="23"/>
      <c r="H516" s="22"/>
      <c r="I516" s="4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.5" customHeight="1" thickBot="1">
      <c r="A517" s="12"/>
      <c r="B517" s="108"/>
      <c r="C517" s="107" t="s">
        <v>369</v>
      </c>
      <c r="D517" s="100" t="s">
        <v>18</v>
      </c>
      <c r="E517" s="17">
        <v>830</v>
      </c>
      <c r="F517" s="18">
        <v>720</v>
      </c>
      <c r="G517" s="23"/>
      <c r="H517" s="22"/>
      <c r="I517" s="4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.5" customHeight="1" thickBot="1">
      <c r="A518" s="12"/>
      <c r="B518" s="108"/>
      <c r="C518" s="107" t="s">
        <v>70</v>
      </c>
      <c r="D518" s="100" t="s">
        <v>20</v>
      </c>
      <c r="E518" s="17">
        <v>831</v>
      </c>
      <c r="F518" s="18">
        <v>720</v>
      </c>
      <c r="G518" s="23"/>
      <c r="H518" s="22"/>
      <c r="I518" s="4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.5" customHeight="1" thickBot="1">
      <c r="A519" s="12"/>
      <c r="B519" s="108"/>
      <c r="C519" s="106"/>
      <c r="D519" s="100" t="s">
        <v>14</v>
      </c>
      <c r="E519" s="17">
        <v>832</v>
      </c>
      <c r="F519" s="18">
        <v>445</v>
      </c>
      <c r="G519" s="23"/>
      <c r="H519" s="22"/>
      <c r="I519" s="4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.5" customHeight="1" thickBot="1">
      <c r="A520" s="12"/>
      <c r="B520" s="108"/>
      <c r="C520" s="107" t="s">
        <v>386</v>
      </c>
      <c r="D520" s="100" t="s">
        <v>22</v>
      </c>
      <c r="E520" s="17">
        <v>756</v>
      </c>
      <c r="F520" s="18">
        <v>445</v>
      </c>
      <c r="G520" s="23"/>
      <c r="H520" s="22"/>
      <c r="I520" s="4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.5" customHeight="1" thickBot="1">
      <c r="A521" s="12"/>
      <c r="B521" s="108"/>
      <c r="C521" s="107" t="s">
        <v>330</v>
      </c>
      <c r="D521" s="100" t="s">
        <v>33</v>
      </c>
      <c r="E521" s="17">
        <v>1063</v>
      </c>
      <c r="F521" s="18">
        <v>255</v>
      </c>
      <c r="G521" s="23"/>
      <c r="H521" s="22"/>
      <c r="I521" s="4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20.25" customHeight="1" thickBot="1">
      <c r="A522" s="12"/>
      <c r="B522" s="109" t="s">
        <v>384</v>
      </c>
      <c r="C522" s="107" t="s">
        <v>334</v>
      </c>
      <c r="D522" s="100" t="s">
        <v>259</v>
      </c>
      <c r="E522" s="17">
        <v>893</v>
      </c>
      <c r="F522" s="18">
        <v>255</v>
      </c>
      <c r="G522" s="23"/>
      <c r="H522" s="22"/>
      <c r="I522" s="4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" customHeight="1" thickBot="1">
      <c r="A523" s="136"/>
      <c r="B523" s="137" t="s">
        <v>387</v>
      </c>
      <c r="C523" s="144"/>
      <c r="D523" s="139" t="s">
        <v>22</v>
      </c>
      <c r="E523" s="140">
        <v>894</v>
      </c>
      <c r="F523" s="141">
        <v>573</v>
      </c>
      <c r="G523" s="148"/>
      <c r="H523" s="22"/>
      <c r="I523" s="4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.5" customHeight="1" thickBot="1">
      <c r="A524" s="130"/>
      <c r="B524" s="131" t="s">
        <v>1743</v>
      </c>
      <c r="C524" s="131" t="s">
        <v>1744</v>
      </c>
      <c r="D524" s="131" t="s">
        <v>1745</v>
      </c>
      <c r="E524" s="131">
        <v>1250</v>
      </c>
    </row>
    <row r="525" spans="1:27" ht="18" customHeight="1" thickBot="1">
      <c r="A525" s="130"/>
      <c r="B525" s="131" t="s">
        <v>1743</v>
      </c>
      <c r="C525" s="131" t="s">
        <v>1746</v>
      </c>
      <c r="D525" s="131" t="s">
        <v>1745</v>
      </c>
      <c r="E525" s="131">
        <v>175</v>
      </c>
    </row>
    <row r="526" spans="1:27" ht="16.5" customHeight="1" thickBot="1">
      <c r="A526" s="130"/>
      <c r="B526" s="131" t="s">
        <v>1743</v>
      </c>
      <c r="C526" s="131" t="s">
        <v>1747</v>
      </c>
      <c r="D526" s="131" t="s">
        <v>1745</v>
      </c>
      <c r="E526" s="131">
        <v>585</v>
      </c>
    </row>
    <row r="527" spans="1:27" ht="16.5" customHeight="1" thickBot="1">
      <c r="A527" s="130"/>
      <c r="B527" s="131" t="s">
        <v>1743</v>
      </c>
      <c r="C527" s="131" t="s">
        <v>1748</v>
      </c>
      <c r="D527" s="131" t="s">
        <v>1749</v>
      </c>
      <c r="E527" s="131">
        <v>355</v>
      </c>
    </row>
    <row r="528" spans="1:27" ht="16.5" customHeight="1" thickBot="1">
      <c r="A528" s="130"/>
      <c r="B528" s="131" t="s">
        <v>1743</v>
      </c>
      <c r="C528" s="131" t="s">
        <v>1750</v>
      </c>
      <c r="D528" s="131" t="s">
        <v>26</v>
      </c>
      <c r="E528" s="131">
        <v>1060</v>
      </c>
    </row>
    <row r="529" spans="1:27" ht="16.5" customHeight="1" thickBot="1">
      <c r="A529" s="130"/>
      <c r="B529" s="131" t="s">
        <v>1743</v>
      </c>
      <c r="C529" s="131" t="s">
        <v>1883</v>
      </c>
      <c r="D529" s="131" t="s">
        <v>1882</v>
      </c>
      <c r="E529" s="131">
        <v>380</v>
      </c>
    </row>
    <row r="530" spans="1:27" ht="18" customHeight="1" thickBot="1">
      <c r="A530" s="130"/>
      <c r="B530" s="131" t="s">
        <v>1743</v>
      </c>
      <c r="C530" s="131" t="s">
        <v>1753</v>
      </c>
      <c r="D530" s="131" t="s">
        <v>1745</v>
      </c>
      <c r="E530" s="131">
        <v>3250</v>
      </c>
    </row>
    <row r="531" spans="1:27" ht="16.5" customHeight="1" thickBot="1">
      <c r="A531" s="130"/>
      <c r="B531" s="131" t="s">
        <v>1743</v>
      </c>
      <c r="C531" s="131" t="s">
        <v>1754</v>
      </c>
      <c r="D531" s="131" t="s">
        <v>1755</v>
      </c>
      <c r="E531" s="131">
        <v>1290</v>
      </c>
    </row>
    <row r="532" spans="1:27" ht="18" customHeight="1" thickBot="1">
      <c r="A532" s="130"/>
      <c r="B532" s="131" t="s">
        <v>1743</v>
      </c>
      <c r="C532" s="131" t="s">
        <v>1752</v>
      </c>
      <c r="D532" s="131" t="s">
        <v>1756</v>
      </c>
      <c r="E532" s="131">
        <v>1790</v>
      </c>
    </row>
    <row r="533" spans="1:27" ht="18" customHeight="1" thickBot="1">
      <c r="A533" s="130"/>
      <c r="B533" s="131" t="s">
        <v>1743</v>
      </c>
      <c r="C533" s="131" t="s">
        <v>1757</v>
      </c>
      <c r="D533" s="131" t="s">
        <v>1758</v>
      </c>
      <c r="E533" s="131">
        <v>770</v>
      </c>
    </row>
    <row r="534" spans="1:27" ht="18" customHeight="1" thickBot="1">
      <c r="A534" s="130"/>
      <c r="B534" s="131" t="s">
        <v>1743</v>
      </c>
      <c r="C534" s="131" t="s">
        <v>1759</v>
      </c>
      <c r="D534" s="131" t="s">
        <v>1760</v>
      </c>
      <c r="E534" s="131">
        <v>895</v>
      </c>
    </row>
    <row r="535" spans="1:27" ht="18" customHeight="1" thickBot="1">
      <c r="A535" s="130"/>
      <c r="B535" s="131" t="s">
        <v>1743</v>
      </c>
      <c r="C535" s="131" t="s">
        <v>1761</v>
      </c>
      <c r="D535" s="131" t="s">
        <v>1762</v>
      </c>
      <c r="E535" s="131">
        <v>955</v>
      </c>
    </row>
    <row r="536" spans="1:27" ht="18" customHeight="1" thickBot="1">
      <c r="A536" s="130"/>
      <c r="B536" s="131" t="s">
        <v>1743</v>
      </c>
      <c r="C536" s="131" t="s">
        <v>1763</v>
      </c>
      <c r="D536" s="131" t="s">
        <v>1764</v>
      </c>
      <c r="E536" s="131">
        <v>480</v>
      </c>
    </row>
    <row r="537" spans="1:27" ht="16.5" customHeight="1" thickBot="1">
      <c r="A537" s="130"/>
      <c r="B537" s="131" t="s">
        <v>1743</v>
      </c>
      <c r="C537" s="131" t="s">
        <v>1765</v>
      </c>
      <c r="D537" s="131" t="s">
        <v>1766</v>
      </c>
      <c r="E537" s="131">
        <v>1650</v>
      </c>
    </row>
    <row r="538" spans="1:27" ht="18" customHeight="1" thickBot="1">
      <c r="A538" s="130"/>
      <c r="B538" s="131" t="s">
        <v>1743</v>
      </c>
      <c r="C538" s="131" t="s">
        <v>1767</v>
      </c>
      <c r="D538" s="131" t="s">
        <v>18</v>
      </c>
      <c r="E538" s="131">
        <v>720</v>
      </c>
    </row>
    <row r="539" spans="1:27" ht="16.5" customHeight="1" thickBot="1">
      <c r="A539" s="130"/>
      <c r="B539" s="131" t="s">
        <v>1743</v>
      </c>
      <c r="C539" s="131" t="s">
        <v>1768</v>
      </c>
      <c r="D539" s="131" t="s">
        <v>1745</v>
      </c>
      <c r="E539" s="131">
        <v>565</v>
      </c>
    </row>
    <row r="540" spans="1:27" ht="16.5" customHeight="1" thickBot="1">
      <c r="A540" s="130"/>
      <c r="B540" s="131" t="s">
        <v>1743</v>
      </c>
      <c r="C540" s="131" t="s">
        <v>1752</v>
      </c>
      <c r="D540" s="131" t="s">
        <v>1881</v>
      </c>
      <c r="E540" s="131">
        <v>375</v>
      </c>
    </row>
    <row r="541" spans="1:27" ht="18" customHeight="1" thickBot="1">
      <c r="A541" s="130"/>
      <c r="B541" s="131" t="s">
        <v>1743</v>
      </c>
      <c r="C541" s="131" t="s">
        <v>610</v>
      </c>
      <c r="D541" s="131" t="s">
        <v>1770</v>
      </c>
      <c r="E541" s="131">
        <v>425</v>
      </c>
    </row>
    <row r="542" spans="1:27" ht="16.5" customHeight="1" thickBot="1">
      <c r="A542" s="130"/>
      <c r="B542" s="131" t="s">
        <v>1771</v>
      </c>
      <c r="C542" s="131" t="s">
        <v>1772</v>
      </c>
      <c r="D542" s="131" t="s">
        <v>1755</v>
      </c>
      <c r="E542" s="131">
        <v>900</v>
      </c>
    </row>
    <row r="543" spans="1:27" ht="16.5" customHeight="1" thickBot="1">
      <c r="A543" s="124" t="s">
        <v>388</v>
      </c>
      <c r="H543" s="4"/>
      <c r="I543" s="4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.5" customHeight="1" thickBot="1">
      <c r="A544" s="12"/>
      <c r="B544" s="109" t="s">
        <v>389</v>
      </c>
      <c r="C544" s="107" t="s">
        <v>390</v>
      </c>
      <c r="D544" s="100" t="s">
        <v>14</v>
      </c>
      <c r="E544" s="17">
        <v>1190</v>
      </c>
      <c r="F544" s="18">
        <v>764</v>
      </c>
      <c r="G544" s="23"/>
      <c r="H544" s="22"/>
      <c r="I544" s="4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.5" customHeight="1" thickBot="1">
      <c r="A545" s="12"/>
      <c r="B545" s="108"/>
      <c r="C545" s="106"/>
      <c r="D545" s="100" t="s">
        <v>380</v>
      </c>
      <c r="E545" s="17">
        <v>1191</v>
      </c>
      <c r="F545" s="18">
        <v>1145</v>
      </c>
      <c r="G545" s="23"/>
      <c r="H545" s="22"/>
      <c r="I545" s="4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8" customHeight="1" thickBot="1">
      <c r="A546" s="12"/>
      <c r="B546" s="109" t="s">
        <v>391</v>
      </c>
      <c r="C546" s="106"/>
      <c r="D546" s="100" t="s">
        <v>18</v>
      </c>
      <c r="E546" s="17">
        <v>3441</v>
      </c>
      <c r="F546" s="18">
        <v>1080</v>
      </c>
      <c r="G546" s="23"/>
      <c r="H546" s="22"/>
      <c r="I546" s="4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.5" customHeight="1" thickBot="1">
      <c r="A547" s="12"/>
      <c r="B547" s="108"/>
      <c r="C547" s="106"/>
      <c r="D547" s="100" t="s">
        <v>107</v>
      </c>
      <c r="E547" s="17">
        <v>3442</v>
      </c>
      <c r="F547" s="18">
        <v>685</v>
      </c>
      <c r="G547" s="23"/>
      <c r="H547" s="22"/>
      <c r="I547" s="4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.5" customHeight="1" thickBot="1">
      <c r="A548" s="12"/>
      <c r="B548" s="108"/>
      <c r="C548" s="106"/>
      <c r="D548" s="100" t="s">
        <v>107</v>
      </c>
      <c r="E548" s="17">
        <v>3443</v>
      </c>
      <c r="F548" s="18">
        <v>685</v>
      </c>
      <c r="G548" s="23"/>
      <c r="H548" s="22"/>
      <c r="I548" s="4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8" customHeight="1" thickBot="1">
      <c r="A549" s="12"/>
      <c r="B549" s="109" t="s">
        <v>392</v>
      </c>
      <c r="C549" s="107" t="s">
        <v>68</v>
      </c>
      <c r="D549" s="100" t="s">
        <v>18</v>
      </c>
      <c r="E549" s="17">
        <v>1746</v>
      </c>
      <c r="F549" s="18">
        <v>720</v>
      </c>
      <c r="G549" s="23"/>
      <c r="H549" s="22"/>
      <c r="I549" s="4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.5" customHeight="1" thickBot="1">
      <c r="A550" s="12"/>
      <c r="B550" s="108"/>
      <c r="C550" s="106"/>
      <c r="D550" s="100" t="s">
        <v>20</v>
      </c>
      <c r="E550" s="17">
        <v>1747</v>
      </c>
      <c r="F550" s="18">
        <v>720</v>
      </c>
      <c r="G550" s="23"/>
      <c r="H550" s="22"/>
      <c r="I550" s="4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.5" customHeight="1" thickBot="1">
      <c r="A551" s="12"/>
      <c r="B551" s="108"/>
      <c r="C551" s="106"/>
      <c r="D551" s="100" t="s">
        <v>14</v>
      </c>
      <c r="E551" s="17">
        <v>1748</v>
      </c>
      <c r="F551" s="18">
        <v>509</v>
      </c>
      <c r="G551" s="23"/>
      <c r="H551" s="22"/>
      <c r="I551" s="4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.5" customHeight="1" thickBot="1">
      <c r="A552" s="12"/>
      <c r="B552" s="108"/>
      <c r="C552" s="106"/>
      <c r="D552" s="100" t="s">
        <v>22</v>
      </c>
      <c r="E552" s="13"/>
      <c r="F552" s="18">
        <v>508</v>
      </c>
      <c r="G552" s="23"/>
      <c r="H552" s="22"/>
      <c r="I552" s="4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.5" customHeight="1" thickBot="1">
      <c r="A553" s="12"/>
      <c r="B553" s="108"/>
      <c r="C553" s="106"/>
      <c r="D553" s="100" t="s">
        <v>60</v>
      </c>
      <c r="E553" s="17">
        <v>1745</v>
      </c>
      <c r="F553" s="18">
        <v>1273</v>
      </c>
      <c r="G553" s="23"/>
      <c r="H553" s="22"/>
      <c r="I553" s="4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.5" customHeight="1" thickBot="1">
      <c r="A554" s="12"/>
      <c r="B554" s="108"/>
      <c r="C554" s="106"/>
      <c r="D554" s="100" t="s">
        <v>26</v>
      </c>
      <c r="E554" s="17">
        <v>1772</v>
      </c>
      <c r="F554" s="18">
        <v>1095</v>
      </c>
      <c r="G554" s="23"/>
      <c r="H554" s="22"/>
      <c r="I554" s="4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.5" customHeight="1" thickBot="1">
      <c r="A555" s="12"/>
      <c r="B555" s="108"/>
      <c r="C555" s="106"/>
      <c r="D555" s="100" t="s">
        <v>29</v>
      </c>
      <c r="E555" s="17">
        <v>1773</v>
      </c>
      <c r="F555" s="18">
        <v>1295</v>
      </c>
      <c r="G555" s="23"/>
      <c r="H555" s="22"/>
      <c r="I555" s="4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30.5" customHeight="1" thickBot="1">
      <c r="A556" s="12"/>
      <c r="B556" s="108"/>
      <c r="C556" s="106"/>
      <c r="D556" s="100" t="s">
        <v>27</v>
      </c>
      <c r="E556" s="17">
        <v>1774</v>
      </c>
      <c r="F556" s="18">
        <v>1145</v>
      </c>
      <c r="G556" s="23"/>
      <c r="H556" s="22"/>
      <c r="I556" s="4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.5" customHeight="1" thickBot="1">
      <c r="A557" s="12"/>
      <c r="B557" s="109" t="s">
        <v>393</v>
      </c>
      <c r="C557" s="107" t="s">
        <v>393</v>
      </c>
      <c r="D557" s="100" t="s">
        <v>18</v>
      </c>
      <c r="E557" s="17">
        <v>565</v>
      </c>
      <c r="F557" s="18">
        <v>720</v>
      </c>
      <c r="G557" s="23"/>
      <c r="H557" s="22"/>
      <c r="I557" s="4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.5" customHeight="1" thickBot="1">
      <c r="A558" s="12"/>
      <c r="B558" s="108"/>
      <c r="C558" s="106"/>
      <c r="D558" s="100" t="s">
        <v>20</v>
      </c>
      <c r="E558" s="17">
        <v>566</v>
      </c>
      <c r="F558" s="18">
        <v>720</v>
      </c>
      <c r="G558" s="23"/>
      <c r="H558" s="22"/>
      <c r="I558" s="4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27.5" customHeight="1" thickBot="1">
      <c r="A559" s="12"/>
      <c r="B559" s="108"/>
      <c r="C559" s="107" t="s">
        <v>394</v>
      </c>
      <c r="D559" s="100" t="s">
        <v>18</v>
      </c>
      <c r="E559" s="17">
        <v>567</v>
      </c>
      <c r="F559" s="18">
        <v>720</v>
      </c>
      <c r="G559" s="23"/>
      <c r="H559" s="22"/>
      <c r="I559" s="4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.5" customHeight="1" thickBot="1">
      <c r="A560" s="12"/>
      <c r="B560" s="109" t="s">
        <v>395</v>
      </c>
      <c r="C560" s="106"/>
      <c r="D560" s="100" t="s">
        <v>60</v>
      </c>
      <c r="E560" s="17">
        <v>568</v>
      </c>
      <c r="F560" s="18">
        <v>827</v>
      </c>
      <c r="G560" s="23"/>
      <c r="H560" s="22"/>
      <c r="I560" s="4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.5" customHeight="1" thickBot="1">
      <c r="A561" s="12"/>
      <c r="B561" s="108"/>
      <c r="C561" s="106"/>
      <c r="D561" s="100" t="s">
        <v>396</v>
      </c>
      <c r="E561" s="17" t="s">
        <v>397</v>
      </c>
      <c r="F561" s="18">
        <v>955</v>
      </c>
      <c r="G561" s="23"/>
      <c r="H561" s="22"/>
      <c r="I561" s="4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.5" customHeight="1" thickBot="1">
      <c r="A562" s="12"/>
      <c r="B562" s="108"/>
      <c r="C562" s="106"/>
      <c r="D562" s="100" t="s">
        <v>398</v>
      </c>
      <c r="E562" s="17" t="s">
        <v>399</v>
      </c>
      <c r="F562" s="18">
        <v>955</v>
      </c>
      <c r="G562" s="23"/>
      <c r="H562" s="22"/>
      <c r="I562" s="4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.5" customHeight="1" thickBot="1">
      <c r="A563" s="12"/>
      <c r="B563" s="109" t="s">
        <v>400</v>
      </c>
      <c r="C563" s="107" t="s">
        <v>400</v>
      </c>
      <c r="D563" s="100" t="s">
        <v>18</v>
      </c>
      <c r="E563" s="17">
        <v>569</v>
      </c>
      <c r="F563" s="18">
        <v>720</v>
      </c>
      <c r="G563" s="23"/>
      <c r="H563" s="22"/>
      <c r="I563" s="4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.5" customHeight="1" thickBot="1">
      <c r="A564" s="12"/>
      <c r="B564" s="108"/>
      <c r="C564" s="106"/>
      <c r="D564" s="100" t="s">
        <v>55</v>
      </c>
      <c r="E564" s="17">
        <v>733</v>
      </c>
      <c r="F564" s="18">
        <v>795</v>
      </c>
      <c r="G564" s="23"/>
      <c r="H564" s="22"/>
      <c r="I564" s="4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.5" customHeight="1" thickBot="1">
      <c r="A565" s="12"/>
      <c r="B565" s="108"/>
      <c r="C565" s="107" t="s">
        <v>297</v>
      </c>
      <c r="D565" s="100" t="s">
        <v>18</v>
      </c>
      <c r="E565" s="17">
        <v>1072</v>
      </c>
      <c r="F565" s="18">
        <v>720</v>
      </c>
      <c r="G565" s="23"/>
      <c r="H565" s="22"/>
      <c r="I565" s="4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.5" customHeight="1" thickBot="1">
      <c r="A566" s="12"/>
      <c r="B566" s="108"/>
      <c r="C566" s="106"/>
      <c r="D566" s="100" t="s">
        <v>20</v>
      </c>
      <c r="E566" s="17">
        <v>1073</v>
      </c>
      <c r="F566" s="18">
        <v>720</v>
      </c>
      <c r="G566" s="23"/>
      <c r="H566" s="22"/>
      <c r="I566" s="4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.5" customHeight="1" thickBot="1">
      <c r="A567" s="12"/>
      <c r="B567" s="108"/>
      <c r="C567" s="106"/>
      <c r="D567" s="100" t="s">
        <v>14</v>
      </c>
      <c r="E567" s="17">
        <v>1074</v>
      </c>
      <c r="F567" s="18">
        <v>445</v>
      </c>
      <c r="G567" s="23"/>
      <c r="H567" s="22"/>
      <c r="I567" s="4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.5" customHeight="1" thickBot="1">
      <c r="A568" s="12"/>
      <c r="B568" s="108"/>
      <c r="C568" s="107" t="s">
        <v>401</v>
      </c>
      <c r="D568" s="100" t="s">
        <v>61</v>
      </c>
      <c r="E568" s="17">
        <v>1080</v>
      </c>
      <c r="F568" s="18">
        <v>318</v>
      </c>
      <c r="G568" s="23"/>
      <c r="H568" s="22"/>
      <c r="I568" s="4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.5" customHeight="1" thickBot="1">
      <c r="A569" s="12"/>
      <c r="B569" s="108"/>
      <c r="C569" s="106"/>
      <c r="D569" s="100" t="s">
        <v>61</v>
      </c>
      <c r="E569" s="17">
        <v>1081</v>
      </c>
      <c r="F569" s="18">
        <v>764</v>
      </c>
      <c r="G569" s="23"/>
      <c r="H569" s="22"/>
      <c r="I569" s="4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30.5" customHeight="1" thickBot="1">
      <c r="A570" s="12"/>
      <c r="B570" s="108"/>
      <c r="C570" s="106"/>
      <c r="D570" s="100" t="s">
        <v>402</v>
      </c>
      <c r="E570" s="17">
        <v>1082</v>
      </c>
      <c r="F570" s="18">
        <v>318</v>
      </c>
      <c r="G570" s="23"/>
      <c r="H570" s="22"/>
      <c r="I570" s="4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.5" customHeight="1" thickBot="1">
      <c r="A571" s="12"/>
      <c r="B571" s="108"/>
      <c r="C571" s="106"/>
      <c r="D571" s="100" t="s">
        <v>121</v>
      </c>
      <c r="E571" s="17">
        <v>1083</v>
      </c>
      <c r="F571" s="18">
        <v>286</v>
      </c>
      <c r="G571" s="23"/>
      <c r="H571" s="22"/>
      <c r="I571" s="4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.5" customHeight="1" thickBot="1">
      <c r="A572" s="12"/>
      <c r="B572" s="108"/>
      <c r="C572" s="107" t="s">
        <v>297</v>
      </c>
      <c r="D572" s="100" t="s">
        <v>103</v>
      </c>
      <c r="E572" s="17">
        <v>1039</v>
      </c>
      <c r="F572" s="18">
        <v>995</v>
      </c>
      <c r="G572" s="23"/>
      <c r="H572" s="22"/>
      <c r="I572" s="4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.5" customHeight="1" thickBot="1">
      <c r="A573" s="12"/>
      <c r="B573" s="108"/>
      <c r="C573" s="107" t="s">
        <v>394</v>
      </c>
      <c r="D573" s="100" t="s">
        <v>60</v>
      </c>
      <c r="E573" s="17">
        <v>1018</v>
      </c>
      <c r="F573" s="18">
        <v>955</v>
      </c>
      <c r="G573" s="23"/>
      <c r="H573" s="22"/>
      <c r="I573" s="4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.5" customHeight="1" thickBot="1">
      <c r="A574" s="12"/>
      <c r="B574" s="108"/>
      <c r="C574" s="106"/>
      <c r="D574" s="100" t="s">
        <v>55</v>
      </c>
      <c r="E574" s="17">
        <v>1181</v>
      </c>
      <c r="F574" s="18">
        <v>795</v>
      </c>
      <c r="G574" s="23"/>
      <c r="H574" s="22"/>
      <c r="I574" s="4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.5" customHeight="1" thickBot="1">
      <c r="A575" s="12"/>
      <c r="B575" s="109" t="s">
        <v>403</v>
      </c>
      <c r="C575" s="107" t="s">
        <v>386</v>
      </c>
      <c r="D575" s="100" t="s">
        <v>103</v>
      </c>
      <c r="E575" s="17">
        <v>819</v>
      </c>
      <c r="F575" s="18">
        <v>995</v>
      </c>
      <c r="G575" s="23"/>
      <c r="H575" s="22"/>
      <c r="I575" s="4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.5" customHeight="1" thickBot="1">
      <c r="A576" s="12"/>
      <c r="B576" s="108"/>
      <c r="C576" s="107" t="s">
        <v>404</v>
      </c>
      <c r="D576" s="100" t="s">
        <v>18</v>
      </c>
      <c r="E576" s="17">
        <v>1172</v>
      </c>
      <c r="F576" s="18">
        <v>720</v>
      </c>
      <c r="G576" s="23"/>
      <c r="H576" s="22"/>
      <c r="I576" s="4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.5" customHeight="1" thickBot="1">
      <c r="A577" s="12"/>
      <c r="B577" s="108"/>
      <c r="C577" s="106"/>
      <c r="D577" s="100" t="s">
        <v>26</v>
      </c>
      <c r="E577" s="17">
        <v>1173</v>
      </c>
      <c r="F577" s="18">
        <v>1095</v>
      </c>
      <c r="G577" s="23"/>
      <c r="H577" s="22"/>
      <c r="I577" s="4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.5" customHeight="1" thickBot="1">
      <c r="A578" s="12"/>
      <c r="B578" s="108"/>
      <c r="C578" s="106"/>
      <c r="D578" s="100" t="s">
        <v>103</v>
      </c>
      <c r="E578" s="17">
        <v>1174</v>
      </c>
      <c r="F578" s="18">
        <v>995</v>
      </c>
      <c r="G578" s="23"/>
      <c r="H578" s="22"/>
      <c r="I578" s="4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.5" customHeight="1" thickBot="1">
      <c r="A579" s="12"/>
      <c r="B579" s="108"/>
      <c r="C579" s="106"/>
      <c r="D579" s="100" t="s">
        <v>18</v>
      </c>
      <c r="E579" s="17" t="s">
        <v>405</v>
      </c>
      <c r="F579" s="18">
        <v>720</v>
      </c>
      <c r="G579" s="23"/>
      <c r="H579" s="22"/>
      <c r="I579" s="4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.5" customHeight="1" thickBot="1">
      <c r="A580" s="12"/>
      <c r="B580" s="108"/>
      <c r="C580" s="106"/>
      <c r="D580" s="100" t="s">
        <v>406</v>
      </c>
      <c r="E580" s="17">
        <v>1270</v>
      </c>
      <c r="F580" s="18">
        <v>795</v>
      </c>
      <c r="G580" s="23"/>
      <c r="H580" s="22"/>
      <c r="I580" s="4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.5" customHeight="1" thickBot="1">
      <c r="A581" s="12"/>
      <c r="B581" s="108"/>
      <c r="C581" s="106"/>
      <c r="D581" s="100" t="s">
        <v>407</v>
      </c>
      <c r="E581" s="17">
        <v>1271</v>
      </c>
      <c r="F581" s="18">
        <v>795</v>
      </c>
      <c r="G581" s="23"/>
      <c r="H581" s="22"/>
      <c r="I581" s="4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.5" customHeight="1" thickBot="1">
      <c r="A582" s="12"/>
      <c r="B582" s="108"/>
      <c r="C582" s="106"/>
      <c r="D582" s="100" t="s">
        <v>60</v>
      </c>
      <c r="E582" s="17">
        <v>1175</v>
      </c>
      <c r="F582" s="18">
        <v>764</v>
      </c>
      <c r="G582" s="23"/>
      <c r="H582" s="22"/>
      <c r="I582" s="4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.5" customHeight="1" thickBot="1">
      <c r="A583" s="12"/>
      <c r="B583" s="108"/>
      <c r="C583" s="106"/>
      <c r="D583" s="100" t="s">
        <v>61</v>
      </c>
      <c r="E583" s="17">
        <v>1176</v>
      </c>
      <c r="F583" s="18">
        <v>764</v>
      </c>
      <c r="G583" s="23"/>
      <c r="H583" s="22"/>
      <c r="I583" s="4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.5" customHeight="1" thickBot="1">
      <c r="A584" s="12"/>
      <c r="B584" s="108"/>
      <c r="C584" s="106"/>
      <c r="D584" s="100" t="s">
        <v>340</v>
      </c>
      <c r="E584" s="17">
        <v>1177</v>
      </c>
      <c r="F584" s="18">
        <v>255</v>
      </c>
      <c r="G584" s="23"/>
      <c r="H584" s="22"/>
      <c r="I584" s="4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.5" customHeight="1" thickBot="1">
      <c r="A585" s="12"/>
      <c r="B585" s="108"/>
      <c r="C585" s="106"/>
      <c r="D585" s="100" t="s">
        <v>14</v>
      </c>
      <c r="E585" s="17">
        <v>1184</v>
      </c>
      <c r="F585" s="18">
        <v>764</v>
      </c>
      <c r="G585" s="23"/>
      <c r="H585" s="22"/>
      <c r="I585" s="4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30.5" customHeight="1" thickBot="1">
      <c r="A586" s="12"/>
      <c r="B586" s="108"/>
      <c r="C586" s="106"/>
      <c r="D586" s="100" t="s">
        <v>20</v>
      </c>
      <c r="E586" s="17">
        <v>1183</v>
      </c>
      <c r="F586" s="18">
        <v>720</v>
      </c>
      <c r="G586" s="23"/>
      <c r="H586" s="22"/>
      <c r="I586" s="4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.5" customHeight="1" thickBot="1">
      <c r="A587" s="12"/>
      <c r="B587" s="108"/>
      <c r="C587" s="106"/>
      <c r="D587" s="100" t="s">
        <v>29</v>
      </c>
      <c r="E587" s="17">
        <v>1194</v>
      </c>
      <c r="F587" s="18">
        <v>1395</v>
      </c>
      <c r="G587" s="23"/>
      <c r="H587" s="22"/>
      <c r="I587" s="4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.5" customHeight="1" thickBot="1">
      <c r="A588" s="12"/>
      <c r="B588" s="108"/>
      <c r="C588" s="106"/>
      <c r="D588" s="100" t="s">
        <v>408</v>
      </c>
      <c r="E588" s="17">
        <v>1269</v>
      </c>
      <c r="F588" s="18">
        <v>191</v>
      </c>
      <c r="G588" s="23"/>
      <c r="H588" s="22"/>
      <c r="I588" s="4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27.5" customHeight="1" thickBot="1">
      <c r="A589" s="12"/>
      <c r="B589" s="109"/>
      <c r="C589" s="107"/>
      <c r="D589" s="100"/>
      <c r="E589" s="17"/>
      <c r="F589" s="18"/>
      <c r="G589" s="23"/>
      <c r="H589" s="22"/>
      <c r="I589" s="4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.5" customHeight="1" thickBot="1">
      <c r="A590" s="12"/>
      <c r="B590" s="108" t="s">
        <v>403</v>
      </c>
      <c r="C590" s="106" t="s">
        <v>409</v>
      </c>
      <c r="D590" s="100" t="s">
        <v>18</v>
      </c>
      <c r="E590" s="17">
        <v>1274</v>
      </c>
      <c r="F590" s="18">
        <v>720</v>
      </c>
      <c r="G590" s="23"/>
      <c r="H590" s="22"/>
      <c r="I590" s="4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.5" customHeight="1" thickBot="1">
      <c r="A591" s="12"/>
      <c r="B591" s="108"/>
      <c r="C591" s="106"/>
      <c r="D591" s="100" t="s">
        <v>410</v>
      </c>
      <c r="E591" s="17">
        <v>1275</v>
      </c>
      <c r="F591" s="18">
        <v>795</v>
      </c>
      <c r="G591" s="23"/>
      <c r="H591" s="22"/>
      <c r="I591" s="4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.5" customHeight="1" thickBot="1">
      <c r="A592" s="12"/>
      <c r="B592" s="109"/>
      <c r="C592" s="107"/>
      <c r="D592" s="100" t="s">
        <v>411</v>
      </c>
      <c r="E592" s="17">
        <v>1276</v>
      </c>
      <c r="F592" s="18">
        <v>795</v>
      </c>
      <c r="G592" s="23"/>
      <c r="H592" s="22"/>
      <c r="I592" s="4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.5" customHeight="1" thickBot="1">
      <c r="A593" s="12"/>
      <c r="B593" s="108"/>
      <c r="C593" s="106"/>
      <c r="D593" s="100"/>
      <c r="E593" s="17"/>
      <c r="F593" s="18"/>
      <c r="G593" s="23"/>
      <c r="H593" s="22"/>
      <c r="I593" s="4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.5" customHeight="1" thickBot="1">
      <c r="A594" s="12"/>
      <c r="B594" s="108" t="s">
        <v>412</v>
      </c>
      <c r="C594" s="106" t="s">
        <v>413</v>
      </c>
      <c r="D594" s="100" t="s">
        <v>12</v>
      </c>
      <c r="E594" s="17">
        <v>1168</v>
      </c>
      <c r="F594" s="18">
        <v>414</v>
      </c>
      <c r="G594" s="23"/>
      <c r="H594" s="22"/>
      <c r="I594" s="4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.5" customHeight="1" thickBot="1">
      <c r="A595" s="12"/>
      <c r="B595" s="109"/>
      <c r="C595" s="107"/>
      <c r="D595" s="100" t="s">
        <v>14</v>
      </c>
      <c r="E595" s="17">
        <v>1211</v>
      </c>
      <c r="F595" s="18">
        <v>573</v>
      </c>
      <c r="G595" s="23"/>
      <c r="H595" s="22"/>
      <c r="I595" s="4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.5" customHeight="1" thickBot="1">
      <c r="A596" s="12"/>
      <c r="B596" s="108"/>
      <c r="C596" s="106"/>
      <c r="D596" s="100" t="s">
        <v>29</v>
      </c>
      <c r="E596" s="17">
        <v>1212</v>
      </c>
      <c r="F596" s="18">
        <v>414</v>
      </c>
      <c r="G596" s="23"/>
      <c r="H596" s="22"/>
      <c r="I596" s="4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.5" customHeight="1" thickBot="1">
      <c r="A597" s="12"/>
      <c r="B597" s="108"/>
      <c r="C597" s="106"/>
      <c r="D597" s="106"/>
      <c r="E597" s="17"/>
      <c r="F597" s="18"/>
      <c r="G597" s="23"/>
      <c r="H597" s="22"/>
      <c r="I597" s="4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.5" customHeight="1" thickBot="1">
      <c r="A598" s="12"/>
      <c r="B598" s="108" t="s">
        <v>412</v>
      </c>
      <c r="C598" s="106" t="s">
        <v>412</v>
      </c>
      <c r="D598" s="100" t="s">
        <v>18</v>
      </c>
      <c r="E598" s="17">
        <v>1133</v>
      </c>
      <c r="F598" s="18">
        <v>720</v>
      </c>
      <c r="G598" s="23"/>
      <c r="H598" s="22"/>
      <c r="I598" s="4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.5" customHeight="1" thickBot="1">
      <c r="A599" s="12"/>
      <c r="B599" s="108"/>
      <c r="C599" s="106"/>
      <c r="D599" s="100" t="s">
        <v>103</v>
      </c>
      <c r="E599" s="17" t="s">
        <v>414</v>
      </c>
      <c r="F599" s="18">
        <v>995</v>
      </c>
      <c r="G599" s="23"/>
      <c r="H599" s="22"/>
      <c r="I599" s="4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27.5" customHeight="1" thickBot="1">
      <c r="A600" s="12"/>
      <c r="B600" s="108"/>
      <c r="C600" s="106"/>
      <c r="D600" s="100" t="s">
        <v>415</v>
      </c>
      <c r="E600" s="17" t="s">
        <v>416</v>
      </c>
      <c r="F600" s="18">
        <v>0</v>
      </c>
      <c r="G600" s="23"/>
      <c r="H600" s="22"/>
      <c r="I600" s="4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.5" customHeight="1" thickBot="1">
      <c r="A601" s="12"/>
      <c r="B601" s="108"/>
      <c r="C601" s="106"/>
      <c r="D601" s="100" t="s">
        <v>259</v>
      </c>
      <c r="E601" s="17">
        <v>1134</v>
      </c>
      <c r="F601" s="18">
        <v>255</v>
      </c>
      <c r="G601" s="23"/>
      <c r="H601" s="22"/>
      <c r="I601" s="4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.5" customHeight="1" thickBot="1">
      <c r="A602" s="12"/>
      <c r="B602" s="108"/>
      <c r="C602" s="106"/>
      <c r="D602" s="100" t="s">
        <v>20</v>
      </c>
      <c r="E602" s="17">
        <v>1135</v>
      </c>
      <c r="F602" s="18">
        <v>720</v>
      </c>
      <c r="G602" s="23"/>
      <c r="H602" s="22"/>
      <c r="I602" s="4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.5" customHeight="1" thickBot="1">
      <c r="A603" s="12"/>
      <c r="B603" s="108"/>
      <c r="C603" s="106"/>
      <c r="D603" s="100" t="s">
        <v>29</v>
      </c>
      <c r="E603" s="17">
        <v>1136</v>
      </c>
      <c r="F603" s="18">
        <v>1295</v>
      </c>
      <c r="G603" s="23"/>
      <c r="H603" s="22"/>
      <c r="I603" s="4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.5" customHeight="1" thickBot="1">
      <c r="A604" s="12"/>
      <c r="B604" s="108"/>
      <c r="C604" s="106"/>
      <c r="D604" s="100" t="s">
        <v>14</v>
      </c>
      <c r="E604" s="17">
        <v>1137</v>
      </c>
      <c r="F604" s="18">
        <v>573</v>
      </c>
      <c r="G604" s="23"/>
      <c r="H604" s="22"/>
      <c r="I604" s="4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.5" customHeight="1" thickBot="1">
      <c r="A605" s="12"/>
      <c r="B605" s="108"/>
      <c r="C605" s="106"/>
      <c r="D605" s="100" t="s">
        <v>417</v>
      </c>
      <c r="E605" s="17">
        <v>1138</v>
      </c>
      <c r="F605" s="18">
        <v>764</v>
      </c>
      <c r="G605" s="23"/>
      <c r="H605" s="22"/>
      <c r="I605" s="4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.5" customHeight="1" thickBot="1">
      <c r="A606" s="12"/>
      <c r="B606" s="108"/>
      <c r="C606" s="106"/>
      <c r="D606" s="100" t="s">
        <v>418</v>
      </c>
      <c r="E606" s="17" t="s">
        <v>419</v>
      </c>
      <c r="F606" s="18">
        <v>955</v>
      </c>
      <c r="G606" s="23"/>
      <c r="H606" s="22"/>
      <c r="I606" s="4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.5" customHeight="1" thickBot="1">
      <c r="A607" s="12"/>
      <c r="B607" s="109"/>
      <c r="C607" s="107"/>
      <c r="D607" s="100" t="s">
        <v>60</v>
      </c>
      <c r="E607" s="17">
        <v>1145</v>
      </c>
      <c r="F607" s="18">
        <v>1273</v>
      </c>
      <c r="G607" s="23"/>
      <c r="H607" s="22"/>
      <c r="I607" s="4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.5" customHeight="1" thickBot="1">
      <c r="A608" s="12"/>
      <c r="B608" s="117"/>
      <c r="C608" s="106"/>
      <c r="D608" s="100" t="s">
        <v>54</v>
      </c>
      <c r="E608" s="17">
        <v>1167</v>
      </c>
      <c r="F608" s="18">
        <v>95</v>
      </c>
      <c r="G608" s="23"/>
      <c r="H608" s="22"/>
      <c r="I608" s="4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.5" customHeight="1" thickBot="1">
      <c r="A609" s="12"/>
      <c r="B609" s="108"/>
      <c r="C609" s="106"/>
      <c r="D609" s="100" t="s">
        <v>420</v>
      </c>
      <c r="E609" s="17" t="s">
        <v>421</v>
      </c>
      <c r="F609" s="18">
        <v>286</v>
      </c>
      <c r="G609" s="23"/>
      <c r="H609" s="22"/>
      <c r="I609" s="4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.5" customHeight="1" thickBot="1">
      <c r="A610" s="12"/>
      <c r="B610" s="108"/>
      <c r="C610" s="106"/>
      <c r="D610" s="100"/>
      <c r="E610" s="17"/>
      <c r="F610" s="18"/>
      <c r="G610" s="23"/>
      <c r="H610" s="22"/>
      <c r="I610" s="4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.5" customHeight="1" thickBot="1">
      <c r="A611" s="12"/>
      <c r="B611" s="108" t="s">
        <v>422</v>
      </c>
      <c r="C611" s="106" t="s">
        <v>412</v>
      </c>
      <c r="D611" s="100" t="s">
        <v>18</v>
      </c>
      <c r="E611" s="17">
        <v>1235</v>
      </c>
      <c r="F611" s="18">
        <v>720</v>
      </c>
      <c r="G611" s="23"/>
      <c r="H611" s="22"/>
      <c r="I611" s="4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.5" customHeight="1" thickBot="1">
      <c r="A612" s="12"/>
      <c r="B612" s="108" t="s">
        <v>423</v>
      </c>
      <c r="C612" s="106"/>
      <c r="D612" s="100" t="s">
        <v>103</v>
      </c>
      <c r="E612" s="17" t="s">
        <v>414</v>
      </c>
      <c r="F612" s="18">
        <v>995</v>
      </c>
      <c r="G612" s="23"/>
      <c r="H612" s="22"/>
      <c r="I612" s="4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.5" customHeight="1" thickBot="1">
      <c r="A613" s="12"/>
      <c r="B613" s="108"/>
      <c r="C613" s="106"/>
      <c r="D613" s="100" t="s">
        <v>424</v>
      </c>
      <c r="E613" s="17" t="s">
        <v>416</v>
      </c>
      <c r="F613" s="18">
        <v>0</v>
      </c>
      <c r="G613" s="23"/>
      <c r="H613" s="22"/>
      <c r="I613" s="4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27.5" customHeight="1" thickBot="1">
      <c r="A614" s="12"/>
      <c r="B614" s="108"/>
      <c r="C614" s="106"/>
      <c r="D614" s="100" t="s">
        <v>259</v>
      </c>
      <c r="E614" s="17">
        <v>1134</v>
      </c>
      <c r="F614" s="18">
        <v>255</v>
      </c>
      <c r="G614" s="23"/>
      <c r="H614" s="22"/>
      <c r="I614" s="4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.5" customHeight="1" thickBot="1">
      <c r="A615" s="12"/>
      <c r="B615" s="108"/>
      <c r="C615" s="106"/>
      <c r="D615" s="100" t="s">
        <v>20</v>
      </c>
      <c r="E615" s="17">
        <v>1236</v>
      </c>
      <c r="F615" s="18">
        <v>720</v>
      </c>
      <c r="G615" s="23"/>
      <c r="H615" s="22"/>
      <c r="I615" s="4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.5" customHeight="1" thickBot="1">
      <c r="A616" s="12"/>
      <c r="B616" s="108"/>
      <c r="C616" s="106"/>
      <c r="D616" s="100" t="s">
        <v>29</v>
      </c>
      <c r="E616" s="17">
        <v>1136</v>
      </c>
      <c r="F616" s="18">
        <v>1295</v>
      </c>
      <c r="G616" s="23"/>
      <c r="H616" s="22"/>
      <c r="I616" s="4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.5" customHeight="1" thickBot="1">
      <c r="A617" s="12"/>
      <c r="B617" s="109"/>
      <c r="C617" s="107"/>
      <c r="D617" s="100" t="s">
        <v>14</v>
      </c>
      <c r="E617" s="17">
        <v>1237</v>
      </c>
      <c r="F617" s="18">
        <v>573</v>
      </c>
      <c r="G617" s="23"/>
      <c r="H617" s="22"/>
      <c r="I617" s="4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35.5" customHeight="1" thickBot="1">
      <c r="A618" s="12"/>
      <c r="B618" s="117"/>
      <c r="C618" s="106"/>
      <c r="D618" s="100" t="s">
        <v>22</v>
      </c>
      <c r="E618" s="17">
        <v>1138</v>
      </c>
      <c r="F618" s="18">
        <v>764</v>
      </c>
      <c r="G618" s="23"/>
      <c r="H618" s="22"/>
      <c r="I618" s="4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.5" customHeight="1" thickBot="1">
      <c r="A619" s="12"/>
      <c r="B619" s="108"/>
      <c r="C619" s="106"/>
      <c r="D619" s="100" t="s">
        <v>54</v>
      </c>
      <c r="E619" s="17">
        <v>1167</v>
      </c>
      <c r="F619" s="18">
        <v>95</v>
      </c>
      <c r="G619" s="23"/>
      <c r="H619" s="22"/>
      <c r="I619" s="4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.5" customHeight="1" thickBot="1">
      <c r="A620" s="12"/>
      <c r="B620" s="108"/>
      <c r="C620" s="106"/>
      <c r="D620" s="100" t="s">
        <v>420</v>
      </c>
      <c r="E620" s="17" t="s">
        <v>421</v>
      </c>
      <c r="F620" s="18">
        <v>286</v>
      </c>
      <c r="G620" s="23"/>
      <c r="H620" s="22"/>
      <c r="I620" s="4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.5" customHeight="1" thickBot="1">
      <c r="A621" s="12"/>
      <c r="B621" s="108"/>
      <c r="C621" s="106"/>
      <c r="D621" s="100"/>
      <c r="E621" s="17"/>
      <c r="F621" s="18"/>
      <c r="G621" s="23"/>
      <c r="H621" s="22"/>
      <c r="I621" s="4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.5" customHeight="1" thickBot="1">
      <c r="A622" s="12"/>
      <c r="B622" s="108" t="s">
        <v>422</v>
      </c>
      <c r="C622" s="106" t="s">
        <v>412</v>
      </c>
      <c r="D622" s="100" t="s">
        <v>18</v>
      </c>
      <c r="E622" s="17">
        <v>1133</v>
      </c>
      <c r="F622" s="18">
        <v>720</v>
      </c>
      <c r="G622" s="23"/>
      <c r="H622" s="22"/>
      <c r="I622" s="4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.5" customHeight="1" thickBot="1">
      <c r="A623" s="12"/>
      <c r="B623" s="108" t="s">
        <v>425</v>
      </c>
      <c r="C623" s="106"/>
      <c r="D623" s="100" t="s">
        <v>103</v>
      </c>
      <c r="E623" s="17" t="s">
        <v>414</v>
      </c>
      <c r="F623" s="18">
        <v>995</v>
      </c>
      <c r="G623" s="23"/>
      <c r="H623" s="22"/>
      <c r="I623" s="4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.5" customHeight="1" thickBot="1">
      <c r="A624" s="12"/>
      <c r="B624" s="108"/>
      <c r="C624" s="106"/>
      <c r="D624" s="100" t="s">
        <v>424</v>
      </c>
      <c r="E624" s="17" t="s">
        <v>416</v>
      </c>
      <c r="F624" s="18">
        <v>0</v>
      </c>
      <c r="G624" s="23"/>
      <c r="H624" s="22"/>
      <c r="I624" s="4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.5" customHeight="1" thickBot="1">
      <c r="A625" s="12"/>
      <c r="B625" s="108"/>
      <c r="C625" s="106"/>
      <c r="D625" s="100" t="s">
        <v>259</v>
      </c>
      <c r="E625" s="17">
        <v>1134</v>
      </c>
      <c r="F625" s="18">
        <v>255</v>
      </c>
      <c r="G625" s="23"/>
      <c r="H625" s="22"/>
      <c r="I625" s="4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.5" customHeight="1" thickBot="1">
      <c r="A626" s="12"/>
      <c r="B626" s="108"/>
      <c r="C626" s="106"/>
      <c r="D626" s="100" t="s">
        <v>20</v>
      </c>
      <c r="E626" s="17">
        <v>1135</v>
      </c>
      <c r="F626" s="18">
        <v>720</v>
      </c>
      <c r="G626" s="23"/>
      <c r="H626" s="22"/>
      <c r="I626" s="4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.5" customHeight="1" thickBot="1">
      <c r="A627" s="12"/>
      <c r="B627" s="108"/>
      <c r="C627" s="106"/>
      <c r="D627" s="100" t="s">
        <v>29</v>
      </c>
      <c r="E627" s="17">
        <v>1136</v>
      </c>
      <c r="F627" s="18">
        <v>1295</v>
      </c>
      <c r="G627" s="23"/>
      <c r="H627" s="22"/>
      <c r="I627" s="4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.5" customHeight="1" thickBot="1">
      <c r="A628" s="12"/>
      <c r="B628" s="108"/>
      <c r="C628" s="106"/>
      <c r="D628" s="100" t="s">
        <v>14</v>
      </c>
      <c r="E628" s="17">
        <v>1232</v>
      </c>
      <c r="F628" s="18">
        <v>573</v>
      </c>
      <c r="G628" s="23"/>
      <c r="H628" s="22"/>
      <c r="I628" s="4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.5" customHeight="1" thickBot="1">
      <c r="A629" s="12"/>
      <c r="B629" s="108"/>
      <c r="C629" s="106"/>
      <c r="D629" s="100" t="s">
        <v>22</v>
      </c>
      <c r="E629" s="17">
        <v>1138</v>
      </c>
      <c r="F629" s="18">
        <v>764</v>
      </c>
      <c r="G629" s="23"/>
      <c r="H629" s="22"/>
      <c r="I629" s="4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.5" customHeight="1" thickBot="1">
      <c r="A630" s="127"/>
      <c r="B630" s="128"/>
      <c r="C630" s="128"/>
      <c r="D630" s="128"/>
      <c r="E630" s="128"/>
      <c r="F630" s="128"/>
      <c r="G630" s="129"/>
      <c r="H630" s="22"/>
      <c r="I630" s="4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.5" customHeight="1" thickBot="1">
      <c r="A631" s="12"/>
      <c r="B631" s="109"/>
      <c r="C631" s="107"/>
      <c r="D631" s="100" t="s">
        <v>61</v>
      </c>
      <c r="E631" s="17">
        <v>1234</v>
      </c>
      <c r="F631" s="18">
        <v>509</v>
      </c>
      <c r="G631" s="23"/>
      <c r="H631" s="22"/>
      <c r="I631" s="4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.5" customHeight="1" thickBot="1">
      <c r="A632" s="12"/>
      <c r="B632" s="109"/>
      <c r="C632" s="107"/>
      <c r="D632" s="100" t="s">
        <v>398</v>
      </c>
      <c r="E632" s="17">
        <v>1233</v>
      </c>
      <c r="F632" s="18">
        <v>955</v>
      </c>
      <c r="G632" s="23"/>
      <c r="H632" s="22"/>
      <c r="I632" s="4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.5" customHeight="1" thickBot="1">
      <c r="A633" s="12"/>
      <c r="B633" s="109"/>
      <c r="C633" s="107"/>
      <c r="D633" s="100" t="s">
        <v>54</v>
      </c>
      <c r="E633" s="17">
        <v>1167</v>
      </c>
      <c r="F633" s="18">
        <v>95</v>
      </c>
      <c r="G633" s="23"/>
      <c r="H633" s="22"/>
      <c r="I633" s="4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.5" customHeight="1" thickBot="1">
      <c r="A634" s="12"/>
      <c r="B634" s="109"/>
      <c r="C634" s="107"/>
      <c r="D634" s="100" t="s">
        <v>420</v>
      </c>
      <c r="E634" s="17" t="s">
        <v>421</v>
      </c>
      <c r="F634" s="18">
        <v>286</v>
      </c>
      <c r="G634" s="23"/>
      <c r="H634" s="22"/>
      <c r="I634" s="4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.5" customHeight="1" thickBot="1">
      <c r="A635" s="12"/>
      <c r="B635" s="109"/>
      <c r="C635" s="107"/>
      <c r="D635" s="100"/>
      <c r="E635" s="17"/>
      <c r="F635" s="18"/>
      <c r="G635" s="23"/>
      <c r="H635" s="22"/>
      <c r="I635" s="4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.5" customHeight="1" thickBot="1">
      <c r="A636" s="12"/>
      <c r="B636" s="108" t="s">
        <v>422</v>
      </c>
      <c r="C636" s="106" t="s">
        <v>386</v>
      </c>
      <c r="D636" s="100" t="s">
        <v>14</v>
      </c>
      <c r="E636" s="17">
        <v>1235</v>
      </c>
      <c r="F636" s="18">
        <v>573</v>
      </c>
      <c r="G636" s="23"/>
      <c r="H636" s="22"/>
      <c r="I636" s="4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.5" customHeight="1" thickBot="1">
      <c r="A637" s="12"/>
      <c r="B637" s="109" t="s">
        <v>412</v>
      </c>
      <c r="C637" s="107" t="s">
        <v>426</v>
      </c>
      <c r="D637" s="100" t="s">
        <v>427</v>
      </c>
      <c r="E637" s="17">
        <v>1139</v>
      </c>
      <c r="F637" s="18">
        <v>573</v>
      </c>
      <c r="G637" s="23"/>
      <c r="H637" s="22"/>
      <c r="I637" s="4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.5" customHeight="1" thickBot="1">
      <c r="A638" s="12"/>
      <c r="B638" s="108" t="s">
        <v>412</v>
      </c>
      <c r="C638" s="106" t="s">
        <v>428</v>
      </c>
      <c r="D638" s="100" t="s">
        <v>103</v>
      </c>
      <c r="E638" s="17">
        <v>1140</v>
      </c>
      <c r="F638" s="18">
        <v>995</v>
      </c>
      <c r="G638" s="23"/>
      <c r="H638" s="22"/>
      <c r="I638" s="4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.5" customHeight="1" thickBot="1">
      <c r="A639" s="12"/>
      <c r="B639" s="108" t="s">
        <v>412</v>
      </c>
      <c r="C639" s="107" t="s">
        <v>428</v>
      </c>
      <c r="D639" s="100" t="s">
        <v>29</v>
      </c>
      <c r="E639" s="17">
        <v>1141</v>
      </c>
      <c r="F639" s="18">
        <v>1395</v>
      </c>
      <c r="G639" s="23"/>
      <c r="H639" s="22"/>
      <c r="I639" s="4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.5" customHeight="1" thickBot="1">
      <c r="A640" s="12"/>
      <c r="B640" s="108" t="s">
        <v>412</v>
      </c>
      <c r="C640" s="107" t="s">
        <v>429</v>
      </c>
      <c r="D640" s="100" t="s">
        <v>124</v>
      </c>
      <c r="E640" s="17">
        <v>1148</v>
      </c>
      <c r="F640" s="18">
        <v>509</v>
      </c>
      <c r="G640" s="23"/>
      <c r="H640" s="22"/>
      <c r="I640" s="4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.5" customHeight="1" thickBot="1">
      <c r="A641" s="12"/>
      <c r="B641" s="109" t="s">
        <v>412</v>
      </c>
      <c r="C641" s="107" t="s">
        <v>430</v>
      </c>
      <c r="D641" s="100" t="s">
        <v>12</v>
      </c>
      <c r="E641" s="17">
        <v>1161</v>
      </c>
      <c r="F641" s="18">
        <v>995</v>
      </c>
      <c r="G641" s="23"/>
      <c r="H641" s="22"/>
      <c r="I641" s="4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.5" customHeight="1" thickBot="1">
      <c r="A642" s="12"/>
      <c r="B642" s="108"/>
      <c r="C642" s="107"/>
      <c r="D642" s="100" t="s">
        <v>402</v>
      </c>
      <c r="E642" s="17">
        <v>1162</v>
      </c>
      <c r="F642" s="18">
        <v>255</v>
      </c>
      <c r="G642" s="23"/>
      <c r="H642" s="22"/>
      <c r="I642" s="4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.5" customHeight="1" thickBot="1">
      <c r="A643" s="12"/>
      <c r="B643" s="108" t="s">
        <v>431</v>
      </c>
      <c r="C643" s="106" t="s">
        <v>432</v>
      </c>
      <c r="D643" s="100" t="s">
        <v>18</v>
      </c>
      <c r="E643" s="17">
        <v>1395</v>
      </c>
      <c r="F643" s="18">
        <v>720</v>
      </c>
      <c r="G643" s="23"/>
      <c r="H643" s="22"/>
      <c r="I643" s="4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.5" customHeight="1" thickBot="1">
      <c r="A644" s="12"/>
      <c r="B644" s="108"/>
      <c r="C644" s="106"/>
      <c r="D644" s="100" t="s">
        <v>22</v>
      </c>
      <c r="E644" s="17">
        <v>1364</v>
      </c>
      <c r="F644" s="18">
        <v>445</v>
      </c>
      <c r="G644" s="23"/>
      <c r="H644" s="22"/>
      <c r="I644" s="4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.5" customHeight="1" thickBot="1">
      <c r="A645" s="12"/>
      <c r="B645" s="109"/>
      <c r="C645" s="107" t="s">
        <v>433</v>
      </c>
      <c r="D645" s="100" t="s">
        <v>14</v>
      </c>
      <c r="E645" s="17">
        <v>1366</v>
      </c>
      <c r="F645" s="18">
        <v>573</v>
      </c>
      <c r="G645" s="23"/>
      <c r="H645" s="22"/>
      <c r="I645" s="4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.5" customHeight="1" thickBot="1">
      <c r="A646" s="12"/>
      <c r="B646" s="108"/>
      <c r="C646" s="106" t="s">
        <v>433</v>
      </c>
      <c r="D646" s="100" t="s">
        <v>20</v>
      </c>
      <c r="E646" s="17">
        <v>1419</v>
      </c>
      <c r="F646" s="18">
        <v>720</v>
      </c>
      <c r="G646" s="23"/>
      <c r="H646" s="22"/>
      <c r="I646" s="4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.5" customHeight="1" thickBot="1">
      <c r="A647" s="12"/>
      <c r="B647" s="108" t="s">
        <v>434</v>
      </c>
      <c r="C647" s="106" t="s">
        <v>68</v>
      </c>
      <c r="D647" s="100" t="s">
        <v>82</v>
      </c>
      <c r="E647" s="17">
        <v>570</v>
      </c>
      <c r="F647" s="18">
        <v>414</v>
      </c>
      <c r="G647" s="23"/>
      <c r="H647" s="22"/>
      <c r="I647" s="4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.5" customHeight="1" thickBot="1">
      <c r="A648" s="12"/>
      <c r="B648" s="108"/>
      <c r="C648" s="107" t="s">
        <v>433</v>
      </c>
      <c r="D648" s="100" t="s">
        <v>18</v>
      </c>
      <c r="E648" s="17">
        <v>980</v>
      </c>
      <c r="F648" s="18">
        <v>720</v>
      </c>
      <c r="G648" s="23"/>
      <c r="H648" s="22"/>
      <c r="I648" s="4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.5" customHeight="1" thickBot="1">
      <c r="A649" s="12"/>
      <c r="B649" s="108"/>
      <c r="C649" s="106"/>
      <c r="D649" s="100" t="s">
        <v>20</v>
      </c>
      <c r="E649" s="17">
        <v>981</v>
      </c>
      <c r="F649" s="18">
        <v>720</v>
      </c>
      <c r="G649" s="23"/>
      <c r="H649" s="22"/>
      <c r="I649" s="4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.5" customHeight="1" thickBot="1">
      <c r="A650" s="12"/>
      <c r="B650" s="109"/>
      <c r="C650" s="107"/>
      <c r="D650" s="100" t="s">
        <v>14</v>
      </c>
      <c r="E650" s="17">
        <v>982</v>
      </c>
      <c r="F650" s="18">
        <v>573</v>
      </c>
      <c r="G650" s="23"/>
      <c r="H650" s="22"/>
      <c r="I650" s="4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.5" customHeight="1" thickBot="1">
      <c r="A651" s="12"/>
      <c r="B651" s="108" t="s">
        <v>435</v>
      </c>
      <c r="C651" s="106" t="s">
        <v>229</v>
      </c>
      <c r="D651" s="100" t="s">
        <v>18</v>
      </c>
      <c r="E651" s="17">
        <v>1163</v>
      </c>
      <c r="F651" s="18">
        <v>720</v>
      </c>
      <c r="G651" s="23"/>
      <c r="H651" s="22"/>
      <c r="I651" s="4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.5" customHeight="1" thickBot="1">
      <c r="A652" s="12"/>
      <c r="B652" s="108"/>
      <c r="C652" s="106"/>
      <c r="D652" s="100" t="s">
        <v>20</v>
      </c>
      <c r="E652" s="17">
        <v>1164</v>
      </c>
      <c r="F652" s="18">
        <v>720</v>
      </c>
      <c r="G652" s="23"/>
      <c r="H652" s="22"/>
      <c r="I652" s="4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20.25" customHeight="1" thickBot="1">
      <c r="A653" s="12"/>
      <c r="B653" s="108"/>
      <c r="C653" s="106"/>
      <c r="D653" s="100" t="s">
        <v>14</v>
      </c>
      <c r="E653" s="17">
        <v>1165</v>
      </c>
      <c r="F653" s="18">
        <v>573</v>
      </c>
      <c r="G653" s="23"/>
      <c r="H653" s="22"/>
      <c r="I653" s="4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" customHeight="1" thickBot="1">
      <c r="A654" s="136"/>
      <c r="B654" s="143"/>
      <c r="C654" s="144" t="s">
        <v>436</v>
      </c>
      <c r="D654" s="139" t="s">
        <v>60</v>
      </c>
      <c r="E654" s="140">
        <v>1365</v>
      </c>
      <c r="F654" s="141">
        <v>955</v>
      </c>
      <c r="G654" s="148"/>
      <c r="H654" s="22"/>
      <c r="I654" s="4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.5" customHeight="1" thickBot="1">
      <c r="A655" s="12"/>
      <c r="B655" s="108"/>
      <c r="C655" s="107"/>
      <c r="D655" s="100" t="s">
        <v>437</v>
      </c>
      <c r="E655" s="17">
        <v>1430</v>
      </c>
      <c r="F655" s="18">
        <v>955</v>
      </c>
      <c r="G655" s="23"/>
      <c r="H655" s="22"/>
      <c r="I655" s="4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.5" customHeight="1" thickBot="1">
      <c r="A656" s="12"/>
      <c r="B656" s="108" t="s">
        <v>438</v>
      </c>
      <c r="C656" s="106" t="s">
        <v>68</v>
      </c>
      <c r="D656" s="100" t="s">
        <v>12</v>
      </c>
      <c r="E656" s="17">
        <v>571</v>
      </c>
      <c r="F656" s="18">
        <v>414</v>
      </c>
      <c r="G656" s="23"/>
      <c r="H656" s="22"/>
      <c r="I656" s="4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.5" customHeight="1" thickBot="1">
      <c r="A657" s="12"/>
      <c r="B657" s="108"/>
      <c r="C657" s="106"/>
      <c r="D657" s="100" t="s">
        <v>103</v>
      </c>
      <c r="E657" s="17">
        <v>572</v>
      </c>
      <c r="F657" s="18">
        <v>995</v>
      </c>
      <c r="G657" s="23"/>
      <c r="H657" s="22"/>
      <c r="I657" s="4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.5" customHeight="1" thickBot="1">
      <c r="A658" s="12"/>
      <c r="B658" s="108"/>
      <c r="C658" s="106"/>
      <c r="D658" s="100" t="s">
        <v>82</v>
      </c>
      <c r="E658" s="17">
        <v>573</v>
      </c>
      <c r="F658" s="18">
        <v>445</v>
      </c>
      <c r="G658" s="23"/>
      <c r="H658" s="22"/>
      <c r="I658" s="4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.5" customHeight="1" thickBot="1">
      <c r="A659" s="12"/>
      <c r="B659" s="108"/>
      <c r="C659" s="106"/>
      <c r="D659" s="100" t="s">
        <v>439</v>
      </c>
      <c r="E659" s="17">
        <v>574</v>
      </c>
      <c r="F659" s="18">
        <v>573</v>
      </c>
      <c r="G659" s="23"/>
      <c r="H659" s="22"/>
      <c r="I659" s="4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.5" customHeight="1" thickBot="1">
      <c r="A660" s="12"/>
      <c r="B660" s="108"/>
      <c r="C660" s="106"/>
      <c r="D660" s="100" t="s">
        <v>440</v>
      </c>
      <c r="E660" s="17" t="s">
        <v>441</v>
      </c>
      <c r="F660" s="18">
        <v>382</v>
      </c>
      <c r="G660" s="23"/>
      <c r="H660" s="22"/>
      <c r="I660" s="4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.5" customHeight="1" thickBot="1">
      <c r="A661" s="12"/>
      <c r="B661" s="108"/>
      <c r="C661" s="107" t="s">
        <v>442</v>
      </c>
      <c r="D661" s="100" t="s">
        <v>18</v>
      </c>
      <c r="E661" s="17">
        <v>709</v>
      </c>
      <c r="F661" s="18">
        <v>720</v>
      </c>
      <c r="G661" s="23"/>
      <c r="H661" s="22"/>
      <c r="I661" s="4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.5" customHeight="1" thickBot="1">
      <c r="A662" s="12"/>
      <c r="B662" s="108"/>
      <c r="C662" s="106"/>
      <c r="D662" s="100" t="s">
        <v>20</v>
      </c>
      <c r="E662" s="17">
        <v>710</v>
      </c>
      <c r="F662" s="18">
        <v>720</v>
      </c>
      <c r="G662" s="23"/>
      <c r="H662" s="22"/>
      <c r="I662" s="4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.5" customHeight="1" thickBot="1">
      <c r="A663" s="12"/>
      <c r="B663" s="108"/>
      <c r="C663" s="106"/>
      <c r="D663" s="100" t="s">
        <v>14</v>
      </c>
      <c r="E663" s="17">
        <v>711</v>
      </c>
      <c r="F663" s="18">
        <v>573</v>
      </c>
      <c r="G663" s="23"/>
      <c r="H663" s="22"/>
      <c r="I663" s="4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.5" customHeight="1" thickBot="1">
      <c r="A664" s="12"/>
      <c r="B664" s="108"/>
      <c r="C664" s="106"/>
      <c r="D664" s="100" t="s">
        <v>29</v>
      </c>
      <c r="E664" s="17">
        <v>712</v>
      </c>
      <c r="F664" s="18">
        <v>1295</v>
      </c>
      <c r="G664" s="23"/>
      <c r="H664" s="22"/>
      <c r="I664" s="4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.5" customHeight="1" thickBot="1">
      <c r="A665" s="12"/>
      <c r="B665" s="108"/>
      <c r="C665" s="106"/>
      <c r="D665" s="100" t="s">
        <v>60</v>
      </c>
      <c r="E665" s="17">
        <v>713</v>
      </c>
      <c r="F665" s="18">
        <v>955</v>
      </c>
      <c r="G665" s="23"/>
      <c r="H665" s="22"/>
      <c r="I665" s="4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.5" customHeight="1" thickBot="1">
      <c r="A666" s="12"/>
      <c r="B666" s="108"/>
      <c r="C666" s="106"/>
      <c r="D666" s="100" t="s">
        <v>61</v>
      </c>
      <c r="E666" s="17">
        <v>714</v>
      </c>
      <c r="F666" s="18">
        <v>636</v>
      </c>
      <c r="G666" s="23"/>
      <c r="H666" s="22"/>
      <c r="I666" s="4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.5" customHeight="1" thickBot="1">
      <c r="A667" s="12"/>
      <c r="B667" s="108"/>
      <c r="C667" s="106" t="s">
        <v>443</v>
      </c>
      <c r="D667" s="100" t="s">
        <v>18</v>
      </c>
      <c r="E667" s="17">
        <v>871</v>
      </c>
      <c r="F667" s="18">
        <v>764</v>
      </c>
      <c r="G667" s="23"/>
      <c r="H667" s="22"/>
      <c r="I667" s="4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.5" customHeight="1" thickBot="1">
      <c r="A668" s="12"/>
      <c r="B668" s="108"/>
      <c r="C668" s="106"/>
      <c r="D668" s="100" t="s">
        <v>444</v>
      </c>
      <c r="E668" s="17">
        <v>872</v>
      </c>
      <c r="F668" s="18">
        <v>995</v>
      </c>
      <c r="G668" s="23"/>
      <c r="H668" s="22"/>
      <c r="I668" s="4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.5" customHeight="1" thickBot="1">
      <c r="A669" s="12"/>
      <c r="B669" s="108"/>
      <c r="C669" s="106"/>
      <c r="D669" s="100" t="s">
        <v>20</v>
      </c>
      <c r="E669" s="17">
        <v>873</v>
      </c>
      <c r="F669" s="18">
        <v>764</v>
      </c>
      <c r="G669" s="23"/>
      <c r="H669" s="22"/>
      <c r="I669" s="4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.5" customHeight="1" thickBot="1">
      <c r="A670" s="12"/>
      <c r="B670" s="108"/>
      <c r="C670" s="106"/>
      <c r="D670" s="100" t="s">
        <v>14</v>
      </c>
      <c r="E670" s="17">
        <v>874</v>
      </c>
      <c r="F670" s="18">
        <v>955</v>
      </c>
      <c r="G670" s="23"/>
      <c r="H670" s="22"/>
      <c r="I670" s="4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27.5" customHeight="1" thickBot="1">
      <c r="A671" s="12"/>
      <c r="B671" s="108"/>
      <c r="C671" s="106"/>
      <c r="D671" s="100" t="s">
        <v>445</v>
      </c>
      <c r="E671" s="17">
        <v>875</v>
      </c>
      <c r="F671" s="18">
        <v>1591</v>
      </c>
      <c r="G671" s="23"/>
      <c r="H671" s="22"/>
      <c r="I671" s="4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.5" customHeight="1" thickBot="1">
      <c r="A672" s="12"/>
      <c r="B672" s="108"/>
      <c r="C672" s="106"/>
      <c r="D672" s="100" t="s">
        <v>60</v>
      </c>
      <c r="E672" s="17">
        <v>876</v>
      </c>
      <c r="F672" s="18">
        <v>955</v>
      </c>
      <c r="G672" s="23"/>
      <c r="H672" s="22"/>
      <c r="I672" s="4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.5" customHeight="1" thickBot="1">
      <c r="A673" s="12"/>
      <c r="B673" s="108"/>
      <c r="C673" s="106"/>
      <c r="D673" s="100" t="s">
        <v>61</v>
      </c>
      <c r="E673" s="17">
        <v>877</v>
      </c>
      <c r="F673" s="18">
        <v>1591</v>
      </c>
      <c r="G673" s="23"/>
      <c r="H673" s="22"/>
      <c r="I673" s="4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.5" customHeight="1" thickBot="1">
      <c r="A674" s="130"/>
      <c r="B674" s="131" t="s">
        <v>1773</v>
      </c>
      <c r="C674" s="131" t="s">
        <v>1774</v>
      </c>
      <c r="D674" s="131" t="s">
        <v>1775</v>
      </c>
      <c r="E674" s="131">
        <v>720</v>
      </c>
    </row>
    <row r="675" spans="1:27" ht="16.5" customHeight="1" thickBot="1">
      <c r="A675" s="130"/>
      <c r="B675" s="131" t="s">
        <v>1773</v>
      </c>
      <c r="C675" s="131" t="s">
        <v>1776</v>
      </c>
      <c r="D675" s="131" t="s">
        <v>29</v>
      </c>
      <c r="E675" s="131">
        <v>720</v>
      </c>
    </row>
    <row r="676" spans="1:27" ht="16.5" customHeight="1" thickBot="1">
      <c r="A676" s="130"/>
      <c r="B676" s="131" t="s">
        <v>1773</v>
      </c>
      <c r="C676" s="131" t="s">
        <v>1777</v>
      </c>
      <c r="D676" s="131" t="s">
        <v>29</v>
      </c>
      <c r="E676" s="131">
        <v>1099</v>
      </c>
    </row>
    <row r="677" spans="1:27" ht="16.5" customHeight="1" thickBot="1">
      <c r="A677" s="130"/>
      <c r="B677" s="131" t="s">
        <v>1773</v>
      </c>
      <c r="C677" s="131" t="s">
        <v>1778</v>
      </c>
      <c r="D677" s="131" t="s">
        <v>1779</v>
      </c>
      <c r="E677" s="131">
        <v>7950</v>
      </c>
    </row>
    <row r="678" spans="1:27" ht="16.5" customHeight="1" thickBot="1">
      <c r="A678" s="130"/>
      <c r="B678" s="131" t="s">
        <v>1880</v>
      </c>
      <c r="C678" s="131" t="s">
        <v>1776</v>
      </c>
      <c r="D678" s="131" t="s">
        <v>29</v>
      </c>
      <c r="E678" s="131">
        <v>1270</v>
      </c>
    </row>
    <row r="679" spans="1:27" ht="16.5" customHeight="1" thickBot="1">
      <c r="A679" s="130"/>
      <c r="B679" s="131" t="s">
        <v>1880</v>
      </c>
      <c r="C679" s="131" t="s">
        <v>1781</v>
      </c>
      <c r="D679" s="131" t="s">
        <v>326</v>
      </c>
      <c r="E679" s="131">
        <v>800</v>
      </c>
    </row>
    <row r="680" spans="1:27" ht="16.5" customHeight="1" thickBot="1">
      <c r="A680" s="130"/>
      <c r="B680" s="131" t="s">
        <v>1880</v>
      </c>
      <c r="C680" s="131" t="s">
        <v>1782</v>
      </c>
      <c r="D680" s="131" t="s">
        <v>746</v>
      </c>
      <c r="E680" s="131">
        <v>720</v>
      </c>
    </row>
    <row r="681" spans="1:27" ht="16.5" customHeight="1" thickBot="1">
      <c r="A681" s="130"/>
      <c r="B681" s="131" t="s">
        <v>1880</v>
      </c>
      <c r="C681" s="131" t="s">
        <v>1783</v>
      </c>
      <c r="D681" s="131" t="s">
        <v>103</v>
      </c>
      <c r="E681" s="131">
        <v>720</v>
      </c>
    </row>
    <row r="682" spans="1:27" ht="16.5" customHeight="1" thickBot="1">
      <c r="A682" s="130"/>
      <c r="B682" s="131" t="s">
        <v>1773</v>
      </c>
      <c r="C682" s="131" t="s">
        <v>1784</v>
      </c>
      <c r="D682" s="131" t="s">
        <v>20</v>
      </c>
      <c r="E682" s="131">
        <v>1545</v>
      </c>
    </row>
    <row r="683" spans="1:27" ht="16.5" customHeight="1" thickBot="1">
      <c r="A683" s="130"/>
      <c r="B683" s="131" t="s">
        <v>1785</v>
      </c>
      <c r="C683" s="131" t="s">
        <v>1786</v>
      </c>
      <c r="D683" s="131" t="s">
        <v>18</v>
      </c>
      <c r="E683" s="131">
        <v>2340</v>
      </c>
    </row>
    <row r="684" spans="1:27" ht="16.5" customHeight="1" thickBot="1">
      <c r="A684" s="130"/>
      <c r="B684" s="131" t="s">
        <v>1787</v>
      </c>
      <c r="C684" s="131" t="s">
        <v>1788</v>
      </c>
      <c r="D684" s="131" t="s">
        <v>29</v>
      </c>
      <c r="E684" s="131">
        <v>690</v>
      </c>
    </row>
    <row r="685" spans="1:27" ht="16.5" customHeight="1" thickBot="1">
      <c r="A685" s="130"/>
      <c r="B685" s="131" t="s">
        <v>1787</v>
      </c>
      <c r="C685" s="131" t="s">
        <v>1789</v>
      </c>
      <c r="D685" s="131" t="s">
        <v>103</v>
      </c>
      <c r="E685" s="131">
        <v>720</v>
      </c>
    </row>
    <row r="686" spans="1:27" ht="16.5" customHeight="1" thickBot="1">
      <c r="A686" s="130"/>
      <c r="B686" s="131" t="s">
        <v>1773</v>
      </c>
      <c r="C686" s="131" t="s">
        <v>1790</v>
      </c>
      <c r="D686" s="131" t="s">
        <v>1791</v>
      </c>
      <c r="E686" s="131">
        <v>360</v>
      </c>
    </row>
    <row r="687" spans="1:27" ht="16.5" customHeight="1" thickBot="1">
      <c r="A687" s="130"/>
      <c r="B687" s="131" t="s">
        <v>1773</v>
      </c>
      <c r="C687" s="131" t="s">
        <v>1792</v>
      </c>
      <c r="D687" s="131" t="s">
        <v>103</v>
      </c>
      <c r="E687" s="131">
        <v>720</v>
      </c>
    </row>
    <row r="688" spans="1:27" ht="16.5" customHeight="1" thickBot="1">
      <c r="A688" s="130"/>
      <c r="B688" s="131" t="s">
        <v>1773</v>
      </c>
      <c r="C688" s="131" t="s">
        <v>1793</v>
      </c>
      <c r="D688" s="131" t="s">
        <v>1745</v>
      </c>
      <c r="E688" s="131">
        <v>1840</v>
      </c>
    </row>
    <row r="689" spans="1:27" ht="16.5" customHeight="1" thickBot="1">
      <c r="A689" s="130"/>
      <c r="B689" s="131" t="s">
        <v>1787</v>
      </c>
      <c r="C689" s="131" t="s">
        <v>20</v>
      </c>
      <c r="D689" s="131" t="s">
        <v>20</v>
      </c>
      <c r="E689" s="131">
        <v>450</v>
      </c>
    </row>
    <row r="690" spans="1:27" ht="16.5" customHeight="1" thickBot="1">
      <c r="A690" s="130"/>
      <c r="B690" s="131" t="s">
        <v>1787</v>
      </c>
      <c r="C690" s="131" t="s">
        <v>1794</v>
      </c>
      <c r="D690" s="131" t="s">
        <v>103</v>
      </c>
      <c r="E690" s="131">
        <v>720</v>
      </c>
    </row>
    <row r="691" spans="1:27" ht="16.5" customHeight="1" thickBot="1">
      <c r="A691" s="124" t="s">
        <v>446</v>
      </c>
      <c r="H691" s="4"/>
      <c r="I691" s="4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.5" customHeight="1" thickBot="1">
      <c r="A692" s="12"/>
      <c r="B692" s="109" t="s">
        <v>447</v>
      </c>
      <c r="C692" s="107" t="s">
        <v>68</v>
      </c>
      <c r="D692" s="100" t="s">
        <v>18</v>
      </c>
      <c r="E692" s="17">
        <v>405</v>
      </c>
      <c r="F692" s="18">
        <v>720</v>
      </c>
      <c r="G692" s="23"/>
      <c r="H692" s="22"/>
      <c r="I692" s="4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.5" customHeight="1" thickBot="1">
      <c r="A693" s="12"/>
      <c r="B693" s="108"/>
      <c r="C693" s="107" t="s">
        <v>89</v>
      </c>
      <c r="D693" s="100" t="s">
        <v>20</v>
      </c>
      <c r="E693" s="17">
        <v>406</v>
      </c>
      <c r="F693" s="18">
        <v>720</v>
      </c>
      <c r="G693" s="23"/>
      <c r="H693" s="22"/>
      <c r="I693" s="4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.5" customHeight="1" thickBot="1">
      <c r="A694" s="12"/>
      <c r="B694" s="108"/>
      <c r="C694" s="106"/>
      <c r="D694" s="100" t="s">
        <v>14</v>
      </c>
      <c r="E694" s="17">
        <v>407</v>
      </c>
      <c r="F694" s="18">
        <v>445</v>
      </c>
      <c r="G694" s="23"/>
      <c r="H694" s="22"/>
      <c r="I694" s="4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.5" customHeight="1" thickBot="1">
      <c r="A695" s="12"/>
      <c r="B695" s="108"/>
      <c r="C695" s="107" t="s">
        <v>448</v>
      </c>
      <c r="D695" s="100" t="s">
        <v>60</v>
      </c>
      <c r="E695" s="17">
        <v>973</v>
      </c>
      <c r="F695" s="18">
        <v>955</v>
      </c>
      <c r="G695" s="23"/>
      <c r="H695" s="22"/>
      <c r="I695" s="4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.5" customHeight="1" thickBot="1">
      <c r="A696" s="12"/>
      <c r="B696" s="108"/>
      <c r="C696" s="106"/>
      <c r="D696" s="100" t="s">
        <v>61</v>
      </c>
      <c r="E696" s="17">
        <v>974</v>
      </c>
      <c r="F696" s="18">
        <v>636</v>
      </c>
      <c r="G696" s="23"/>
      <c r="H696" s="22"/>
      <c r="I696" s="4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.5" customHeight="1" thickBot="1">
      <c r="A697" s="12"/>
      <c r="B697" s="108"/>
      <c r="C697" s="106"/>
      <c r="D697" s="100" t="s">
        <v>61</v>
      </c>
      <c r="E697" s="17">
        <v>975</v>
      </c>
      <c r="F697" s="18">
        <v>318</v>
      </c>
      <c r="G697" s="23"/>
      <c r="H697" s="22"/>
      <c r="I697" s="4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.5" customHeight="1" thickBot="1">
      <c r="A698" s="12"/>
      <c r="B698" s="109" t="s">
        <v>447</v>
      </c>
      <c r="C698" s="107" t="s">
        <v>448</v>
      </c>
      <c r="D698" s="100" t="s">
        <v>60</v>
      </c>
      <c r="E698" s="17">
        <v>1069</v>
      </c>
      <c r="F698" s="18">
        <v>955</v>
      </c>
      <c r="G698" s="23"/>
      <c r="H698" s="22"/>
      <c r="I698" s="4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.5" customHeight="1" thickBot="1">
      <c r="A699" s="12"/>
      <c r="B699" s="109" t="s">
        <v>449</v>
      </c>
      <c r="C699" s="106"/>
      <c r="D699" s="100" t="s">
        <v>18</v>
      </c>
      <c r="E699" s="17">
        <v>1066</v>
      </c>
      <c r="F699" s="18">
        <v>720</v>
      </c>
      <c r="G699" s="23"/>
      <c r="H699" s="22"/>
      <c r="I699" s="4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.5" customHeight="1" thickBot="1">
      <c r="A700" s="12"/>
      <c r="B700" s="108"/>
      <c r="C700" s="106"/>
      <c r="D700" s="100" t="s">
        <v>20</v>
      </c>
      <c r="E700" s="17">
        <v>1067</v>
      </c>
      <c r="F700" s="18">
        <v>720</v>
      </c>
      <c r="G700" s="23"/>
      <c r="H700" s="22"/>
      <c r="I700" s="4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.5" customHeight="1" thickBot="1">
      <c r="A701" s="12"/>
      <c r="B701" s="108"/>
      <c r="C701" s="106"/>
      <c r="D701" s="100" t="s">
        <v>14</v>
      </c>
      <c r="E701" s="17">
        <v>1068</v>
      </c>
      <c r="F701" s="18">
        <v>318</v>
      </c>
      <c r="G701" s="23"/>
      <c r="H701" s="22"/>
      <c r="I701" s="4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.5" customHeight="1" thickBot="1">
      <c r="A702" s="12"/>
      <c r="B702" s="109" t="s">
        <v>450</v>
      </c>
      <c r="C702" s="107" t="s">
        <v>451</v>
      </c>
      <c r="D702" s="100" t="s">
        <v>12</v>
      </c>
      <c r="E702" s="17">
        <v>1736</v>
      </c>
      <c r="F702" s="18">
        <v>509</v>
      </c>
      <c r="G702" s="23"/>
      <c r="H702" s="22"/>
      <c r="I702" s="4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.5" customHeight="1" thickBot="1">
      <c r="A703" s="12"/>
      <c r="B703" s="108"/>
      <c r="C703" s="106"/>
      <c r="D703" s="100" t="s">
        <v>82</v>
      </c>
      <c r="E703" s="17">
        <v>1737</v>
      </c>
      <c r="F703" s="18">
        <v>509</v>
      </c>
      <c r="G703" s="23"/>
      <c r="H703" s="22"/>
      <c r="I703" s="4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.5" customHeight="1" thickBot="1">
      <c r="A704" s="12"/>
      <c r="B704" s="108"/>
      <c r="C704" s="106"/>
      <c r="D704" s="100" t="s">
        <v>259</v>
      </c>
      <c r="E704" s="17">
        <v>1738</v>
      </c>
      <c r="F704" s="18">
        <v>605</v>
      </c>
      <c r="G704" s="23"/>
      <c r="H704" s="22"/>
      <c r="I704" s="4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.5" customHeight="1" thickBot="1">
      <c r="A705" s="12"/>
      <c r="B705" s="108"/>
      <c r="C705" s="107" t="s">
        <v>452</v>
      </c>
      <c r="D705" s="100" t="s">
        <v>22</v>
      </c>
      <c r="E705" s="17">
        <v>1739</v>
      </c>
      <c r="F705" s="18">
        <v>955</v>
      </c>
      <c r="G705" s="23"/>
      <c r="H705" s="22"/>
      <c r="I705" s="4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.5" customHeight="1" thickBot="1">
      <c r="A706" s="12"/>
      <c r="B706" s="108"/>
      <c r="C706" s="107" t="s">
        <v>453</v>
      </c>
      <c r="D706" s="100" t="s">
        <v>454</v>
      </c>
      <c r="E706" s="17">
        <v>1744</v>
      </c>
      <c r="F706" s="18">
        <v>636</v>
      </c>
      <c r="G706" s="23"/>
      <c r="H706" s="22"/>
      <c r="I706" s="4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.5" customHeight="1" thickBot="1">
      <c r="A707" s="12"/>
      <c r="B707" s="108"/>
      <c r="C707" s="106"/>
      <c r="D707" s="100" t="s">
        <v>33</v>
      </c>
      <c r="E707" s="17">
        <v>1743</v>
      </c>
      <c r="F707" s="18">
        <v>827</v>
      </c>
      <c r="G707" s="23"/>
      <c r="H707" s="22"/>
      <c r="I707" s="4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.5" customHeight="1" thickBot="1">
      <c r="A708" s="12"/>
      <c r="B708" s="108"/>
      <c r="C708" s="106"/>
      <c r="D708" s="100" t="s">
        <v>455</v>
      </c>
      <c r="E708" s="17" t="s">
        <v>456</v>
      </c>
      <c r="F708" s="18">
        <v>1527</v>
      </c>
      <c r="G708" s="23"/>
      <c r="H708" s="22"/>
      <c r="I708" s="4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.5" customHeight="1" thickBot="1">
      <c r="A709" s="12"/>
      <c r="B709" s="108"/>
      <c r="C709" s="107" t="s">
        <v>68</v>
      </c>
      <c r="D709" s="100" t="s">
        <v>60</v>
      </c>
      <c r="E709" s="17">
        <v>1764</v>
      </c>
      <c r="F709" s="18">
        <v>1591</v>
      </c>
      <c r="G709" s="23"/>
      <c r="H709" s="22"/>
      <c r="I709" s="4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.5" customHeight="1" thickBot="1">
      <c r="A710" s="12"/>
      <c r="B710" s="108"/>
      <c r="C710" s="106"/>
      <c r="D710" s="100" t="s">
        <v>14</v>
      </c>
      <c r="E710" s="17">
        <v>1771</v>
      </c>
      <c r="F710" s="18">
        <v>509</v>
      </c>
      <c r="G710" s="23"/>
      <c r="H710" s="22"/>
      <c r="I710" s="4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.5" customHeight="1" thickBot="1">
      <c r="A711" s="12"/>
      <c r="B711" s="108"/>
      <c r="C711" s="106"/>
      <c r="D711" s="100" t="s">
        <v>33</v>
      </c>
      <c r="E711" s="17">
        <v>1750</v>
      </c>
      <c r="F711" s="18">
        <v>318</v>
      </c>
      <c r="G711" s="23"/>
      <c r="H711" s="22"/>
      <c r="I711" s="4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.5" customHeight="1" thickBot="1">
      <c r="A712" s="12"/>
      <c r="B712" s="109" t="s">
        <v>450</v>
      </c>
      <c r="C712" s="106"/>
      <c r="D712" s="100" t="s">
        <v>457</v>
      </c>
      <c r="E712" s="17">
        <v>3206</v>
      </c>
      <c r="F712" s="18">
        <v>795</v>
      </c>
      <c r="G712" s="23"/>
      <c r="H712" s="22"/>
      <c r="I712" s="4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.5" customHeight="1" thickBot="1">
      <c r="A713" s="12"/>
      <c r="B713" s="116" t="s">
        <v>458</v>
      </c>
      <c r="C713" s="106"/>
      <c r="D713" s="100" t="s">
        <v>459</v>
      </c>
      <c r="E713" s="17">
        <v>3207</v>
      </c>
      <c r="F713" s="18">
        <v>795</v>
      </c>
      <c r="G713" s="23"/>
      <c r="H713" s="22"/>
      <c r="I713" s="4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.5" customHeight="1" thickBot="1">
      <c r="A714" s="12"/>
      <c r="B714" s="109" t="s">
        <v>460</v>
      </c>
      <c r="C714" s="107" t="s">
        <v>461</v>
      </c>
      <c r="D714" s="100" t="s">
        <v>18</v>
      </c>
      <c r="E714" s="17">
        <v>411</v>
      </c>
      <c r="F714" s="18">
        <v>720</v>
      </c>
      <c r="G714" s="23"/>
      <c r="H714" s="22"/>
      <c r="I714" s="4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.5" customHeight="1" thickBot="1">
      <c r="A715" s="12"/>
      <c r="B715" s="108"/>
      <c r="C715" s="107" t="s">
        <v>462</v>
      </c>
      <c r="D715" s="100" t="s">
        <v>18</v>
      </c>
      <c r="E715" s="17">
        <v>640</v>
      </c>
      <c r="F715" s="18">
        <v>720</v>
      </c>
      <c r="G715" s="23"/>
      <c r="H715" s="22"/>
      <c r="I715" s="4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.5" customHeight="1" thickBot="1">
      <c r="A716" s="12"/>
      <c r="B716" s="108"/>
      <c r="C716" s="106"/>
      <c r="D716" s="100" t="s">
        <v>20</v>
      </c>
      <c r="E716" s="17">
        <v>641</v>
      </c>
      <c r="F716" s="18">
        <v>720</v>
      </c>
      <c r="G716" s="23"/>
      <c r="H716" s="22"/>
      <c r="I716" s="4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.5" customHeight="1" thickBot="1">
      <c r="A717" s="12"/>
      <c r="B717" s="108"/>
      <c r="C717" s="106"/>
      <c r="D717" s="100" t="s">
        <v>14</v>
      </c>
      <c r="E717" s="17">
        <v>642</v>
      </c>
      <c r="F717" s="18">
        <v>445</v>
      </c>
      <c r="G717" s="23"/>
      <c r="H717" s="22"/>
      <c r="I717" s="4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.5" customHeight="1" thickBot="1">
      <c r="A718" s="12"/>
      <c r="B718" s="108"/>
      <c r="C718" s="107" t="s">
        <v>463</v>
      </c>
      <c r="D718" s="100" t="s">
        <v>18</v>
      </c>
      <c r="E718" s="17">
        <v>983</v>
      </c>
      <c r="F718" s="18">
        <v>720</v>
      </c>
      <c r="G718" s="23"/>
      <c r="H718" s="22"/>
      <c r="I718" s="4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.5" customHeight="1" thickBot="1">
      <c r="A719" s="12"/>
      <c r="B719" s="108"/>
      <c r="C719" s="106"/>
      <c r="D719" s="100" t="s">
        <v>20</v>
      </c>
      <c r="E719" s="17">
        <v>984</v>
      </c>
      <c r="F719" s="18">
        <v>720</v>
      </c>
      <c r="G719" s="23"/>
      <c r="H719" s="22"/>
      <c r="I719" s="4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.5" customHeight="1" thickBot="1">
      <c r="A720" s="12"/>
      <c r="B720" s="108"/>
      <c r="C720" s="106"/>
      <c r="D720" s="100" t="s">
        <v>14</v>
      </c>
      <c r="E720" s="17">
        <v>985</v>
      </c>
      <c r="F720" s="18">
        <v>382</v>
      </c>
      <c r="G720" s="23"/>
      <c r="H720" s="22"/>
      <c r="I720" s="4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.5" customHeight="1" thickBot="1">
      <c r="A721" s="12"/>
      <c r="B721" s="108"/>
      <c r="C721" s="107" t="s">
        <v>464</v>
      </c>
      <c r="D721" s="100" t="s">
        <v>29</v>
      </c>
      <c r="E721" s="17">
        <v>412</v>
      </c>
      <c r="F721" s="18">
        <v>1295</v>
      </c>
      <c r="G721" s="23"/>
      <c r="H721" s="22"/>
      <c r="I721" s="4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.5" customHeight="1" thickBot="1">
      <c r="A722" s="12"/>
      <c r="B722" s="108"/>
      <c r="C722" s="106"/>
      <c r="D722" s="100" t="s">
        <v>14</v>
      </c>
      <c r="E722" s="17">
        <v>413</v>
      </c>
      <c r="F722" s="18">
        <v>445</v>
      </c>
      <c r="G722" s="23"/>
      <c r="H722" s="22"/>
      <c r="I722" s="4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.5" customHeight="1" thickBot="1">
      <c r="A723" s="12"/>
      <c r="B723" s="108"/>
      <c r="C723" s="106"/>
      <c r="D723" s="100" t="s">
        <v>22</v>
      </c>
      <c r="E723" s="17">
        <v>414</v>
      </c>
      <c r="F723" s="18">
        <v>255</v>
      </c>
      <c r="G723" s="23"/>
      <c r="H723" s="22"/>
      <c r="I723" s="4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.5" customHeight="1" thickBot="1">
      <c r="A724" s="12"/>
      <c r="B724" s="108"/>
      <c r="C724" s="107" t="s">
        <v>231</v>
      </c>
      <c r="D724" s="100" t="s">
        <v>18</v>
      </c>
      <c r="E724" s="17">
        <v>415</v>
      </c>
      <c r="F724" s="18">
        <v>720</v>
      </c>
      <c r="G724" s="23"/>
      <c r="H724" s="22"/>
      <c r="I724" s="4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.5" customHeight="1" thickBot="1">
      <c r="A725" s="12"/>
      <c r="B725" s="108"/>
      <c r="C725" s="107" t="s">
        <v>331</v>
      </c>
      <c r="D725" s="100" t="s">
        <v>14</v>
      </c>
      <c r="E725" s="17">
        <v>416</v>
      </c>
      <c r="F725" s="18">
        <v>445</v>
      </c>
      <c r="G725" s="23"/>
      <c r="H725" s="22"/>
      <c r="I725" s="4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.5" customHeight="1" thickBot="1">
      <c r="A726" s="12"/>
      <c r="B726" s="108"/>
      <c r="C726" s="106"/>
      <c r="D726" s="100" t="s">
        <v>22</v>
      </c>
      <c r="E726" s="17">
        <v>417</v>
      </c>
      <c r="F726" s="18">
        <v>382</v>
      </c>
      <c r="G726" s="23"/>
      <c r="H726" s="22"/>
      <c r="I726" s="4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.5" customHeight="1" thickBot="1">
      <c r="A727" s="12"/>
      <c r="B727" s="108"/>
      <c r="C727" s="107" t="s">
        <v>465</v>
      </c>
      <c r="D727" s="100" t="s">
        <v>18</v>
      </c>
      <c r="E727" s="17">
        <v>418</v>
      </c>
      <c r="F727" s="18">
        <v>720</v>
      </c>
      <c r="G727" s="23"/>
      <c r="H727" s="22"/>
      <c r="I727" s="4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.5" customHeight="1" thickBot="1">
      <c r="A728" s="12"/>
      <c r="B728" s="108"/>
      <c r="C728" s="107" t="s">
        <v>331</v>
      </c>
      <c r="D728" s="100" t="s">
        <v>14</v>
      </c>
      <c r="E728" s="17">
        <v>419</v>
      </c>
      <c r="F728" s="18">
        <v>445</v>
      </c>
      <c r="G728" s="23"/>
      <c r="H728" s="22"/>
      <c r="I728" s="4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.5" customHeight="1" thickBot="1">
      <c r="A729" s="12"/>
      <c r="B729" s="108"/>
      <c r="C729" s="106"/>
      <c r="D729" s="100" t="s">
        <v>22</v>
      </c>
      <c r="E729" s="17">
        <v>420</v>
      </c>
      <c r="F729" s="18">
        <v>382</v>
      </c>
      <c r="G729" s="23"/>
      <c r="H729" s="22"/>
      <c r="I729" s="4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.5" customHeight="1" thickBot="1">
      <c r="A730" s="12"/>
      <c r="B730" s="108"/>
      <c r="C730" s="107" t="s">
        <v>466</v>
      </c>
      <c r="D730" s="100" t="s">
        <v>18</v>
      </c>
      <c r="E730" s="17">
        <v>421</v>
      </c>
      <c r="F730" s="18">
        <v>720</v>
      </c>
      <c r="G730" s="23"/>
      <c r="H730" s="22"/>
      <c r="I730" s="4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.5" customHeight="1" thickBot="1">
      <c r="A731" s="12"/>
      <c r="B731" s="108"/>
      <c r="C731" s="107" t="s">
        <v>467</v>
      </c>
      <c r="D731" s="100" t="s">
        <v>14</v>
      </c>
      <c r="E731" s="17">
        <v>575</v>
      </c>
      <c r="F731" s="18">
        <v>445</v>
      </c>
      <c r="G731" s="23"/>
      <c r="H731" s="22"/>
      <c r="I731" s="4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.5" customHeight="1" thickBot="1">
      <c r="A732" s="12"/>
      <c r="B732" s="108"/>
      <c r="C732" s="107" t="s">
        <v>468</v>
      </c>
      <c r="D732" s="100" t="s">
        <v>469</v>
      </c>
      <c r="E732" s="17">
        <v>422</v>
      </c>
      <c r="F732" s="18">
        <v>318</v>
      </c>
      <c r="G732" s="23"/>
      <c r="H732" s="22"/>
      <c r="I732" s="4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.5" customHeight="1" thickBot="1">
      <c r="A733" s="12"/>
      <c r="B733" s="108"/>
      <c r="C733" s="106"/>
      <c r="D733" s="100" t="s">
        <v>470</v>
      </c>
      <c r="E733" s="17">
        <v>423</v>
      </c>
      <c r="F733" s="18">
        <v>382</v>
      </c>
      <c r="G733" s="23"/>
      <c r="H733" s="22"/>
      <c r="I733" s="4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.5" customHeight="1" thickBot="1">
      <c r="A734" s="12"/>
      <c r="B734" s="108"/>
      <c r="C734" s="107" t="s">
        <v>471</v>
      </c>
      <c r="D734" s="100" t="s">
        <v>124</v>
      </c>
      <c r="E734" s="13"/>
      <c r="F734" s="18">
        <v>255</v>
      </c>
      <c r="G734" s="23"/>
      <c r="H734" s="22"/>
      <c r="I734" s="4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.5" customHeight="1" thickBot="1">
      <c r="A735" s="12"/>
      <c r="B735" s="108"/>
      <c r="C735" s="106"/>
      <c r="D735" s="100" t="s">
        <v>424</v>
      </c>
      <c r="E735" s="17">
        <v>424</v>
      </c>
      <c r="F735" s="18">
        <v>159</v>
      </c>
      <c r="G735" s="23"/>
      <c r="H735" s="22"/>
      <c r="I735" s="4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.5" customHeight="1" thickBot="1">
      <c r="A736" s="12"/>
      <c r="B736" s="108"/>
      <c r="C736" s="107" t="s">
        <v>472</v>
      </c>
      <c r="D736" s="100" t="s">
        <v>60</v>
      </c>
      <c r="E736" s="17">
        <v>643</v>
      </c>
      <c r="F736" s="18">
        <v>827</v>
      </c>
      <c r="G736" s="23"/>
      <c r="H736" s="22"/>
      <c r="I736" s="4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.5" customHeight="1" thickBot="1">
      <c r="A737" s="12"/>
      <c r="B737" s="108"/>
      <c r="C737" s="106"/>
      <c r="D737" s="100" t="s">
        <v>61</v>
      </c>
      <c r="E737" s="17">
        <v>644</v>
      </c>
      <c r="F737" s="18">
        <v>955</v>
      </c>
      <c r="G737" s="23"/>
      <c r="H737" s="22"/>
      <c r="I737" s="4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.5" customHeight="1" thickBot="1">
      <c r="A738" s="12"/>
      <c r="B738" s="108"/>
      <c r="C738" s="107" t="s">
        <v>473</v>
      </c>
      <c r="D738" s="100" t="s">
        <v>60</v>
      </c>
      <c r="E738" s="17">
        <v>971</v>
      </c>
      <c r="F738" s="18">
        <v>955</v>
      </c>
      <c r="G738" s="23"/>
      <c r="H738" s="22"/>
      <c r="I738" s="4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.5" customHeight="1" thickBot="1">
      <c r="A739" s="12"/>
      <c r="B739" s="108"/>
      <c r="C739" s="106"/>
      <c r="D739" s="100" t="s">
        <v>61</v>
      </c>
      <c r="E739" s="17">
        <v>972</v>
      </c>
      <c r="F739" s="18">
        <v>1145</v>
      </c>
      <c r="G739" s="23"/>
      <c r="H739" s="22"/>
      <c r="I739" s="4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.5" customHeight="1" thickBot="1">
      <c r="A740" s="12"/>
      <c r="B740" s="109" t="s">
        <v>460</v>
      </c>
      <c r="C740" s="107" t="s">
        <v>474</v>
      </c>
      <c r="D740" s="100" t="s">
        <v>18</v>
      </c>
      <c r="E740" s="17">
        <v>2425</v>
      </c>
      <c r="F740" s="18">
        <v>720</v>
      </c>
      <c r="G740" s="23"/>
      <c r="H740" s="22"/>
      <c r="I740" s="4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.5" customHeight="1" thickBot="1">
      <c r="A741" s="12"/>
      <c r="B741" s="108"/>
      <c r="C741" s="106"/>
      <c r="D741" s="100" t="s">
        <v>20</v>
      </c>
      <c r="E741" s="17">
        <v>2426</v>
      </c>
      <c r="F741" s="18">
        <v>720</v>
      </c>
      <c r="G741" s="23"/>
      <c r="H741" s="22"/>
      <c r="I741" s="4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.5" customHeight="1" thickBot="1">
      <c r="A742" s="12"/>
      <c r="B742" s="108"/>
      <c r="C742" s="106"/>
      <c r="D742" s="100" t="s">
        <v>14</v>
      </c>
      <c r="E742" s="17">
        <v>2427</v>
      </c>
      <c r="F742" s="18">
        <v>382</v>
      </c>
      <c r="G742" s="23"/>
      <c r="H742" s="22"/>
      <c r="I742" s="4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.5" customHeight="1" thickBot="1">
      <c r="A743" s="12"/>
      <c r="B743" s="108"/>
      <c r="C743" s="106"/>
      <c r="D743" s="100" t="s">
        <v>60</v>
      </c>
      <c r="E743" s="17">
        <v>2428</v>
      </c>
      <c r="F743" s="18">
        <v>827</v>
      </c>
      <c r="G743" s="23"/>
      <c r="H743" s="22"/>
      <c r="I743" s="4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.5" customHeight="1" thickBot="1">
      <c r="A744" s="12"/>
      <c r="B744" s="108"/>
      <c r="C744" s="106"/>
      <c r="D744" s="100" t="s">
        <v>475</v>
      </c>
      <c r="E744" s="17">
        <v>2429</v>
      </c>
      <c r="F744" s="18">
        <v>955</v>
      </c>
      <c r="G744" s="23"/>
      <c r="H744" s="22"/>
      <c r="I744" s="4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.5" customHeight="1" thickBot="1">
      <c r="A745" s="12"/>
      <c r="B745" s="108"/>
      <c r="C745" s="107" t="s">
        <v>476</v>
      </c>
      <c r="D745" s="100" t="s">
        <v>170</v>
      </c>
      <c r="E745" s="17">
        <v>3521</v>
      </c>
      <c r="F745" s="18">
        <v>2495</v>
      </c>
      <c r="G745" s="23"/>
      <c r="H745" s="22"/>
      <c r="I745" s="4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.5" customHeight="1" thickBot="1">
      <c r="A746" s="12"/>
      <c r="B746" s="109" t="s">
        <v>476</v>
      </c>
      <c r="C746" s="107" t="s">
        <v>477</v>
      </c>
      <c r="D746" s="100" t="s">
        <v>478</v>
      </c>
      <c r="E746" s="17">
        <v>3560</v>
      </c>
      <c r="F746" s="18">
        <v>286</v>
      </c>
      <c r="G746" s="23"/>
      <c r="H746" s="22"/>
      <c r="I746" s="4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.5" customHeight="1" thickBot="1">
      <c r="A747" s="12"/>
      <c r="B747" s="108"/>
      <c r="C747" s="106"/>
      <c r="D747" s="100" t="s">
        <v>479</v>
      </c>
      <c r="E747" s="17">
        <v>3561</v>
      </c>
      <c r="F747" s="18">
        <v>127</v>
      </c>
      <c r="G747" s="23"/>
      <c r="H747" s="22"/>
      <c r="I747" s="4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.5" customHeight="1" thickBot="1">
      <c r="A748" s="12"/>
      <c r="B748" s="108"/>
      <c r="C748" s="106"/>
      <c r="D748" s="100" t="s">
        <v>18</v>
      </c>
      <c r="E748" s="17">
        <v>4000</v>
      </c>
      <c r="F748" s="18">
        <v>955</v>
      </c>
      <c r="G748" s="23"/>
      <c r="H748" s="22"/>
      <c r="I748" s="4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.5" customHeight="1" thickBot="1">
      <c r="A749" s="12"/>
      <c r="B749" s="108"/>
      <c r="C749" s="106"/>
      <c r="D749" s="100" t="s">
        <v>20</v>
      </c>
      <c r="E749" s="17">
        <v>4001</v>
      </c>
      <c r="F749" s="18">
        <v>955</v>
      </c>
      <c r="G749" s="23"/>
      <c r="H749" s="22"/>
      <c r="I749" s="4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.5" customHeight="1" thickBot="1">
      <c r="A750" s="12"/>
      <c r="B750" s="108"/>
      <c r="C750" s="106"/>
      <c r="D750" s="100" t="s">
        <v>14</v>
      </c>
      <c r="E750" s="17">
        <v>4002</v>
      </c>
      <c r="F750" s="18">
        <v>955</v>
      </c>
      <c r="G750" s="23"/>
      <c r="H750" s="22"/>
      <c r="I750" s="4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.5" customHeight="1" thickBot="1">
      <c r="A751" s="12"/>
      <c r="B751" s="108"/>
      <c r="C751" s="106"/>
      <c r="D751" s="100" t="s">
        <v>60</v>
      </c>
      <c r="E751" s="17">
        <v>4003</v>
      </c>
      <c r="F751" s="18">
        <v>1273</v>
      </c>
      <c r="G751" s="23"/>
      <c r="H751" s="22"/>
      <c r="I751" s="4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.5" customHeight="1" thickBot="1">
      <c r="A752" s="12"/>
      <c r="B752" s="108"/>
      <c r="C752" s="106"/>
      <c r="D752" s="100" t="s">
        <v>61</v>
      </c>
      <c r="E752" s="17">
        <v>4004</v>
      </c>
      <c r="F752" s="18">
        <v>1273</v>
      </c>
      <c r="G752" s="23"/>
      <c r="H752" s="22"/>
      <c r="I752" s="4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30.5" customHeight="1" thickBot="1">
      <c r="A753" s="12"/>
      <c r="B753" s="108"/>
      <c r="C753" s="106"/>
      <c r="D753" s="100" t="s">
        <v>480</v>
      </c>
      <c r="E753" s="17">
        <v>4005</v>
      </c>
      <c r="F753" s="18">
        <v>1591</v>
      </c>
      <c r="G753" s="23"/>
      <c r="H753" s="22"/>
      <c r="I753" s="4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.5" customHeight="1" thickBot="1">
      <c r="A754" s="12"/>
      <c r="B754" s="108"/>
      <c r="C754" s="106"/>
      <c r="D754" s="100" t="s">
        <v>213</v>
      </c>
      <c r="E754" s="17">
        <v>4006</v>
      </c>
      <c r="F754" s="18">
        <v>1591</v>
      </c>
      <c r="G754" s="23"/>
      <c r="H754" s="22"/>
      <c r="I754" s="4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.5" customHeight="1" thickBot="1">
      <c r="A755" s="12"/>
      <c r="B755" s="108"/>
      <c r="C755" s="106"/>
      <c r="D755" s="100" t="s">
        <v>481</v>
      </c>
      <c r="E755" s="17">
        <v>4007</v>
      </c>
      <c r="F755" s="18">
        <v>1295</v>
      </c>
      <c r="G755" s="23"/>
      <c r="H755" s="22"/>
      <c r="I755" s="4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.5" customHeight="1" thickBot="1">
      <c r="A756" s="12"/>
      <c r="B756" s="108"/>
      <c r="C756" s="106"/>
      <c r="D756" s="100" t="s">
        <v>482</v>
      </c>
      <c r="E756" s="17">
        <v>4008</v>
      </c>
      <c r="F756" s="18">
        <v>1295</v>
      </c>
      <c r="G756" s="23"/>
      <c r="H756" s="22"/>
      <c r="I756" s="4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.5" customHeight="1" thickBot="1">
      <c r="A757" s="12"/>
      <c r="B757" s="108"/>
      <c r="C757" s="106"/>
      <c r="D757" s="100" t="s">
        <v>26</v>
      </c>
      <c r="E757" s="17">
        <v>4009</v>
      </c>
      <c r="F757" s="18">
        <v>1095</v>
      </c>
      <c r="G757" s="23"/>
      <c r="H757" s="22"/>
      <c r="I757" s="4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.5" customHeight="1" thickBot="1">
      <c r="A758" s="12"/>
      <c r="B758" s="108"/>
      <c r="C758" s="106"/>
      <c r="D758" s="100" t="s">
        <v>65</v>
      </c>
      <c r="E758" s="17">
        <v>4010</v>
      </c>
      <c r="F758" s="18">
        <v>1591</v>
      </c>
      <c r="G758" s="23"/>
      <c r="H758" s="22"/>
      <c r="I758" s="4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.5" customHeight="1" thickBot="1">
      <c r="A759" s="12"/>
      <c r="B759" s="108"/>
      <c r="C759" s="106"/>
      <c r="D759" s="100" t="s">
        <v>107</v>
      </c>
      <c r="E759" s="17">
        <v>4011</v>
      </c>
      <c r="F759" s="18">
        <v>955</v>
      </c>
      <c r="G759" s="23"/>
      <c r="H759" s="22"/>
      <c r="I759" s="4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.5" customHeight="1" thickBot="1">
      <c r="A760" s="12"/>
      <c r="B760" s="108"/>
      <c r="C760" s="106"/>
      <c r="D760" s="100" t="s">
        <v>200</v>
      </c>
      <c r="E760" s="17">
        <v>4012</v>
      </c>
      <c r="F760" s="18">
        <v>2864</v>
      </c>
      <c r="G760" s="23"/>
      <c r="H760" s="22"/>
      <c r="I760" s="4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.5" customHeight="1" thickBot="1">
      <c r="A761" s="12"/>
      <c r="B761" s="108"/>
      <c r="C761" s="106"/>
      <c r="D761" s="100" t="s">
        <v>483</v>
      </c>
      <c r="E761" s="17">
        <v>4013</v>
      </c>
      <c r="F761" s="18">
        <v>573</v>
      </c>
      <c r="G761" s="23"/>
      <c r="H761" s="22"/>
      <c r="I761" s="4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.5" customHeight="1" thickBot="1">
      <c r="A762" s="12"/>
      <c r="B762" s="109" t="s">
        <v>476</v>
      </c>
      <c r="C762" s="107" t="s">
        <v>484</v>
      </c>
      <c r="D762" s="100" t="s">
        <v>18</v>
      </c>
      <c r="E762" s="17">
        <v>4014</v>
      </c>
      <c r="F762" s="18">
        <v>955</v>
      </c>
      <c r="G762" s="23"/>
      <c r="H762" s="22"/>
      <c r="I762" s="4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.5" customHeight="1" thickBot="1">
      <c r="A763" s="12"/>
      <c r="B763" s="108"/>
      <c r="C763" s="107" t="s">
        <v>485</v>
      </c>
      <c r="D763" s="100" t="s">
        <v>26</v>
      </c>
      <c r="E763" s="17">
        <v>4015</v>
      </c>
      <c r="F763" s="18">
        <v>1095</v>
      </c>
      <c r="G763" s="23"/>
      <c r="H763" s="22"/>
      <c r="I763" s="4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.5" customHeight="1" thickBot="1">
      <c r="A764" s="12"/>
      <c r="B764" s="108"/>
      <c r="C764" s="106"/>
      <c r="D764" s="100" t="s">
        <v>20</v>
      </c>
      <c r="E764" s="17">
        <v>4016</v>
      </c>
      <c r="F764" s="18">
        <v>955</v>
      </c>
      <c r="G764" s="23"/>
      <c r="H764" s="22"/>
      <c r="I764" s="4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.5" customHeight="1" thickBot="1">
      <c r="A765" s="12"/>
      <c r="B765" s="108"/>
      <c r="C765" s="106"/>
      <c r="D765" s="100" t="s">
        <v>14</v>
      </c>
      <c r="E765" s="17">
        <v>4017</v>
      </c>
      <c r="F765" s="18">
        <v>955</v>
      </c>
      <c r="G765" s="23"/>
      <c r="H765" s="22"/>
      <c r="I765" s="4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.5" customHeight="1" thickBot="1">
      <c r="A766" s="12"/>
      <c r="B766" s="108"/>
      <c r="C766" s="106"/>
      <c r="D766" s="100" t="s">
        <v>486</v>
      </c>
      <c r="E766" s="17">
        <v>4018</v>
      </c>
      <c r="F766" s="18">
        <v>1273</v>
      </c>
      <c r="G766" s="23"/>
      <c r="H766" s="22"/>
      <c r="I766" s="4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.5" customHeight="1" thickBot="1">
      <c r="A767" s="12"/>
      <c r="B767" s="108"/>
      <c r="C767" s="106"/>
      <c r="D767" s="100" t="s">
        <v>487</v>
      </c>
      <c r="E767" s="17">
        <v>4019</v>
      </c>
      <c r="F767" s="18">
        <v>1273</v>
      </c>
      <c r="G767" s="23"/>
      <c r="H767" s="22"/>
      <c r="I767" s="4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.5" customHeight="1" thickBot="1">
      <c r="A768" s="12"/>
      <c r="B768" s="108"/>
      <c r="C768" s="106"/>
      <c r="D768" s="100" t="s">
        <v>488</v>
      </c>
      <c r="E768" s="17">
        <v>4020</v>
      </c>
      <c r="F768" s="18">
        <v>795</v>
      </c>
      <c r="G768" s="23"/>
      <c r="H768" s="22"/>
      <c r="I768" s="4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.5" customHeight="1" thickBot="1">
      <c r="A769" s="12"/>
      <c r="B769" s="108"/>
      <c r="C769" s="106"/>
      <c r="D769" s="100" t="s">
        <v>489</v>
      </c>
      <c r="E769" s="17">
        <v>4021</v>
      </c>
      <c r="F769" s="18">
        <v>795</v>
      </c>
      <c r="G769" s="23"/>
      <c r="H769" s="22"/>
      <c r="I769" s="4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.5" customHeight="1" thickBot="1">
      <c r="A770" s="12"/>
      <c r="B770" s="108"/>
      <c r="C770" s="107" t="s">
        <v>485</v>
      </c>
      <c r="D770" s="100" t="s">
        <v>61</v>
      </c>
      <c r="E770" s="17">
        <v>4023</v>
      </c>
      <c r="F770" s="18">
        <v>1273</v>
      </c>
      <c r="G770" s="23"/>
      <c r="H770" s="22"/>
      <c r="I770" s="4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.5" customHeight="1" thickBot="1">
      <c r="A771" s="12"/>
      <c r="B771" s="109" t="s">
        <v>490</v>
      </c>
      <c r="C771" s="107" t="s">
        <v>68</v>
      </c>
      <c r="D771" s="100" t="s">
        <v>18</v>
      </c>
      <c r="E771" s="17">
        <v>2315</v>
      </c>
      <c r="F771" s="18">
        <v>720</v>
      </c>
      <c r="G771" s="23"/>
      <c r="H771" s="22"/>
      <c r="I771" s="4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.5" customHeight="1" thickBot="1">
      <c r="A772" s="12"/>
      <c r="B772" s="109" t="s">
        <v>491</v>
      </c>
      <c r="C772" s="106"/>
      <c r="D772" s="100" t="s">
        <v>60</v>
      </c>
      <c r="E772" s="17">
        <v>732</v>
      </c>
      <c r="F772" s="18">
        <v>955</v>
      </c>
      <c r="G772" s="23"/>
      <c r="H772" s="22"/>
      <c r="I772" s="4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.5" customHeight="1" thickBot="1">
      <c r="A773" s="12"/>
      <c r="B773" s="108"/>
      <c r="C773" s="107" t="s">
        <v>231</v>
      </c>
      <c r="D773" s="100" t="s">
        <v>18</v>
      </c>
      <c r="E773" s="17">
        <v>986</v>
      </c>
      <c r="F773" s="18">
        <v>720</v>
      </c>
      <c r="G773" s="23"/>
      <c r="H773" s="22"/>
      <c r="I773" s="4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.5" customHeight="1" thickBot="1">
      <c r="A774" s="12"/>
      <c r="B774" s="108"/>
      <c r="C774" s="106"/>
      <c r="D774" s="100" t="s">
        <v>82</v>
      </c>
      <c r="E774" s="17">
        <v>987</v>
      </c>
      <c r="F774" s="18">
        <v>382</v>
      </c>
      <c r="G774" s="23"/>
      <c r="H774" s="22"/>
      <c r="I774" s="4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.5" customHeight="1" thickBot="1">
      <c r="A775" s="12"/>
      <c r="B775" s="108"/>
      <c r="C775" s="106"/>
      <c r="D775" s="100" t="s">
        <v>14</v>
      </c>
      <c r="E775" s="17">
        <v>988</v>
      </c>
      <c r="F775" s="18">
        <v>509</v>
      </c>
      <c r="G775" s="23"/>
      <c r="H775" s="22"/>
      <c r="I775" s="4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30.5" customHeight="1" thickBot="1">
      <c r="A776" s="12"/>
      <c r="B776" s="108"/>
      <c r="C776" s="106"/>
      <c r="D776" s="100" t="s">
        <v>26</v>
      </c>
      <c r="E776" s="17">
        <v>1003</v>
      </c>
      <c r="F776" s="18">
        <v>1095</v>
      </c>
      <c r="G776" s="23"/>
      <c r="H776" s="22"/>
      <c r="I776" s="4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.5" customHeight="1" thickBot="1">
      <c r="A777" s="12"/>
      <c r="B777" s="108"/>
      <c r="C777" s="106"/>
      <c r="D777" s="100" t="s">
        <v>29</v>
      </c>
      <c r="E777" s="17">
        <v>825</v>
      </c>
      <c r="F777" s="18">
        <v>1295</v>
      </c>
      <c r="G777" s="23"/>
      <c r="H777" s="22"/>
      <c r="I777" s="4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.5" customHeight="1" thickBot="1">
      <c r="A778" s="12"/>
      <c r="B778" s="108"/>
      <c r="C778" s="107" t="s">
        <v>492</v>
      </c>
      <c r="D778" s="100" t="s">
        <v>60</v>
      </c>
      <c r="E778" s="17">
        <v>989</v>
      </c>
      <c r="F778" s="18">
        <v>955</v>
      </c>
      <c r="G778" s="23"/>
      <c r="H778" s="22"/>
      <c r="I778" s="4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.5" customHeight="1" thickBot="1">
      <c r="A779" s="12"/>
      <c r="B779" s="108"/>
      <c r="C779" s="106"/>
      <c r="D779" s="100" t="s">
        <v>61</v>
      </c>
      <c r="E779" s="17">
        <v>990</v>
      </c>
      <c r="F779" s="18">
        <v>1145</v>
      </c>
      <c r="G779" s="23"/>
      <c r="H779" s="22"/>
      <c r="I779" s="4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.5" customHeight="1" thickBot="1">
      <c r="A780" s="12"/>
      <c r="B780" s="108"/>
      <c r="C780" s="106"/>
      <c r="D780" s="100" t="s">
        <v>201</v>
      </c>
      <c r="E780" s="17">
        <v>1014</v>
      </c>
      <c r="F780" s="18">
        <v>127</v>
      </c>
      <c r="G780" s="23"/>
      <c r="H780" s="22"/>
      <c r="I780" s="4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.5" customHeight="1" thickBot="1">
      <c r="A781" s="12"/>
      <c r="B781" s="108"/>
      <c r="C781" s="107" t="s">
        <v>229</v>
      </c>
      <c r="D781" s="100" t="s">
        <v>18</v>
      </c>
      <c r="E781" s="17">
        <v>1178</v>
      </c>
      <c r="F781" s="18">
        <v>720</v>
      </c>
      <c r="G781" s="23"/>
      <c r="H781" s="22"/>
      <c r="I781" s="4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30.5" customHeight="1" thickBot="1">
      <c r="A782" s="12"/>
      <c r="B782" s="108"/>
      <c r="C782" s="106"/>
      <c r="D782" s="100" t="s">
        <v>20</v>
      </c>
      <c r="E782" s="17">
        <v>1179</v>
      </c>
      <c r="F782" s="18">
        <v>720</v>
      </c>
      <c r="G782" s="23"/>
      <c r="H782" s="22"/>
      <c r="I782" s="4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.5" customHeight="1" thickBot="1">
      <c r="A783" s="12"/>
      <c r="B783" s="108"/>
      <c r="C783" s="106"/>
      <c r="D783" s="100" t="s">
        <v>14</v>
      </c>
      <c r="E783" s="17">
        <v>1180</v>
      </c>
      <c r="F783" s="18">
        <v>445</v>
      </c>
      <c r="G783" s="23"/>
      <c r="H783" s="22"/>
      <c r="I783" s="4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.5" customHeight="1" thickBot="1">
      <c r="A784" s="12"/>
      <c r="B784" s="109" t="s">
        <v>491</v>
      </c>
      <c r="C784" s="107" t="s">
        <v>337</v>
      </c>
      <c r="D784" s="100" t="s">
        <v>18</v>
      </c>
      <c r="E784" s="17">
        <v>1186</v>
      </c>
      <c r="F784" s="18">
        <v>720</v>
      </c>
      <c r="G784" s="23"/>
      <c r="H784" s="22"/>
      <c r="I784" s="4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.5" customHeight="1" thickBot="1">
      <c r="A785" s="12"/>
      <c r="B785" s="108"/>
      <c r="C785" s="106"/>
      <c r="D785" s="100" t="s">
        <v>20</v>
      </c>
      <c r="E785" s="17">
        <v>1187</v>
      </c>
      <c r="F785" s="18">
        <v>720</v>
      </c>
      <c r="G785" s="23"/>
      <c r="H785" s="22"/>
      <c r="I785" s="4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.5" customHeight="1" thickBot="1">
      <c r="A786" s="12"/>
      <c r="B786" s="108"/>
      <c r="C786" s="106"/>
      <c r="D786" s="100" t="s">
        <v>14</v>
      </c>
      <c r="E786" s="17">
        <v>1188</v>
      </c>
      <c r="F786" s="18">
        <v>445</v>
      </c>
      <c r="G786" s="23"/>
      <c r="H786" s="22"/>
      <c r="I786" s="4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.5" customHeight="1" thickBot="1">
      <c r="A787" s="12"/>
      <c r="B787" s="108"/>
      <c r="C787" s="106"/>
      <c r="D787" s="100" t="s">
        <v>55</v>
      </c>
      <c r="E787" s="17">
        <v>1185</v>
      </c>
      <c r="F787" s="18">
        <v>795</v>
      </c>
      <c r="G787" s="23"/>
      <c r="H787" s="22"/>
      <c r="I787" s="4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.5" customHeight="1" thickBot="1">
      <c r="A788" s="12"/>
      <c r="B788" s="109" t="s">
        <v>493</v>
      </c>
      <c r="C788" s="107" t="s">
        <v>494</v>
      </c>
      <c r="D788" s="100" t="s">
        <v>18</v>
      </c>
      <c r="E788" s="17">
        <v>960</v>
      </c>
      <c r="F788" s="18">
        <v>720</v>
      </c>
      <c r="G788" s="23"/>
      <c r="H788" s="22"/>
      <c r="I788" s="4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.5" customHeight="1" thickBot="1">
      <c r="A789" s="12"/>
      <c r="B789" s="108"/>
      <c r="C789" s="106"/>
      <c r="D789" s="100" t="s">
        <v>82</v>
      </c>
      <c r="E789" s="17">
        <v>1111</v>
      </c>
      <c r="F789" s="18">
        <v>382</v>
      </c>
      <c r="G789" s="23"/>
      <c r="H789" s="22"/>
      <c r="I789" s="4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.5" customHeight="1" thickBot="1">
      <c r="A790" s="12"/>
      <c r="B790" s="108"/>
      <c r="C790" s="107" t="s">
        <v>495</v>
      </c>
      <c r="D790" s="100" t="s">
        <v>18</v>
      </c>
      <c r="E790" s="17">
        <v>1169</v>
      </c>
      <c r="F790" s="18">
        <v>720</v>
      </c>
      <c r="G790" s="23"/>
      <c r="H790" s="22"/>
      <c r="I790" s="4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.5" customHeight="1" thickBot="1">
      <c r="A791" s="12"/>
      <c r="B791" s="108"/>
      <c r="C791" s="107" t="s">
        <v>337</v>
      </c>
      <c r="D791" s="100" t="s">
        <v>55</v>
      </c>
      <c r="E791" s="17">
        <v>1182</v>
      </c>
      <c r="F791" s="18">
        <v>795</v>
      </c>
      <c r="G791" s="23"/>
      <c r="H791" s="22"/>
      <c r="I791" s="4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30.5" customHeight="1" thickBot="1">
      <c r="A792" s="12"/>
      <c r="B792" s="109" t="s">
        <v>493</v>
      </c>
      <c r="C792" s="107" t="s">
        <v>496</v>
      </c>
      <c r="D792" s="100" t="s">
        <v>18</v>
      </c>
      <c r="E792" s="17">
        <v>1388</v>
      </c>
      <c r="F792" s="18">
        <v>720</v>
      </c>
      <c r="G792" s="23"/>
      <c r="H792" s="22"/>
      <c r="I792" s="4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.5" customHeight="1" thickBot="1">
      <c r="A793" s="12"/>
      <c r="B793" s="108"/>
      <c r="C793" s="106"/>
      <c r="D793" s="100" t="s">
        <v>20</v>
      </c>
      <c r="E793" s="17">
        <v>1389</v>
      </c>
      <c r="F793" s="18">
        <v>720</v>
      </c>
      <c r="G793" s="23"/>
      <c r="H793" s="22"/>
      <c r="I793" s="4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.5" customHeight="1" thickBot="1">
      <c r="A794" s="12"/>
      <c r="B794" s="108"/>
      <c r="C794" s="106"/>
      <c r="D794" s="100" t="s">
        <v>14</v>
      </c>
      <c r="E794" s="17">
        <v>1390</v>
      </c>
      <c r="F794" s="18">
        <v>509</v>
      </c>
      <c r="G794" s="23"/>
      <c r="H794" s="22"/>
      <c r="I794" s="4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.5" customHeight="1" thickBot="1">
      <c r="A795" s="12"/>
      <c r="B795" s="109" t="s">
        <v>497</v>
      </c>
      <c r="C795" s="107" t="s">
        <v>498</v>
      </c>
      <c r="D795" s="100" t="s">
        <v>499</v>
      </c>
      <c r="E795" s="17">
        <v>3190</v>
      </c>
      <c r="F795" s="18">
        <v>795</v>
      </c>
      <c r="G795" s="23"/>
      <c r="H795" s="22"/>
      <c r="I795" s="4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.5" customHeight="1" thickBot="1">
      <c r="A796" s="12"/>
      <c r="B796" s="109" t="s">
        <v>493</v>
      </c>
      <c r="C796" s="107" t="s">
        <v>500</v>
      </c>
      <c r="D796" s="100" t="s">
        <v>60</v>
      </c>
      <c r="E796" s="17">
        <v>3410</v>
      </c>
      <c r="F796" s="18">
        <v>0</v>
      </c>
      <c r="G796" s="23"/>
      <c r="H796" s="22"/>
      <c r="I796" s="4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.5" customHeight="1" thickBot="1">
      <c r="A797" s="12"/>
      <c r="B797" s="109" t="s">
        <v>501</v>
      </c>
      <c r="C797" s="107" t="s">
        <v>502</v>
      </c>
      <c r="D797" s="100" t="s">
        <v>18</v>
      </c>
      <c r="E797" s="17">
        <v>576</v>
      </c>
      <c r="F797" s="18">
        <v>720</v>
      </c>
      <c r="G797" s="23"/>
      <c r="H797" s="22"/>
      <c r="I797" s="4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.5" customHeight="1" thickBot="1">
      <c r="A798" s="12"/>
      <c r="B798" s="108"/>
      <c r="C798" s="107" t="s">
        <v>68</v>
      </c>
      <c r="D798" s="100" t="s">
        <v>18</v>
      </c>
      <c r="E798" s="17">
        <v>614</v>
      </c>
      <c r="F798" s="18">
        <v>720</v>
      </c>
      <c r="G798" s="23"/>
      <c r="H798" s="22"/>
      <c r="I798" s="4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.5" customHeight="1" thickBot="1">
      <c r="A799" s="12"/>
      <c r="B799" s="108"/>
      <c r="C799" s="106"/>
      <c r="D799" s="100" t="s">
        <v>20</v>
      </c>
      <c r="E799" s="17">
        <v>615</v>
      </c>
      <c r="F799" s="18">
        <v>720</v>
      </c>
      <c r="G799" s="23"/>
      <c r="H799" s="22"/>
      <c r="I799" s="4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.5" customHeight="1" thickBot="1">
      <c r="A800" s="12"/>
      <c r="B800" s="109" t="s">
        <v>501</v>
      </c>
      <c r="C800" s="107" t="s">
        <v>503</v>
      </c>
      <c r="D800" s="100" t="s">
        <v>18</v>
      </c>
      <c r="E800" s="17">
        <v>1152</v>
      </c>
      <c r="F800" s="18">
        <v>720</v>
      </c>
      <c r="G800" s="23"/>
      <c r="H800" s="22"/>
      <c r="I800" s="4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.5" customHeight="1" thickBot="1">
      <c r="A801" s="12"/>
      <c r="B801" s="108"/>
      <c r="C801" s="107" t="s">
        <v>287</v>
      </c>
      <c r="D801" s="100" t="s">
        <v>20</v>
      </c>
      <c r="E801" s="17">
        <v>1153</v>
      </c>
      <c r="F801" s="18">
        <v>720</v>
      </c>
      <c r="G801" s="23"/>
      <c r="H801" s="22"/>
      <c r="I801" s="4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.5" customHeight="1" thickBot="1">
      <c r="A802" s="12"/>
      <c r="B802" s="108"/>
      <c r="C802" s="107" t="s">
        <v>504</v>
      </c>
      <c r="D802" s="100" t="s">
        <v>14</v>
      </c>
      <c r="E802" s="17">
        <v>1154</v>
      </c>
      <c r="F802" s="18">
        <v>509</v>
      </c>
      <c r="G802" s="23"/>
      <c r="H802" s="22"/>
      <c r="I802" s="4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.5" customHeight="1" thickBot="1">
      <c r="A803" s="12"/>
      <c r="B803" s="108"/>
      <c r="C803" s="106"/>
      <c r="D803" s="100" t="s">
        <v>22</v>
      </c>
      <c r="E803" s="17">
        <v>1155</v>
      </c>
      <c r="F803" s="18">
        <v>573</v>
      </c>
      <c r="G803" s="23"/>
      <c r="H803" s="22"/>
      <c r="I803" s="4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.5" customHeight="1" thickBot="1">
      <c r="A804" s="12"/>
      <c r="B804" s="108"/>
      <c r="C804" s="106"/>
      <c r="D804" s="100" t="s">
        <v>60</v>
      </c>
      <c r="E804" s="17">
        <v>1156</v>
      </c>
      <c r="F804" s="18">
        <v>955</v>
      </c>
      <c r="G804" s="23"/>
      <c r="H804" s="22"/>
      <c r="I804" s="4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.5" customHeight="1" thickBot="1">
      <c r="A805" s="12"/>
      <c r="B805" s="108"/>
      <c r="C805" s="106"/>
      <c r="D805" s="100" t="s">
        <v>61</v>
      </c>
      <c r="E805" s="17">
        <v>1157</v>
      </c>
      <c r="F805" s="18">
        <v>1145</v>
      </c>
      <c r="G805" s="23"/>
      <c r="H805" s="22"/>
      <c r="I805" s="4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.5" customHeight="1" thickBot="1">
      <c r="A806" s="12"/>
      <c r="B806" s="108"/>
      <c r="C806" s="106"/>
      <c r="D806" s="100" t="s">
        <v>340</v>
      </c>
      <c r="E806" s="17">
        <v>1158</v>
      </c>
      <c r="F806" s="18">
        <v>636</v>
      </c>
      <c r="G806" s="23"/>
      <c r="H806" s="22"/>
      <c r="I806" s="4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.5" customHeight="1" thickBot="1">
      <c r="A807" s="12"/>
      <c r="B807" s="108"/>
      <c r="C807" s="106"/>
      <c r="D807" s="100" t="s">
        <v>201</v>
      </c>
      <c r="E807" s="17">
        <v>1159</v>
      </c>
      <c r="F807" s="18">
        <v>127</v>
      </c>
      <c r="G807" s="23"/>
      <c r="H807" s="22"/>
      <c r="I807" s="4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.5" customHeight="1" thickBot="1">
      <c r="A808" s="12"/>
      <c r="B808" s="108"/>
      <c r="C808" s="106"/>
      <c r="D808" s="100" t="s">
        <v>321</v>
      </c>
      <c r="E808" s="17">
        <v>1160</v>
      </c>
      <c r="F808" s="18">
        <v>255</v>
      </c>
      <c r="G808" s="23"/>
      <c r="H808" s="22"/>
      <c r="I808" s="4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.5" customHeight="1" thickBot="1">
      <c r="A809" s="12"/>
      <c r="B809" s="109" t="s">
        <v>505</v>
      </c>
      <c r="C809" s="107" t="s">
        <v>297</v>
      </c>
      <c r="D809" s="100" t="s">
        <v>12</v>
      </c>
      <c r="E809" s="17">
        <v>577</v>
      </c>
      <c r="F809" s="18">
        <v>995</v>
      </c>
      <c r="G809" s="23"/>
      <c r="H809" s="22"/>
      <c r="I809" s="4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.5" customHeight="1" thickBot="1">
      <c r="A810" s="12"/>
      <c r="B810" s="108"/>
      <c r="C810" s="106"/>
      <c r="D810" s="100" t="s">
        <v>82</v>
      </c>
      <c r="E810" s="17">
        <v>578</v>
      </c>
      <c r="F810" s="18">
        <v>414</v>
      </c>
      <c r="G810" s="23"/>
      <c r="H810" s="22"/>
      <c r="I810" s="4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.5" customHeight="1" thickBot="1">
      <c r="A811" s="12"/>
      <c r="B811" s="108"/>
      <c r="C811" s="106"/>
      <c r="D811" s="100" t="s">
        <v>14</v>
      </c>
      <c r="E811" s="17">
        <v>579</v>
      </c>
      <c r="F811" s="18">
        <v>509</v>
      </c>
      <c r="G811" s="23"/>
      <c r="H811" s="22"/>
      <c r="I811" s="4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.5" customHeight="1" thickBot="1">
      <c r="A812" s="12"/>
      <c r="B812" s="108"/>
      <c r="C812" s="106"/>
      <c r="D812" s="100" t="s">
        <v>22</v>
      </c>
      <c r="E812" s="17">
        <v>580</v>
      </c>
      <c r="F812" s="18">
        <v>445</v>
      </c>
      <c r="G812" s="23"/>
      <c r="H812" s="22"/>
      <c r="I812" s="4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.5" customHeight="1" thickBot="1">
      <c r="A813" s="12"/>
      <c r="B813" s="108"/>
      <c r="C813" s="107" t="s">
        <v>506</v>
      </c>
      <c r="D813" s="100" t="s">
        <v>18</v>
      </c>
      <c r="E813" s="17">
        <v>729</v>
      </c>
      <c r="F813" s="18">
        <v>720</v>
      </c>
      <c r="G813" s="23"/>
      <c r="H813" s="22"/>
      <c r="I813" s="4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.5" customHeight="1" thickBot="1">
      <c r="A814" s="12"/>
      <c r="B814" s="108"/>
      <c r="C814" s="106"/>
      <c r="D814" s="100" t="s">
        <v>20</v>
      </c>
      <c r="E814" s="17">
        <v>730</v>
      </c>
      <c r="F814" s="18">
        <v>720</v>
      </c>
      <c r="G814" s="23"/>
      <c r="H814" s="22"/>
      <c r="I814" s="4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.5" customHeight="1" thickBot="1">
      <c r="A815" s="12"/>
      <c r="B815" s="108"/>
      <c r="C815" s="106"/>
      <c r="D815" s="100" t="s">
        <v>14</v>
      </c>
      <c r="E815" s="17">
        <v>731</v>
      </c>
      <c r="F815" s="18">
        <v>509</v>
      </c>
      <c r="G815" s="23"/>
      <c r="H815" s="22"/>
      <c r="I815" s="4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.5" customHeight="1" thickBot="1">
      <c r="A816" s="12"/>
      <c r="B816" s="108"/>
      <c r="C816" s="107" t="s">
        <v>507</v>
      </c>
      <c r="D816" s="100" t="s">
        <v>18</v>
      </c>
      <c r="E816" s="17">
        <v>763</v>
      </c>
      <c r="F816" s="18">
        <v>720</v>
      </c>
      <c r="G816" s="23"/>
      <c r="H816" s="22"/>
      <c r="I816" s="4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.5" customHeight="1" thickBot="1">
      <c r="A817" s="12"/>
      <c r="B817" s="108"/>
      <c r="C817" s="106"/>
      <c r="D817" s="100" t="s">
        <v>82</v>
      </c>
      <c r="E817" s="17">
        <v>764</v>
      </c>
      <c r="F817" s="18">
        <v>318</v>
      </c>
      <c r="G817" s="23"/>
      <c r="H817" s="22"/>
      <c r="I817" s="4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.5" customHeight="1" thickBot="1">
      <c r="A818" s="12"/>
      <c r="B818" s="108"/>
      <c r="C818" s="106"/>
      <c r="D818" s="100" t="s">
        <v>14</v>
      </c>
      <c r="E818" s="17">
        <v>765</v>
      </c>
      <c r="F818" s="18">
        <v>509</v>
      </c>
      <c r="G818" s="23"/>
      <c r="H818" s="22"/>
      <c r="I818" s="4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.5" customHeight="1" thickBot="1">
      <c r="A819" s="12"/>
      <c r="B819" s="108"/>
      <c r="C819" s="107" t="s">
        <v>508</v>
      </c>
      <c r="D819" s="100" t="s">
        <v>18</v>
      </c>
      <c r="E819" s="17">
        <v>789</v>
      </c>
      <c r="F819" s="18">
        <v>720</v>
      </c>
      <c r="G819" s="23"/>
      <c r="H819" s="22"/>
      <c r="I819" s="4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.5" customHeight="1" thickBot="1">
      <c r="A820" s="12"/>
      <c r="B820" s="108"/>
      <c r="C820" s="107" t="s">
        <v>465</v>
      </c>
      <c r="D820" s="100" t="s">
        <v>18</v>
      </c>
      <c r="E820" s="17">
        <v>1115</v>
      </c>
      <c r="F820" s="18">
        <v>955</v>
      </c>
      <c r="G820" s="23"/>
      <c r="H820" s="22"/>
      <c r="I820" s="4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.5" customHeight="1" thickBot="1">
      <c r="A821" s="12"/>
      <c r="B821" s="108"/>
      <c r="C821" s="107" t="s">
        <v>287</v>
      </c>
      <c r="D821" s="100" t="s">
        <v>20</v>
      </c>
      <c r="E821" s="17">
        <v>1116</v>
      </c>
      <c r="F821" s="18">
        <v>955</v>
      </c>
      <c r="G821" s="23"/>
      <c r="H821" s="22"/>
      <c r="I821" s="4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.5" customHeight="1" thickBot="1">
      <c r="A822" s="12"/>
      <c r="B822" s="108"/>
      <c r="C822" s="106"/>
      <c r="D822" s="100" t="s">
        <v>14</v>
      </c>
      <c r="E822" s="17">
        <v>1117</v>
      </c>
      <c r="F822" s="18">
        <v>955</v>
      </c>
      <c r="G822" s="23"/>
      <c r="H822" s="22"/>
      <c r="I822" s="4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.5" customHeight="1" thickBot="1">
      <c r="A823" s="12"/>
      <c r="B823" s="108"/>
      <c r="C823" s="106"/>
      <c r="D823" s="100" t="s">
        <v>60</v>
      </c>
      <c r="E823" s="17">
        <v>1118</v>
      </c>
      <c r="F823" s="18">
        <v>1273</v>
      </c>
      <c r="G823" s="23"/>
      <c r="H823" s="22"/>
      <c r="I823" s="4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.5" customHeight="1" thickBot="1">
      <c r="A824" s="12"/>
      <c r="B824" s="108"/>
      <c r="C824" s="106"/>
      <c r="D824" s="100" t="s">
        <v>61</v>
      </c>
      <c r="E824" s="17">
        <v>1119</v>
      </c>
      <c r="F824" s="18">
        <v>1591</v>
      </c>
      <c r="G824" s="23"/>
      <c r="H824" s="22"/>
      <c r="I824" s="4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.5" customHeight="1" thickBot="1">
      <c r="A825" s="12"/>
      <c r="B825" s="108"/>
      <c r="C825" s="106"/>
      <c r="D825" s="100" t="s">
        <v>509</v>
      </c>
      <c r="E825" s="17">
        <v>1120</v>
      </c>
      <c r="F825" s="18">
        <v>191</v>
      </c>
      <c r="G825" s="23"/>
      <c r="H825" s="22"/>
      <c r="I825" s="4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.5" customHeight="1" thickBot="1">
      <c r="A826" s="12"/>
      <c r="B826" s="108"/>
      <c r="C826" s="106"/>
      <c r="D826" s="100" t="s">
        <v>510</v>
      </c>
      <c r="E826" s="17">
        <v>1372</v>
      </c>
      <c r="F826" s="18">
        <v>573</v>
      </c>
      <c r="G826" s="23"/>
      <c r="H826" s="22"/>
      <c r="I826" s="4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.5" customHeight="1" thickBot="1">
      <c r="A827" s="12"/>
      <c r="B827" s="108"/>
      <c r="C827" s="107" t="s">
        <v>511</v>
      </c>
      <c r="D827" s="100" t="s">
        <v>60</v>
      </c>
      <c r="E827" s="17">
        <v>790</v>
      </c>
      <c r="F827" s="18">
        <v>955</v>
      </c>
      <c r="G827" s="23"/>
      <c r="H827" s="22"/>
      <c r="I827" s="4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.5" customHeight="1" thickBot="1">
      <c r="A828" s="12"/>
      <c r="B828" s="108"/>
      <c r="C828" s="106"/>
      <c r="D828" s="100" t="s">
        <v>61</v>
      </c>
      <c r="E828" s="17">
        <v>791</v>
      </c>
      <c r="F828" s="18">
        <v>1145</v>
      </c>
      <c r="G828" s="23"/>
      <c r="H828" s="22"/>
      <c r="I828" s="4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.5" customHeight="1" thickBot="1">
      <c r="A829" s="12"/>
      <c r="B829" s="108"/>
      <c r="C829" s="107" t="s">
        <v>512</v>
      </c>
      <c r="D829" s="100" t="s">
        <v>18</v>
      </c>
      <c r="E829" s="17">
        <v>823</v>
      </c>
      <c r="F829" s="18">
        <v>720</v>
      </c>
      <c r="G829" s="23"/>
      <c r="H829" s="22"/>
      <c r="I829" s="4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.5" customHeight="1" thickBot="1">
      <c r="A830" s="12"/>
      <c r="B830" s="108"/>
      <c r="C830" s="106"/>
      <c r="D830" s="100" t="s">
        <v>20</v>
      </c>
      <c r="E830" s="17">
        <v>1644</v>
      </c>
      <c r="F830" s="18">
        <v>720</v>
      </c>
      <c r="G830" s="23"/>
      <c r="H830" s="22"/>
      <c r="I830" s="4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.5" customHeight="1" thickBot="1">
      <c r="A831" s="12"/>
      <c r="B831" s="108"/>
      <c r="C831" s="107" t="s">
        <v>513</v>
      </c>
      <c r="D831" s="100" t="s">
        <v>14</v>
      </c>
      <c r="E831" s="17">
        <v>824</v>
      </c>
      <c r="F831" s="18">
        <v>509</v>
      </c>
      <c r="G831" s="23"/>
      <c r="H831" s="22"/>
      <c r="I831" s="4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.5" customHeight="1" thickBot="1">
      <c r="A832" s="12"/>
      <c r="B832" s="108"/>
      <c r="C832" s="106"/>
      <c r="D832" s="100" t="s">
        <v>514</v>
      </c>
      <c r="E832" s="17">
        <v>1429</v>
      </c>
      <c r="F832" s="18">
        <v>445</v>
      </c>
      <c r="G832" s="23"/>
      <c r="H832" s="22"/>
      <c r="I832" s="4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.5" customHeight="1" thickBot="1">
      <c r="A833" s="12"/>
      <c r="B833" s="109" t="s">
        <v>505</v>
      </c>
      <c r="C833" s="107" t="s">
        <v>515</v>
      </c>
      <c r="D833" s="100" t="s">
        <v>18</v>
      </c>
      <c r="E833" s="17">
        <v>991</v>
      </c>
      <c r="F833" s="18">
        <v>764</v>
      </c>
      <c r="G833" s="23"/>
      <c r="H833" s="22"/>
      <c r="I833" s="4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.5" customHeight="1" thickBot="1">
      <c r="A834" s="12"/>
      <c r="B834" s="108"/>
      <c r="C834" s="106"/>
      <c r="D834" s="100" t="s">
        <v>82</v>
      </c>
      <c r="E834" s="17">
        <v>992</v>
      </c>
      <c r="F834" s="18">
        <v>509</v>
      </c>
      <c r="G834" s="23"/>
      <c r="H834" s="22"/>
      <c r="I834" s="4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.5" customHeight="1" thickBot="1">
      <c r="A835" s="12"/>
      <c r="B835" s="108"/>
      <c r="C835" s="106"/>
      <c r="D835" s="100" t="s">
        <v>14</v>
      </c>
      <c r="E835" s="17">
        <v>993</v>
      </c>
      <c r="F835" s="18">
        <v>573</v>
      </c>
      <c r="G835" s="23"/>
      <c r="H835" s="22"/>
      <c r="I835" s="4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.5" customHeight="1" thickBot="1">
      <c r="A836" s="12"/>
      <c r="B836" s="108"/>
      <c r="C836" s="106"/>
      <c r="D836" s="100" t="s">
        <v>26</v>
      </c>
      <c r="E836" s="17">
        <v>994</v>
      </c>
      <c r="F836" s="18">
        <v>1095</v>
      </c>
      <c r="G836" s="23"/>
      <c r="H836" s="22"/>
      <c r="I836" s="4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.5" customHeight="1" thickBot="1">
      <c r="A837" s="12"/>
      <c r="B837" s="108"/>
      <c r="C837" s="107" t="s">
        <v>516</v>
      </c>
      <c r="D837" s="100" t="s">
        <v>18</v>
      </c>
      <c r="E837" s="17">
        <v>952</v>
      </c>
      <c r="F837" s="18">
        <v>764</v>
      </c>
      <c r="G837" s="23"/>
      <c r="H837" s="22"/>
      <c r="I837" s="4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.5" customHeight="1" thickBot="1">
      <c r="A838" s="12"/>
      <c r="B838" s="108"/>
      <c r="C838" s="107" t="s">
        <v>287</v>
      </c>
      <c r="D838" s="100" t="s">
        <v>82</v>
      </c>
      <c r="E838" s="17">
        <v>953</v>
      </c>
      <c r="F838" s="18">
        <v>573</v>
      </c>
      <c r="G838" s="23"/>
      <c r="H838" s="22"/>
      <c r="I838" s="4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.5" customHeight="1" thickBot="1">
      <c r="A839" s="12"/>
      <c r="B839" s="108"/>
      <c r="C839" s="107" t="s">
        <v>517</v>
      </c>
      <c r="D839" s="100" t="s">
        <v>14</v>
      </c>
      <c r="E839" s="17">
        <v>954</v>
      </c>
      <c r="F839" s="18">
        <v>764</v>
      </c>
      <c r="G839" s="23"/>
      <c r="H839" s="22"/>
      <c r="I839" s="4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.5" customHeight="1" thickBot="1">
      <c r="A840" s="12"/>
      <c r="B840" s="108"/>
      <c r="C840" s="107" t="s">
        <v>518</v>
      </c>
      <c r="D840" s="100" t="s">
        <v>26</v>
      </c>
      <c r="E840" s="17">
        <v>955</v>
      </c>
      <c r="F840" s="18">
        <v>1095</v>
      </c>
      <c r="G840" s="23"/>
      <c r="H840" s="22"/>
      <c r="I840" s="4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.5" customHeight="1" thickBot="1">
      <c r="A841" s="12"/>
      <c r="B841" s="108"/>
      <c r="C841" s="106"/>
      <c r="D841" s="100" t="s">
        <v>60</v>
      </c>
      <c r="E841" s="17">
        <v>956</v>
      </c>
      <c r="F841" s="18">
        <v>1145</v>
      </c>
      <c r="G841" s="23"/>
      <c r="H841" s="22"/>
      <c r="I841" s="4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.5" customHeight="1" thickBot="1">
      <c r="A842" s="12"/>
      <c r="B842" s="108"/>
      <c r="C842" s="106"/>
      <c r="D842" s="100" t="s">
        <v>61</v>
      </c>
      <c r="E842" s="17">
        <v>957</v>
      </c>
      <c r="F842" s="18">
        <v>955</v>
      </c>
      <c r="G842" s="23"/>
      <c r="H842" s="22"/>
      <c r="I842" s="4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.5" customHeight="1" thickBot="1">
      <c r="A843" s="12"/>
      <c r="B843" s="108"/>
      <c r="C843" s="106"/>
      <c r="D843" s="100" t="s">
        <v>22</v>
      </c>
      <c r="E843" s="17">
        <v>958</v>
      </c>
      <c r="F843" s="18">
        <v>955</v>
      </c>
      <c r="G843" s="23"/>
      <c r="H843" s="22"/>
      <c r="I843" s="4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.5" customHeight="1" thickBot="1">
      <c r="A844" s="12"/>
      <c r="B844" s="108"/>
      <c r="C844" s="106"/>
      <c r="D844" s="100" t="s">
        <v>509</v>
      </c>
      <c r="E844" s="17">
        <v>959</v>
      </c>
      <c r="F844" s="18">
        <v>191</v>
      </c>
      <c r="G844" s="23"/>
      <c r="H844" s="22"/>
      <c r="I844" s="4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.5" customHeight="1" thickBot="1">
      <c r="A845" s="12"/>
      <c r="B845" s="108"/>
      <c r="C845" s="107" t="s">
        <v>358</v>
      </c>
      <c r="D845" s="100" t="s">
        <v>26</v>
      </c>
      <c r="E845" s="17">
        <v>1010</v>
      </c>
      <c r="F845" s="18">
        <v>1095</v>
      </c>
      <c r="G845" s="23"/>
      <c r="H845" s="22"/>
      <c r="I845" s="4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.5" customHeight="1" thickBot="1">
      <c r="A846" s="12"/>
      <c r="B846" s="108"/>
      <c r="C846" s="107" t="s">
        <v>519</v>
      </c>
      <c r="D846" s="100" t="s">
        <v>29</v>
      </c>
      <c r="E846" s="17">
        <v>1011</v>
      </c>
      <c r="F846" s="18">
        <v>1295</v>
      </c>
      <c r="G846" s="23"/>
      <c r="H846" s="22"/>
      <c r="I846" s="4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.5" customHeight="1" thickBot="1">
      <c r="A847" s="12"/>
      <c r="B847" s="108"/>
      <c r="C847" s="107" t="s">
        <v>520</v>
      </c>
      <c r="D847" s="100" t="s">
        <v>14</v>
      </c>
      <c r="E847" s="17">
        <v>1012</v>
      </c>
      <c r="F847" s="18">
        <v>764</v>
      </c>
      <c r="G847" s="23"/>
      <c r="H847" s="22"/>
      <c r="I847" s="4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.5" customHeight="1" thickBot="1">
      <c r="A848" s="12"/>
      <c r="B848" s="108"/>
      <c r="C848" s="107" t="s">
        <v>358</v>
      </c>
      <c r="D848" s="100" t="s">
        <v>18</v>
      </c>
      <c r="E848" s="17">
        <v>995</v>
      </c>
      <c r="F848" s="18">
        <v>764</v>
      </c>
      <c r="G848" s="23"/>
      <c r="H848" s="22"/>
      <c r="I848" s="4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.5" customHeight="1" thickBot="1">
      <c r="A849" s="12"/>
      <c r="B849" s="108"/>
      <c r="C849" s="107" t="s">
        <v>287</v>
      </c>
      <c r="D849" s="100" t="s">
        <v>20</v>
      </c>
      <c r="E849" s="17">
        <v>996</v>
      </c>
      <c r="F849" s="18">
        <v>764</v>
      </c>
      <c r="G849" s="23"/>
      <c r="H849" s="22"/>
      <c r="I849" s="4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.5" customHeight="1" thickBot="1">
      <c r="A850" s="12"/>
      <c r="B850" s="108"/>
      <c r="C850" s="107" t="s">
        <v>521</v>
      </c>
      <c r="D850" s="100" t="s">
        <v>14</v>
      </c>
      <c r="E850" s="17">
        <v>997</v>
      </c>
      <c r="F850" s="18">
        <v>573</v>
      </c>
      <c r="G850" s="23"/>
      <c r="H850" s="22"/>
      <c r="I850" s="4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.5" customHeight="1" thickBot="1">
      <c r="A851" s="12"/>
      <c r="B851" s="108"/>
      <c r="C851" s="106"/>
      <c r="D851" s="100" t="s">
        <v>22</v>
      </c>
      <c r="E851" s="17">
        <v>998</v>
      </c>
      <c r="F851" s="18">
        <v>955</v>
      </c>
      <c r="G851" s="23"/>
      <c r="H851" s="22"/>
      <c r="I851" s="4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.5" customHeight="1" thickBot="1">
      <c r="A852" s="12"/>
      <c r="B852" s="108"/>
      <c r="C852" s="106"/>
      <c r="D852" s="100" t="s">
        <v>60</v>
      </c>
      <c r="E852" s="17">
        <v>999</v>
      </c>
      <c r="F852" s="18">
        <v>636</v>
      </c>
      <c r="G852" s="23"/>
      <c r="H852" s="22"/>
      <c r="I852" s="4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.5" customHeight="1" thickBot="1">
      <c r="A853" s="12"/>
      <c r="B853" s="108"/>
      <c r="C853" s="106"/>
      <c r="D853" s="100" t="s">
        <v>61</v>
      </c>
      <c r="E853" s="17">
        <v>1000</v>
      </c>
      <c r="F853" s="18">
        <v>636</v>
      </c>
      <c r="G853" s="23"/>
      <c r="H853" s="22"/>
      <c r="I853" s="4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.5" customHeight="1" thickBot="1">
      <c r="A854" s="12"/>
      <c r="B854" s="108"/>
      <c r="C854" s="106"/>
      <c r="D854" s="100" t="s">
        <v>29</v>
      </c>
      <c r="E854" s="17">
        <v>1001</v>
      </c>
      <c r="F854" s="18">
        <v>1295</v>
      </c>
      <c r="G854" s="23"/>
      <c r="H854" s="22"/>
      <c r="I854" s="4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.5" customHeight="1" thickBot="1">
      <c r="A855" s="12"/>
      <c r="B855" s="108"/>
      <c r="C855" s="107" t="s">
        <v>522</v>
      </c>
      <c r="D855" s="100" t="s">
        <v>18</v>
      </c>
      <c r="E855" s="17">
        <v>1048</v>
      </c>
      <c r="F855" s="18">
        <v>764</v>
      </c>
      <c r="G855" s="23"/>
      <c r="H855" s="22"/>
      <c r="I855" s="4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.5" customHeight="1" thickBot="1">
      <c r="A856" s="12"/>
      <c r="B856" s="108"/>
      <c r="C856" s="106"/>
      <c r="D856" s="100" t="s">
        <v>20</v>
      </c>
      <c r="E856" s="17">
        <v>1384</v>
      </c>
      <c r="F856" s="18">
        <v>764</v>
      </c>
      <c r="G856" s="23"/>
      <c r="H856" s="22"/>
      <c r="I856" s="4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.5" customHeight="1" thickBot="1">
      <c r="A857" s="12"/>
      <c r="B857" s="108"/>
      <c r="C857" s="106"/>
      <c r="D857" s="100" t="s">
        <v>14</v>
      </c>
      <c r="E857" s="17">
        <v>1049</v>
      </c>
      <c r="F857" s="18">
        <v>573</v>
      </c>
      <c r="G857" s="23"/>
      <c r="H857" s="22"/>
      <c r="I857" s="4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.5" customHeight="1" thickBot="1">
      <c r="A858" s="12"/>
      <c r="B858" s="108"/>
      <c r="C858" s="106"/>
      <c r="D858" s="100" t="s">
        <v>22</v>
      </c>
      <c r="E858" s="17">
        <v>1385</v>
      </c>
      <c r="F858" s="18">
        <v>573</v>
      </c>
      <c r="G858" s="23"/>
      <c r="H858" s="22"/>
      <c r="I858" s="4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.5" customHeight="1" thickBot="1">
      <c r="A859" s="12"/>
      <c r="B859" s="108"/>
      <c r="C859" s="106"/>
      <c r="D859" s="100" t="s">
        <v>22</v>
      </c>
      <c r="E859" s="17">
        <v>1458</v>
      </c>
      <c r="F859" s="18">
        <v>573</v>
      </c>
      <c r="G859" s="23"/>
      <c r="H859" s="22"/>
      <c r="I859" s="4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.5" customHeight="1" thickBot="1">
      <c r="A860" s="12"/>
      <c r="B860" s="108"/>
      <c r="C860" s="107" t="s">
        <v>517</v>
      </c>
      <c r="D860" s="100" t="s">
        <v>22</v>
      </c>
      <c r="E860" s="17">
        <v>1058</v>
      </c>
      <c r="F860" s="18">
        <v>764</v>
      </c>
      <c r="G860" s="23"/>
      <c r="H860" s="22"/>
      <c r="I860" s="4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.5" customHeight="1" thickBot="1">
      <c r="A861" s="12"/>
      <c r="B861" s="108"/>
      <c r="C861" s="106"/>
      <c r="D861" s="100" t="s">
        <v>523</v>
      </c>
      <c r="E861" s="17">
        <v>1070</v>
      </c>
      <c r="F861" s="18">
        <v>795</v>
      </c>
      <c r="G861" s="23"/>
      <c r="H861" s="22"/>
      <c r="I861" s="4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.5" customHeight="1" thickBot="1">
      <c r="A862" s="12"/>
      <c r="B862" s="109" t="s">
        <v>524</v>
      </c>
      <c r="C862" s="107" t="s">
        <v>525</v>
      </c>
      <c r="D862" s="100" t="s">
        <v>410</v>
      </c>
      <c r="E862" s="17">
        <v>1267</v>
      </c>
      <c r="F862" s="18">
        <v>795</v>
      </c>
      <c r="G862" s="23"/>
      <c r="H862" s="22"/>
      <c r="I862" s="4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.5" customHeight="1" thickBot="1">
      <c r="A863" s="12"/>
      <c r="B863" s="108"/>
      <c r="C863" s="107" t="s">
        <v>526</v>
      </c>
      <c r="D863" s="100" t="s">
        <v>411</v>
      </c>
      <c r="E863" s="17">
        <v>1268</v>
      </c>
      <c r="F863" s="18">
        <v>795</v>
      </c>
      <c r="G863" s="23"/>
      <c r="H863" s="22"/>
      <c r="I863" s="4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.5" customHeight="1" thickBot="1">
      <c r="A864" s="12"/>
      <c r="B864" s="109" t="s">
        <v>524</v>
      </c>
      <c r="C864" s="107" t="s">
        <v>527</v>
      </c>
      <c r="D864" s="100" t="s">
        <v>29</v>
      </c>
      <c r="E864" s="17">
        <v>1262</v>
      </c>
      <c r="F864" s="18">
        <v>1295</v>
      </c>
      <c r="G864" s="23"/>
      <c r="H864" s="22"/>
      <c r="I864" s="4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.5" customHeight="1" thickBot="1">
      <c r="A865" s="12"/>
      <c r="B865" s="108"/>
      <c r="C865" s="107" t="s">
        <v>287</v>
      </c>
      <c r="D865" s="100"/>
      <c r="E865" s="13"/>
      <c r="F865" s="18">
        <v>0</v>
      </c>
      <c r="G865" s="23"/>
      <c r="H865" s="22"/>
      <c r="I865" s="4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.5" customHeight="1" thickBot="1">
      <c r="A866" s="12"/>
      <c r="B866" s="109" t="s">
        <v>524</v>
      </c>
      <c r="C866" s="107" t="s">
        <v>528</v>
      </c>
      <c r="D866" s="100" t="s">
        <v>18</v>
      </c>
      <c r="E866" s="17">
        <v>1425</v>
      </c>
      <c r="F866" s="18">
        <v>955</v>
      </c>
      <c r="G866" s="23"/>
      <c r="H866" s="22"/>
      <c r="I866" s="4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.5" customHeight="1" thickBot="1">
      <c r="A867" s="12"/>
      <c r="B867" s="108"/>
      <c r="C867" s="106"/>
      <c r="D867" s="100" t="s">
        <v>60</v>
      </c>
      <c r="E867" s="17">
        <v>1426</v>
      </c>
      <c r="F867" s="18">
        <v>1591</v>
      </c>
      <c r="G867" s="23"/>
      <c r="H867" s="22"/>
      <c r="I867" s="4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.5" customHeight="1" thickBot="1">
      <c r="A868" s="12"/>
      <c r="B868" s="108"/>
      <c r="C868" s="106"/>
      <c r="D868" s="100" t="s">
        <v>20</v>
      </c>
      <c r="E868" s="17">
        <v>1201</v>
      </c>
      <c r="F868" s="18">
        <v>955</v>
      </c>
      <c r="G868" s="23"/>
      <c r="H868" s="22"/>
      <c r="I868" s="4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.5" customHeight="1" thickBot="1">
      <c r="A869" s="12"/>
      <c r="B869" s="108"/>
      <c r="C869" s="106"/>
      <c r="D869" s="100" t="s">
        <v>14</v>
      </c>
      <c r="E869" s="17">
        <v>954</v>
      </c>
      <c r="F869" s="18">
        <v>764</v>
      </c>
      <c r="G869" s="23"/>
      <c r="H869" s="22"/>
      <c r="I869" s="4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.5" customHeight="1" thickBot="1">
      <c r="A870" s="12"/>
      <c r="B870" s="108"/>
      <c r="C870" s="106"/>
      <c r="D870" s="100" t="s">
        <v>26</v>
      </c>
      <c r="E870" s="17">
        <v>955</v>
      </c>
      <c r="F870" s="18">
        <v>1095</v>
      </c>
      <c r="G870" s="23"/>
      <c r="H870" s="22"/>
      <c r="I870" s="4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.5" customHeight="1" thickBot="1">
      <c r="A871" s="12"/>
      <c r="B871" s="108"/>
      <c r="C871" s="106"/>
      <c r="D871" s="100" t="s">
        <v>61</v>
      </c>
      <c r="E871" s="17">
        <v>957</v>
      </c>
      <c r="F871" s="18">
        <v>955</v>
      </c>
      <c r="G871" s="23"/>
      <c r="H871" s="22"/>
      <c r="I871" s="4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.5" customHeight="1" thickBot="1">
      <c r="A872" s="12"/>
      <c r="B872" s="108"/>
      <c r="C872" s="106"/>
      <c r="D872" s="100" t="s">
        <v>22</v>
      </c>
      <c r="E872" s="17">
        <v>958</v>
      </c>
      <c r="F872" s="18">
        <v>955</v>
      </c>
      <c r="G872" s="23"/>
      <c r="H872" s="22"/>
      <c r="I872" s="4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.5" customHeight="1" thickBot="1">
      <c r="A873" s="12"/>
      <c r="B873" s="108"/>
      <c r="C873" s="106"/>
      <c r="D873" s="100" t="s">
        <v>201</v>
      </c>
      <c r="E873" s="17">
        <v>959</v>
      </c>
      <c r="F873" s="18">
        <v>191</v>
      </c>
      <c r="G873" s="23"/>
      <c r="H873" s="22"/>
      <c r="I873" s="4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.5" customHeight="1" thickBot="1">
      <c r="A874" s="12"/>
      <c r="B874" s="109" t="s">
        <v>524</v>
      </c>
      <c r="C874" s="107" t="s">
        <v>386</v>
      </c>
      <c r="D874" s="100" t="s">
        <v>12</v>
      </c>
      <c r="E874" s="17">
        <v>1455</v>
      </c>
      <c r="F874" s="18">
        <v>1145</v>
      </c>
      <c r="G874" s="23"/>
      <c r="H874" s="22"/>
      <c r="I874" s="4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.5" customHeight="1" thickBot="1">
      <c r="A875" s="12"/>
      <c r="B875" s="109" t="s">
        <v>505</v>
      </c>
      <c r="C875" s="107" t="s">
        <v>529</v>
      </c>
      <c r="D875" s="100" t="s">
        <v>18</v>
      </c>
      <c r="E875" s="17">
        <v>1527</v>
      </c>
      <c r="F875" s="18">
        <v>764</v>
      </c>
      <c r="G875" s="23"/>
      <c r="H875" s="22"/>
      <c r="I875" s="4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.5" customHeight="1" thickBot="1">
      <c r="A876" s="12"/>
      <c r="B876" s="108"/>
      <c r="C876" s="106"/>
      <c r="D876" s="100" t="s">
        <v>20</v>
      </c>
      <c r="E876" s="17">
        <v>1528</v>
      </c>
      <c r="F876" s="18">
        <v>720</v>
      </c>
      <c r="G876" s="23"/>
      <c r="H876" s="22"/>
      <c r="I876" s="4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.5" customHeight="1" thickBot="1">
      <c r="A877" s="12"/>
      <c r="B877" s="108"/>
      <c r="C877" s="106"/>
      <c r="D877" s="100" t="s">
        <v>14</v>
      </c>
      <c r="E877" s="17">
        <v>1529</v>
      </c>
      <c r="F877" s="18">
        <v>573</v>
      </c>
      <c r="G877" s="23"/>
      <c r="H877" s="22"/>
      <c r="I877" s="4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.5" customHeight="1" thickBot="1">
      <c r="A878" s="12"/>
      <c r="B878" s="108"/>
      <c r="C878" s="106"/>
      <c r="D878" s="100" t="s">
        <v>26</v>
      </c>
      <c r="E878" s="17">
        <v>1532</v>
      </c>
      <c r="F878" s="18">
        <v>1095</v>
      </c>
      <c r="G878" s="23"/>
      <c r="H878" s="22"/>
      <c r="I878" s="4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.5" customHeight="1" thickBot="1">
      <c r="A879" s="12"/>
      <c r="B879" s="108"/>
      <c r="C879" s="106"/>
      <c r="D879" s="100" t="s">
        <v>29</v>
      </c>
      <c r="E879" s="17">
        <v>1594</v>
      </c>
      <c r="F879" s="18">
        <v>1295</v>
      </c>
      <c r="G879" s="23"/>
      <c r="H879" s="22"/>
      <c r="I879" s="4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.5" customHeight="1" thickBot="1">
      <c r="A880" s="12"/>
      <c r="B880" s="108"/>
      <c r="C880" s="106"/>
      <c r="D880" s="100" t="s">
        <v>60</v>
      </c>
      <c r="E880" s="17">
        <v>1530</v>
      </c>
      <c r="F880" s="18">
        <v>1273</v>
      </c>
      <c r="G880" s="23"/>
      <c r="H880" s="22"/>
      <c r="I880" s="4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.5" customHeight="1" thickBot="1">
      <c r="A881" s="12"/>
      <c r="B881" s="108"/>
      <c r="C881" s="106"/>
      <c r="D881" s="100" t="s">
        <v>530</v>
      </c>
      <c r="E881" s="17">
        <v>1534</v>
      </c>
      <c r="F881" s="18">
        <v>1591</v>
      </c>
      <c r="G881" s="23"/>
      <c r="H881" s="22"/>
      <c r="I881" s="4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.5" customHeight="1" thickBot="1">
      <c r="A882" s="12"/>
      <c r="B882" s="108"/>
      <c r="C882" s="106"/>
      <c r="D882" s="100" t="s">
        <v>61</v>
      </c>
      <c r="E882" s="17">
        <v>1531</v>
      </c>
      <c r="F882" s="18">
        <v>1273</v>
      </c>
      <c r="G882" s="23"/>
      <c r="H882" s="22"/>
      <c r="I882" s="4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.5" customHeight="1" thickBot="1">
      <c r="A883" s="12"/>
      <c r="B883" s="108"/>
      <c r="C883" s="106"/>
      <c r="D883" s="100" t="s">
        <v>55</v>
      </c>
      <c r="E883" s="17">
        <v>1567</v>
      </c>
      <c r="F883" s="18">
        <v>795</v>
      </c>
      <c r="G883" s="23"/>
      <c r="H883" s="22"/>
      <c r="I883" s="4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.5" customHeight="1" thickBot="1">
      <c r="A884" s="12"/>
      <c r="B884" s="108"/>
      <c r="C884" s="106"/>
      <c r="D884" s="100" t="s">
        <v>531</v>
      </c>
      <c r="E884" s="17">
        <v>1568</v>
      </c>
      <c r="F884" s="18">
        <v>573</v>
      </c>
      <c r="G884" s="23"/>
      <c r="H884" s="22"/>
      <c r="I884" s="4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.5" customHeight="1" thickBot="1">
      <c r="A885" s="12"/>
      <c r="B885" s="108"/>
      <c r="C885" s="106"/>
      <c r="D885" s="100" t="s">
        <v>532</v>
      </c>
      <c r="E885" s="17">
        <v>1569</v>
      </c>
      <c r="F885" s="18">
        <v>573</v>
      </c>
      <c r="G885" s="23"/>
      <c r="H885" s="22"/>
      <c r="I885" s="4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.5" customHeight="1" thickBot="1">
      <c r="A886" s="12"/>
      <c r="B886" s="108"/>
      <c r="C886" s="106"/>
      <c r="D886" s="100" t="s">
        <v>200</v>
      </c>
      <c r="E886" s="17">
        <v>1199</v>
      </c>
      <c r="F886" s="18">
        <v>2864</v>
      </c>
      <c r="G886" s="23"/>
      <c r="H886" s="22"/>
      <c r="I886" s="4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.5" customHeight="1" thickBot="1">
      <c r="A887" s="12"/>
      <c r="B887" s="109" t="s">
        <v>505</v>
      </c>
      <c r="C887" s="107" t="s">
        <v>533</v>
      </c>
      <c r="D887" s="100" t="s">
        <v>18</v>
      </c>
      <c r="E887" s="17">
        <v>2313</v>
      </c>
      <c r="F887" s="18">
        <v>764</v>
      </c>
      <c r="G887" s="23"/>
      <c r="H887" s="22"/>
      <c r="I887" s="4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30.5" customHeight="1" thickBot="1">
      <c r="A888" s="12"/>
      <c r="B888" s="108"/>
      <c r="C888" s="107" t="s">
        <v>534</v>
      </c>
      <c r="D888" s="100" t="s">
        <v>20</v>
      </c>
      <c r="E888" s="17">
        <v>2314</v>
      </c>
      <c r="F888" s="18">
        <v>720</v>
      </c>
      <c r="G888" s="23"/>
      <c r="H888" s="22"/>
      <c r="I888" s="4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.5" customHeight="1" thickBot="1">
      <c r="A889" s="12"/>
      <c r="B889" s="108"/>
      <c r="C889" s="106"/>
      <c r="D889" s="100" t="s">
        <v>14</v>
      </c>
      <c r="E889" s="17">
        <v>2316</v>
      </c>
      <c r="F889" s="18">
        <v>573</v>
      </c>
      <c r="G889" s="23"/>
      <c r="H889" s="22"/>
      <c r="I889" s="4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.5" customHeight="1" thickBot="1">
      <c r="A890" s="12"/>
      <c r="B890" s="109" t="s">
        <v>505</v>
      </c>
      <c r="C890" s="107" t="s">
        <v>68</v>
      </c>
      <c r="D890" s="100" t="s">
        <v>18</v>
      </c>
      <c r="E890" s="17">
        <v>2030</v>
      </c>
      <c r="F890" s="18">
        <v>720</v>
      </c>
      <c r="G890" s="23"/>
      <c r="H890" s="22"/>
      <c r="I890" s="4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.5" customHeight="1" thickBot="1">
      <c r="A891" s="12"/>
      <c r="B891" s="108"/>
      <c r="C891" s="107" t="s">
        <v>535</v>
      </c>
      <c r="D891" s="100" t="s">
        <v>18</v>
      </c>
      <c r="E891" s="17">
        <v>2310</v>
      </c>
      <c r="F891" s="18">
        <v>720</v>
      </c>
      <c r="G891" s="23"/>
      <c r="H891" s="22"/>
      <c r="I891" s="4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.5" customHeight="1" thickBot="1">
      <c r="A892" s="12"/>
      <c r="B892" s="108"/>
      <c r="C892" s="107" t="s">
        <v>344</v>
      </c>
      <c r="D892" s="100" t="s">
        <v>20</v>
      </c>
      <c r="E892" s="17">
        <v>2031</v>
      </c>
      <c r="F892" s="18">
        <v>720</v>
      </c>
      <c r="G892" s="23"/>
      <c r="H892" s="22"/>
      <c r="I892" s="4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.5" customHeight="1" thickBot="1">
      <c r="A893" s="12"/>
      <c r="B893" s="108"/>
      <c r="C893" s="106"/>
      <c r="D893" s="100" t="s">
        <v>14</v>
      </c>
      <c r="E893" s="17">
        <v>2032</v>
      </c>
      <c r="F893" s="18">
        <v>509</v>
      </c>
      <c r="G893" s="23"/>
      <c r="H893" s="22"/>
      <c r="I893" s="4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.5" customHeight="1" thickBot="1">
      <c r="A894" s="12"/>
      <c r="B894" s="108"/>
      <c r="C894" s="106"/>
      <c r="D894" s="100" t="s">
        <v>26</v>
      </c>
      <c r="E894" s="17">
        <v>2034</v>
      </c>
      <c r="F894" s="18">
        <v>1095</v>
      </c>
      <c r="G894" s="23"/>
      <c r="H894" s="22"/>
      <c r="I894" s="4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.5" customHeight="1" thickBot="1">
      <c r="A895" s="12"/>
      <c r="B895" s="108"/>
      <c r="C895" s="106"/>
      <c r="D895" s="100" t="s">
        <v>29</v>
      </c>
      <c r="E895" s="17">
        <v>2033</v>
      </c>
      <c r="F895" s="18">
        <v>1295</v>
      </c>
      <c r="G895" s="23"/>
      <c r="H895" s="22"/>
      <c r="I895" s="4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.5" customHeight="1" thickBot="1">
      <c r="A896" s="12"/>
      <c r="B896" s="108"/>
      <c r="C896" s="106"/>
      <c r="D896" s="100" t="s">
        <v>55</v>
      </c>
      <c r="E896" s="13"/>
      <c r="F896" s="18">
        <v>795</v>
      </c>
      <c r="G896" s="23"/>
      <c r="H896" s="22"/>
      <c r="I896" s="4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.5" customHeight="1" thickBot="1">
      <c r="A897" s="12"/>
      <c r="B897" s="108"/>
      <c r="C897" s="106"/>
      <c r="D897" s="100" t="s">
        <v>60</v>
      </c>
      <c r="E897" s="17">
        <v>2026</v>
      </c>
      <c r="F897" s="18">
        <v>2227</v>
      </c>
      <c r="G897" s="23"/>
      <c r="H897" s="22"/>
      <c r="I897" s="4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.5" customHeight="1" thickBot="1">
      <c r="A898" s="12"/>
      <c r="B898" s="108"/>
      <c r="C898" s="106"/>
      <c r="D898" s="100" t="s">
        <v>536</v>
      </c>
      <c r="E898" s="17">
        <v>2029</v>
      </c>
      <c r="F898" s="18">
        <v>1295</v>
      </c>
      <c r="G898" s="23"/>
      <c r="H898" s="22"/>
      <c r="I898" s="4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.5" customHeight="1" thickBot="1">
      <c r="A899" s="12"/>
      <c r="B899" s="108"/>
      <c r="C899" s="106"/>
      <c r="D899" s="100" t="s">
        <v>61</v>
      </c>
      <c r="E899" s="17">
        <v>2027</v>
      </c>
      <c r="F899" s="18">
        <v>2227</v>
      </c>
      <c r="G899" s="23"/>
      <c r="H899" s="22"/>
      <c r="I899" s="4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.5" customHeight="1" thickBot="1">
      <c r="A900" s="12"/>
      <c r="B900" s="108"/>
      <c r="C900" s="106"/>
      <c r="D900" s="100" t="s">
        <v>200</v>
      </c>
      <c r="E900" s="17">
        <v>2035</v>
      </c>
      <c r="F900" s="18">
        <v>2864</v>
      </c>
      <c r="G900" s="23"/>
      <c r="H900" s="22"/>
      <c r="I900" s="4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.5" customHeight="1" thickBot="1">
      <c r="A901" s="12"/>
      <c r="B901" s="108"/>
      <c r="C901" s="107" t="s">
        <v>537</v>
      </c>
      <c r="D901" s="100" t="s">
        <v>206</v>
      </c>
      <c r="E901" s="17">
        <v>2028</v>
      </c>
      <c r="F901" s="18">
        <v>573</v>
      </c>
      <c r="G901" s="23"/>
      <c r="H901" s="22"/>
      <c r="I901" s="4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.5" customHeight="1" thickBot="1">
      <c r="A902" s="12"/>
      <c r="B902" s="108"/>
      <c r="C902" s="107" t="s">
        <v>538</v>
      </c>
      <c r="D902" s="100" t="s">
        <v>273</v>
      </c>
      <c r="E902" s="17">
        <v>2036</v>
      </c>
      <c r="F902" s="18">
        <v>764</v>
      </c>
      <c r="G902" s="23"/>
      <c r="H902" s="22"/>
      <c r="I902" s="4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.5" customHeight="1" thickBot="1">
      <c r="A903" s="12"/>
      <c r="B903" s="109" t="s">
        <v>524</v>
      </c>
      <c r="C903" s="107" t="s">
        <v>539</v>
      </c>
      <c r="D903" s="100" t="s">
        <v>18</v>
      </c>
      <c r="E903" s="17">
        <v>2310</v>
      </c>
      <c r="F903" s="18">
        <v>955</v>
      </c>
      <c r="G903" s="23"/>
      <c r="H903" s="22"/>
      <c r="I903" s="4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.5" customHeight="1" thickBot="1">
      <c r="A904" s="12"/>
      <c r="B904" s="108"/>
      <c r="C904" s="107" t="s">
        <v>540</v>
      </c>
      <c r="D904" s="100" t="s">
        <v>20</v>
      </c>
      <c r="E904" s="17">
        <v>3115</v>
      </c>
      <c r="F904" s="18">
        <v>955</v>
      </c>
      <c r="G904" s="23"/>
      <c r="H904" s="22"/>
      <c r="I904" s="4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.5" customHeight="1" thickBot="1">
      <c r="A905" s="12"/>
      <c r="B905" s="108"/>
      <c r="C905" s="106"/>
      <c r="D905" s="100" t="s">
        <v>26</v>
      </c>
      <c r="E905" s="17">
        <v>3418</v>
      </c>
      <c r="F905" s="18">
        <v>1095</v>
      </c>
      <c r="G905" s="23"/>
      <c r="H905" s="22"/>
      <c r="I905" s="4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.5" customHeight="1" thickBot="1">
      <c r="A906" s="12"/>
      <c r="B906" s="108"/>
      <c r="C906" s="106"/>
      <c r="D906" s="100" t="s">
        <v>14</v>
      </c>
      <c r="E906" s="17">
        <v>3116</v>
      </c>
      <c r="F906" s="18">
        <v>955</v>
      </c>
      <c r="G906" s="23"/>
      <c r="H906" s="22"/>
      <c r="I906" s="4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.5" customHeight="1" thickBot="1">
      <c r="A907" s="12"/>
      <c r="B907" s="108"/>
      <c r="C907" s="106"/>
      <c r="D907" s="100" t="s">
        <v>22</v>
      </c>
      <c r="E907" s="17">
        <v>3117</v>
      </c>
      <c r="F907" s="18">
        <v>955</v>
      </c>
      <c r="G907" s="23"/>
      <c r="H907" s="22"/>
      <c r="I907" s="4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.5" customHeight="1" thickBot="1">
      <c r="A908" s="12"/>
      <c r="B908" s="109" t="s">
        <v>524</v>
      </c>
      <c r="C908" s="107" t="s">
        <v>541</v>
      </c>
      <c r="D908" s="100" t="s">
        <v>29</v>
      </c>
      <c r="E908" s="17">
        <v>3257</v>
      </c>
      <c r="F908" s="18">
        <v>1295</v>
      </c>
      <c r="G908" s="23"/>
      <c r="H908" s="22"/>
      <c r="I908" s="4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.5" customHeight="1" thickBot="1">
      <c r="A909" s="12"/>
      <c r="B909" s="109" t="s">
        <v>524</v>
      </c>
      <c r="C909" s="107" t="s">
        <v>68</v>
      </c>
      <c r="D909" s="100" t="s">
        <v>542</v>
      </c>
      <c r="E909" s="17">
        <v>3377</v>
      </c>
      <c r="F909" s="18">
        <v>1145</v>
      </c>
      <c r="G909" s="23"/>
      <c r="H909" s="22"/>
      <c r="I909" s="4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.5" customHeight="1" thickBot="1">
      <c r="A910" s="12"/>
      <c r="B910" s="109" t="s">
        <v>543</v>
      </c>
      <c r="C910" s="107" t="s">
        <v>544</v>
      </c>
      <c r="D910" s="100" t="s">
        <v>18</v>
      </c>
      <c r="E910" s="17">
        <v>1200</v>
      </c>
      <c r="F910" s="18">
        <v>955</v>
      </c>
      <c r="G910" s="23"/>
      <c r="H910" s="22"/>
      <c r="I910" s="4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.5" customHeight="1" thickBot="1">
      <c r="A911" s="12"/>
      <c r="B911" s="108"/>
      <c r="C911" s="106"/>
      <c r="D911" s="100" t="s">
        <v>20</v>
      </c>
      <c r="E911" s="17">
        <v>1201</v>
      </c>
      <c r="F911" s="18">
        <v>955</v>
      </c>
      <c r="G911" s="23"/>
      <c r="H911" s="22"/>
      <c r="I911" s="4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.5" customHeight="1" thickBot="1">
      <c r="A912" s="12"/>
      <c r="B912" s="108"/>
      <c r="C912" s="106"/>
      <c r="D912" s="100" t="s">
        <v>14</v>
      </c>
      <c r="E912" s="17">
        <v>1202</v>
      </c>
      <c r="F912" s="18">
        <v>955</v>
      </c>
      <c r="G912" s="23"/>
      <c r="H912" s="22"/>
      <c r="I912" s="4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.5" customHeight="1" thickBot="1">
      <c r="A913" s="12"/>
      <c r="B913" s="108"/>
      <c r="C913" s="106"/>
      <c r="D913" s="100" t="s">
        <v>22</v>
      </c>
      <c r="E913" s="17">
        <v>1203</v>
      </c>
      <c r="F913" s="18">
        <v>1145</v>
      </c>
      <c r="G913" s="23"/>
      <c r="H913" s="22"/>
      <c r="I913" s="4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.5" customHeight="1" thickBot="1">
      <c r="A914" s="12"/>
      <c r="B914" s="108"/>
      <c r="C914" s="106"/>
      <c r="D914" s="100" t="s">
        <v>60</v>
      </c>
      <c r="E914" s="17">
        <v>1204</v>
      </c>
      <c r="F914" s="18">
        <v>764</v>
      </c>
      <c r="G914" s="23"/>
      <c r="H914" s="22"/>
      <c r="I914" s="4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.5" customHeight="1" thickBot="1">
      <c r="A915" s="12"/>
      <c r="B915" s="108"/>
      <c r="C915" s="106"/>
      <c r="D915" s="100" t="s">
        <v>55</v>
      </c>
      <c r="E915" s="17">
        <v>1433</v>
      </c>
      <c r="F915" s="18">
        <v>795</v>
      </c>
      <c r="G915" s="23"/>
      <c r="H915" s="22"/>
      <c r="I915" s="4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.5" customHeight="1" thickBot="1">
      <c r="A916" s="12"/>
      <c r="B916" s="109" t="s">
        <v>543</v>
      </c>
      <c r="C916" s="107" t="s">
        <v>544</v>
      </c>
      <c r="D916" s="100" t="s">
        <v>18</v>
      </c>
      <c r="E916" s="17">
        <v>1240</v>
      </c>
      <c r="F916" s="18">
        <v>955</v>
      </c>
      <c r="G916" s="23"/>
      <c r="H916" s="22"/>
      <c r="I916" s="4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.5" customHeight="1" thickBot="1">
      <c r="A917" s="12"/>
      <c r="B917" s="108"/>
      <c r="C917" s="107" t="s">
        <v>287</v>
      </c>
      <c r="D917" s="100" t="s">
        <v>20</v>
      </c>
      <c r="E917" s="17">
        <v>1241</v>
      </c>
      <c r="F917" s="18">
        <v>955</v>
      </c>
      <c r="G917" s="23"/>
      <c r="H917" s="22"/>
      <c r="I917" s="4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.5" customHeight="1" thickBot="1">
      <c r="A918" s="12"/>
      <c r="B918" s="108"/>
      <c r="C918" s="106"/>
      <c r="D918" s="100" t="s">
        <v>14</v>
      </c>
      <c r="E918" s="17">
        <v>1242</v>
      </c>
      <c r="F918" s="18">
        <v>955</v>
      </c>
      <c r="G918" s="23"/>
      <c r="H918" s="22"/>
      <c r="I918" s="4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.5" customHeight="1" thickBot="1">
      <c r="A919" s="12"/>
      <c r="B919" s="108"/>
      <c r="C919" s="106"/>
      <c r="D919" s="100" t="s">
        <v>22</v>
      </c>
      <c r="E919" s="17" t="s">
        <v>545</v>
      </c>
      <c r="F919" s="18">
        <v>1145</v>
      </c>
      <c r="G919" s="23"/>
      <c r="H919" s="22"/>
      <c r="I919" s="4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.5" customHeight="1" thickBot="1">
      <c r="A920" s="12"/>
      <c r="B920" s="108"/>
      <c r="C920" s="106"/>
      <c r="D920" s="100" t="s">
        <v>546</v>
      </c>
      <c r="E920" s="17" t="s">
        <v>547</v>
      </c>
      <c r="F920" s="18">
        <v>795</v>
      </c>
      <c r="G920" s="23"/>
      <c r="H920" s="22"/>
      <c r="I920" s="4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.5" customHeight="1" thickBot="1">
      <c r="A921" s="12"/>
      <c r="B921" s="108"/>
      <c r="C921" s="106"/>
      <c r="D921" s="100" t="s">
        <v>548</v>
      </c>
      <c r="E921" s="17">
        <v>1277</v>
      </c>
      <c r="F921" s="18">
        <v>795</v>
      </c>
      <c r="G921" s="23"/>
      <c r="H921" s="22"/>
      <c r="I921" s="4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.5" customHeight="1" thickBot="1">
      <c r="A922" s="12"/>
      <c r="B922" s="108"/>
      <c r="C922" s="106"/>
      <c r="D922" s="100" t="s">
        <v>60</v>
      </c>
      <c r="E922" s="17">
        <v>1244</v>
      </c>
      <c r="F922" s="18">
        <v>955</v>
      </c>
      <c r="G922" s="23"/>
      <c r="H922" s="22"/>
      <c r="I922" s="4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.5" customHeight="1" thickBot="1">
      <c r="A923" s="12"/>
      <c r="B923" s="108"/>
      <c r="C923" s="106"/>
      <c r="D923" s="100" t="s">
        <v>61</v>
      </c>
      <c r="E923" s="17">
        <v>1245</v>
      </c>
      <c r="F923" s="18">
        <v>1273</v>
      </c>
      <c r="G923" s="23"/>
      <c r="H923" s="22"/>
      <c r="I923" s="4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.5" customHeight="1" thickBot="1">
      <c r="A924" s="12"/>
      <c r="B924" s="108"/>
      <c r="C924" s="107" t="s">
        <v>549</v>
      </c>
      <c r="D924" s="100" t="s">
        <v>26</v>
      </c>
      <c r="E924" s="17">
        <v>1246</v>
      </c>
      <c r="F924" s="18">
        <v>1095</v>
      </c>
      <c r="G924" s="23"/>
      <c r="H924" s="22"/>
      <c r="I924" s="4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.5" customHeight="1" thickBot="1">
      <c r="A925" s="12"/>
      <c r="B925" s="108"/>
      <c r="C925" s="107" t="s">
        <v>550</v>
      </c>
      <c r="D925" s="100" t="s">
        <v>27</v>
      </c>
      <c r="E925" s="17">
        <v>1247</v>
      </c>
      <c r="F925" s="18">
        <v>1145</v>
      </c>
      <c r="G925" s="23"/>
      <c r="H925" s="22"/>
      <c r="I925" s="4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.5" customHeight="1" thickBot="1">
      <c r="A926" s="12"/>
      <c r="B926" s="108"/>
      <c r="C926" s="106"/>
      <c r="D926" s="100" t="s">
        <v>29</v>
      </c>
      <c r="E926" s="17">
        <v>1248</v>
      </c>
      <c r="F926" s="18">
        <v>1295</v>
      </c>
      <c r="G926" s="23"/>
      <c r="H926" s="22"/>
      <c r="I926" s="4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.5" customHeight="1" thickBot="1">
      <c r="A927" s="12"/>
      <c r="B927" s="109" t="s">
        <v>543</v>
      </c>
      <c r="C927" s="107" t="s">
        <v>102</v>
      </c>
      <c r="D927" s="100" t="s">
        <v>22</v>
      </c>
      <c r="E927" s="17">
        <v>1257</v>
      </c>
      <c r="F927" s="18">
        <v>509</v>
      </c>
      <c r="G927" s="23"/>
      <c r="H927" s="22"/>
      <c r="I927" s="4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.5" customHeight="1" thickBot="1">
      <c r="A928" s="12"/>
      <c r="B928" s="108"/>
      <c r="C928" s="106"/>
      <c r="D928" s="100" t="s">
        <v>551</v>
      </c>
      <c r="E928" s="17">
        <v>1258</v>
      </c>
      <c r="F928" s="18">
        <v>191</v>
      </c>
      <c r="G928" s="23"/>
      <c r="H928" s="22"/>
      <c r="I928" s="4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.5" customHeight="1" thickBot="1">
      <c r="A929" s="12"/>
      <c r="B929" s="108"/>
      <c r="C929" s="106"/>
      <c r="D929" s="100" t="s">
        <v>552</v>
      </c>
      <c r="E929" s="17">
        <v>1259</v>
      </c>
      <c r="F929" s="18">
        <v>191</v>
      </c>
      <c r="G929" s="23"/>
      <c r="H929" s="22"/>
      <c r="I929" s="4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.5" customHeight="1" thickBot="1">
      <c r="A930" s="12"/>
      <c r="B930" s="109" t="s">
        <v>543</v>
      </c>
      <c r="C930" s="107" t="s">
        <v>553</v>
      </c>
      <c r="D930" s="100" t="s">
        <v>554</v>
      </c>
      <c r="E930" s="17">
        <v>1260</v>
      </c>
      <c r="F930" s="18">
        <v>1095</v>
      </c>
      <c r="G930" s="23"/>
      <c r="H930" s="22"/>
      <c r="I930" s="4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.5" customHeight="1" thickBot="1">
      <c r="A931" s="12"/>
      <c r="B931" s="108"/>
      <c r="C931" s="106"/>
      <c r="D931" s="100" t="s">
        <v>555</v>
      </c>
      <c r="E931" s="17">
        <v>1261</v>
      </c>
      <c r="F931" s="18">
        <v>795</v>
      </c>
      <c r="G931" s="23"/>
      <c r="H931" s="22"/>
      <c r="I931" s="4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.5" customHeight="1" thickBot="1">
      <c r="A932" s="12"/>
      <c r="B932" s="109" t="s">
        <v>543</v>
      </c>
      <c r="C932" s="107" t="s">
        <v>556</v>
      </c>
      <c r="D932" s="100" t="s">
        <v>18</v>
      </c>
      <c r="E932" s="17">
        <v>1373</v>
      </c>
      <c r="F932" s="18">
        <v>764</v>
      </c>
      <c r="G932" s="23"/>
      <c r="H932" s="22"/>
      <c r="I932" s="4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.5" customHeight="1" thickBot="1">
      <c r="A933" s="12"/>
      <c r="B933" s="108"/>
      <c r="C933" s="106"/>
      <c r="D933" s="100" t="s">
        <v>20</v>
      </c>
      <c r="E933" s="17">
        <v>1374</v>
      </c>
      <c r="F933" s="18">
        <v>764</v>
      </c>
      <c r="G933" s="23"/>
      <c r="H933" s="22"/>
      <c r="I933" s="4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.5" customHeight="1" thickBot="1">
      <c r="A934" s="12"/>
      <c r="B934" s="108"/>
      <c r="C934" s="106"/>
      <c r="D934" s="100" t="s">
        <v>14</v>
      </c>
      <c r="E934" s="17">
        <v>1375</v>
      </c>
      <c r="F934" s="18">
        <v>573</v>
      </c>
      <c r="G934" s="23"/>
      <c r="H934" s="22"/>
      <c r="I934" s="4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.5" customHeight="1" thickBot="1">
      <c r="A935" s="12"/>
      <c r="B935" s="108"/>
      <c r="C935" s="106"/>
      <c r="D935" s="100" t="s">
        <v>557</v>
      </c>
      <c r="E935" s="17" t="s">
        <v>558</v>
      </c>
      <c r="F935" s="18">
        <v>955</v>
      </c>
      <c r="G935" s="23"/>
      <c r="H935" s="22"/>
      <c r="I935" s="4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.5" customHeight="1" thickBot="1">
      <c r="A936" s="12"/>
      <c r="B936" s="108"/>
      <c r="C936" s="106"/>
      <c r="D936" s="100" t="s">
        <v>22</v>
      </c>
      <c r="E936" s="17" t="s">
        <v>559</v>
      </c>
      <c r="F936" s="18">
        <v>955</v>
      </c>
      <c r="G936" s="23"/>
      <c r="H936" s="22"/>
      <c r="I936" s="4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.5" customHeight="1" thickBot="1">
      <c r="A937" s="12"/>
      <c r="B937" s="108"/>
      <c r="C937" s="106"/>
      <c r="D937" s="100" t="s">
        <v>455</v>
      </c>
      <c r="E937" s="17">
        <v>1379</v>
      </c>
      <c r="F937" s="18">
        <v>191</v>
      </c>
      <c r="G937" s="23"/>
      <c r="H937" s="22"/>
      <c r="I937" s="4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.5" customHeight="1" thickBot="1">
      <c r="A938" s="12"/>
      <c r="B938" s="108"/>
      <c r="C938" s="106"/>
      <c r="D938" s="100" t="s">
        <v>455</v>
      </c>
      <c r="E938" s="17">
        <v>1380</v>
      </c>
      <c r="F938" s="18">
        <v>191</v>
      </c>
      <c r="G938" s="23"/>
      <c r="H938" s="22"/>
      <c r="I938" s="4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.5" customHeight="1" thickBot="1">
      <c r="A939" s="12"/>
      <c r="B939" s="108"/>
      <c r="C939" s="106"/>
      <c r="D939" s="100" t="s">
        <v>560</v>
      </c>
      <c r="E939" s="17">
        <v>1377</v>
      </c>
      <c r="F939" s="18">
        <v>191</v>
      </c>
      <c r="G939" s="23"/>
      <c r="H939" s="22"/>
      <c r="I939" s="4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30.5" customHeight="1" thickBot="1">
      <c r="A940" s="12"/>
      <c r="B940" s="108"/>
      <c r="C940" s="106"/>
      <c r="D940" s="100" t="s">
        <v>561</v>
      </c>
      <c r="E940" s="17">
        <v>1378</v>
      </c>
      <c r="F940" s="18">
        <v>191</v>
      </c>
      <c r="G940" s="23"/>
      <c r="H940" s="22"/>
      <c r="I940" s="4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.5" customHeight="1" thickBot="1">
      <c r="A941" s="12"/>
      <c r="B941" s="109" t="s">
        <v>543</v>
      </c>
      <c r="C941" s="107" t="s">
        <v>562</v>
      </c>
      <c r="D941" s="100" t="s">
        <v>18</v>
      </c>
      <c r="E941" s="17">
        <v>2220</v>
      </c>
      <c r="F941" s="18">
        <v>764</v>
      </c>
      <c r="G941" s="23"/>
      <c r="H941" s="22"/>
      <c r="I941" s="4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.5" customHeight="1" thickBot="1">
      <c r="A942" s="12"/>
      <c r="B942" s="108"/>
      <c r="C942" s="106"/>
      <c r="D942" s="100" t="s">
        <v>20</v>
      </c>
      <c r="E942" s="17">
        <v>2299</v>
      </c>
      <c r="F942" s="18">
        <v>764</v>
      </c>
      <c r="G942" s="23"/>
      <c r="H942" s="22"/>
      <c r="I942" s="4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.5" customHeight="1" thickBot="1">
      <c r="A943" s="12"/>
      <c r="B943" s="108"/>
      <c r="C943" s="106"/>
      <c r="D943" s="100" t="s">
        <v>14</v>
      </c>
      <c r="E943" s="17">
        <v>2300</v>
      </c>
      <c r="F943" s="18">
        <v>573</v>
      </c>
      <c r="G943" s="23"/>
      <c r="H943" s="22"/>
      <c r="I943" s="4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.5" customHeight="1" thickBot="1">
      <c r="A944" s="12"/>
      <c r="B944" s="108"/>
      <c r="C944" s="106"/>
      <c r="D944" s="100" t="s">
        <v>22</v>
      </c>
      <c r="E944" s="17">
        <v>2298</v>
      </c>
      <c r="F944" s="18">
        <v>955</v>
      </c>
      <c r="G944" s="23"/>
      <c r="H944" s="22"/>
      <c r="I944" s="4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" customHeight="1">
      <c r="A945" s="12"/>
      <c r="B945" s="109" t="s">
        <v>543</v>
      </c>
      <c r="C945" s="107" t="s">
        <v>563</v>
      </c>
      <c r="D945" s="100" t="s">
        <v>22</v>
      </c>
      <c r="E945" s="17">
        <v>3156</v>
      </c>
      <c r="F945" s="18">
        <v>764</v>
      </c>
      <c r="G945" s="23"/>
      <c r="H945" s="22"/>
      <c r="I945" s="4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" customHeight="1">
      <c r="A946" s="12"/>
      <c r="B946" s="109" t="s">
        <v>543</v>
      </c>
      <c r="C946" s="107" t="s">
        <v>564</v>
      </c>
      <c r="D946" s="100" t="s">
        <v>18</v>
      </c>
      <c r="E946" s="17">
        <v>2220</v>
      </c>
      <c r="F946" s="18">
        <v>955</v>
      </c>
      <c r="G946" s="23"/>
      <c r="H946" s="22"/>
      <c r="I946" s="4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30.5" customHeight="1">
      <c r="A947" s="12"/>
      <c r="B947" s="108"/>
      <c r="C947" s="107" t="s">
        <v>565</v>
      </c>
      <c r="D947" s="100" t="s">
        <v>20</v>
      </c>
      <c r="E947" s="17">
        <v>2221</v>
      </c>
      <c r="F947" s="18">
        <v>955</v>
      </c>
      <c r="G947" s="23"/>
      <c r="H947" s="22"/>
      <c r="I947" s="4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30.5" customHeight="1">
      <c r="A948" s="12"/>
      <c r="B948" s="108"/>
      <c r="C948" s="106"/>
      <c r="D948" s="100" t="s">
        <v>60</v>
      </c>
      <c r="E948" s="17">
        <v>2222</v>
      </c>
      <c r="F948" s="18">
        <v>2227</v>
      </c>
      <c r="G948" s="23"/>
      <c r="H948" s="22"/>
      <c r="I948" s="4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" customHeight="1">
      <c r="A949" s="12"/>
      <c r="B949" s="108"/>
      <c r="C949" s="106"/>
      <c r="D949" s="100" t="s">
        <v>61</v>
      </c>
      <c r="E949" s="17">
        <v>2223</v>
      </c>
      <c r="F949" s="18">
        <v>2227</v>
      </c>
      <c r="G949" s="23"/>
      <c r="H949" s="22"/>
      <c r="I949" s="4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" customHeight="1">
      <c r="A950" s="12"/>
      <c r="B950" s="108"/>
      <c r="C950" s="106"/>
      <c r="D950" s="100" t="s">
        <v>273</v>
      </c>
      <c r="E950" s="17">
        <v>2224</v>
      </c>
      <c r="F950" s="18">
        <v>955</v>
      </c>
      <c r="G950" s="23"/>
      <c r="H950" s="22"/>
      <c r="I950" s="4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" customHeight="1">
      <c r="A951" s="12"/>
      <c r="B951" s="108"/>
      <c r="C951" s="106"/>
      <c r="D951" s="100" t="s">
        <v>26</v>
      </c>
      <c r="E951" s="17">
        <v>2225</v>
      </c>
      <c r="F951" s="18">
        <v>1145</v>
      </c>
      <c r="G951" s="23"/>
      <c r="H951" s="22"/>
      <c r="I951" s="4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" customHeight="1">
      <c r="A952" s="12"/>
      <c r="B952" s="108"/>
      <c r="C952" s="106"/>
      <c r="D952" s="100" t="s">
        <v>27</v>
      </c>
      <c r="E952" s="17">
        <v>2226</v>
      </c>
      <c r="F952" s="18">
        <v>1782</v>
      </c>
      <c r="G952" s="23"/>
      <c r="H952" s="22"/>
      <c r="I952" s="4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" customHeight="1">
      <c r="A953" s="12"/>
      <c r="B953" s="108"/>
      <c r="C953" s="106"/>
      <c r="D953" s="100" t="s">
        <v>29</v>
      </c>
      <c r="E953" s="17">
        <v>2227</v>
      </c>
      <c r="F953" s="18">
        <v>1591</v>
      </c>
      <c r="G953" s="23"/>
      <c r="H953" s="22"/>
      <c r="I953" s="4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30.5" customHeight="1">
      <c r="A954" s="12"/>
      <c r="B954" s="108"/>
      <c r="C954" s="106"/>
      <c r="D954" s="100" t="s">
        <v>200</v>
      </c>
      <c r="E954" s="17">
        <v>2035</v>
      </c>
      <c r="F954" s="18">
        <v>1591</v>
      </c>
      <c r="G954" s="23"/>
      <c r="H954" s="22"/>
      <c r="I954" s="4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30" customHeight="1">
      <c r="A955" s="12"/>
      <c r="B955" s="108"/>
      <c r="C955" s="106"/>
      <c r="D955" s="100" t="s">
        <v>566</v>
      </c>
      <c r="E955" s="17">
        <v>2236</v>
      </c>
      <c r="F955" s="18">
        <v>573</v>
      </c>
      <c r="G955" s="23"/>
      <c r="H955" s="22"/>
      <c r="I955" s="4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" customHeight="1">
      <c r="A956" s="12"/>
      <c r="B956" s="109" t="s">
        <v>543</v>
      </c>
      <c r="C956" s="107" t="s">
        <v>567</v>
      </c>
      <c r="D956" s="100" t="s">
        <v>18</v>
      </c>
      <c r="E956" s="17">
        <v>2220</v>
      </c>
      <c r="F956" s="18">
        <v>955</v>
      </c>
      <c r="G956" s="23"/>
      <c r="H956" s="22"/>
      <c r="I956" s="4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" customHeight="1">
      <c r="A957" s="12"/>
      <c r="B957" s="108"/>
      <c r="C957" s="107" t="s">
        <v>568</v>
      </c>
      <c r="D957" s="100" t="s">
        <v>20</v>
      </c>
      <c r="E957" s="17">
        <v>2299</v>
      </c>
      <c r="F957" s="18">
        <v>955</v>
      </c>
      <c r="G957" s="23"/>
      <c r="H957" s="22"/>
      <c r="I957" s="4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" customHeight="1">
      <c r="A958" s="12"/>
      <c r="B958" s="108"/>
      <c r="C958" s="106"/>
      <c r="D958" s="100" t="s">
        <v>14</v>
      </c>
      <c r="E958" s="17">
        <v>2300</v>
      </c>
      <c r="F958" s="18">
        <v>2227</v>
      </c>
      <c r="G958" s="23"/>
      <c r="H958" s="22"/>
      <c r="I958" s="4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" customHeight="1">
      <c r="A959" s="12"/>
      <c r="B959" s="108"/>
      <c r="C959" s="106"/>
      <c r="D959" s="100" t="s">
        <v>22</v>
      </c>
      <c r="E959" s="17">
        <v>2298</v>
      </c>
      <c r="F959" s="18">
        <v>2227</v>
      </c>
      <c r="G959" s="23"/>
      <c r="H959" s="22"/>
      <c r="I959" s="4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30" customHeight="1">
      <c r="A960" s="12"/>
      <c r="B960" s="108"/>
      <c r="C960" s="106"/>
      <c r="D960" s="100" t="s">
        <v>156</v>
      </c>
      <c r="E960" s="17">
        <v>2360</v>
      </c>
      <c r="F960" s="18">
        <v>2227</v>
      </c>
      <c r="G960" s="23"/>
      <c r="H960" s="22"/>
      <c r="I960" s="4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" customHeight="1">
      <c r="A961" s="12"/>
      <c r="B961" s="108"/>
      <c r="C961" s="106"/>
      <c r="D961" s="100" t="s">
        <v>60</v>
      </c>
      <c r="E961" s="17">
        <v>22361</v>
      </c>
      <c r="F961" s="18">
        <v>2227</v>
      </c>
      <c r="G961" s="23"/>
      <c r="H961" s="22"/>
      <c r="I961" s="4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" customHeight="1">
      <c r="A962" s="12"/>
      <c r="B962" s="108"/>
      <c r="C962" s="106"/>
      <c r="D962" s="100" t="s">
        <v>61</v>
      </c>
      <c r="E962" s="17">
        <v>2362</v>
      </c>
      <c r="F962" s="18">
        <v>955</v>
      </c>
      <c r="G962" s="23"/>
      <c r="H962" s="22"/>
      <c r="I962" s="4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" customHeight="1">
      <c r="A963" s="12"/>
      <c r="B963" s="108"/>
      <c r="C963" s="106"/>
      <c r="D963" s="100" t="s">
        <v>26</v>
      </c>
      <c r="E963" s="17">
        <v>2363</v>
      </c>
      <c r="F963" s="18">
        <v>1145</v>
      </c>
      <c r="G963" s="23"/>
      <c r="H963" s="22"/>
      <c r="I963" s="4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" customHeight="1">
      <c r="A964" s="12"/>
      <c r="B964" s="108"/>
      <c r="C964" s="106"/>
      <c r="D964" s="100" t="s">
        <v>27</v>
      </c>
      <c r="E964" s="17">
        <v>2226</v>
      </c>
      <c r="F964" s="18">
        <v>1782</v>
      </c>
      <c r="G964" s="23"/>
      <c r="H964" s="22"/>
      <c r="I964" s="4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" customHeight="1">
      <c r="A965" s="12"/>
      <c r="B965" s="108"/>
      <c r="C965" s="106"/>
      <c r="D965" s="100" t="s">
        <v>29</v>
      </c>
      <c r="E965" s="17">
        <v>2364</v>
      </c>
      <c r="F965" s="18">
        <v>1591</v>
      </c>
      <c r="G965" s="23"/>
      <c r="H965" s="22"/>
      <c r="I965" s="4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" customHeight="1">
      <c r="A966" s="12"/>
      <c r="B966" s="109" t="s">
        <v>543</v>
      </c>
      <c r="C966" s="107" t="s">
        <v>569</v>
      </c>
      <c r="D966" s="100" t="s">
        <v>18</v>
      </c>
      <c r="E966" s="17">
        <v>2317</v>
      </c>
      <c r="F966" s="18">
        <v>955</v>
      </c>
      <c r="G966" s="23"/>
      <c r="H966" s="22"/>
      <c r="I966" s="4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" customHeight="1">
      <c r="A967" s="12"/>
      <c r="B967" s="108"/>
      <c r="C967" s="107" t="s">
        <v>570</v>
      </c>
      <c r="D967" s="100" t="s">
        <v>20</v>
      </c>
      <c r="E967" s="17">
        <v>2318</v>
      </c>
      <c r="F967" s="18">
        <v>955</v>
      </c>
      <c r="G967" s="23"/>
      <c r="H967" s="22"/>
      <c r="I967" s="4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" customHeight="1">
      <c r="A968" s="12"/>
      <c r="B968" s="108"/>
      <c r="C968" s="106"/>
      <c r="D968" s="100" t="s">
        <v>571</v>
      </c>
      <c r="E968" s="17">
        <v>1204</v>
      </c>
      <c r="F968" s="18">
        <v>2227</v>
      </c>
      <c r="G968" s="23"/>
      <c r="H968" s="22"/>
      <c r="I968" s="4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30.5" customHeight="1">
      <c r="A969" s="12"/>
      <c r="B969" s="108"/>
      <c r="C969" s="106"/>
      <c r="D969" s="100" t="s">
        <v>60</v>
      </c>
      <c r="E969" s="17">
        <v>2319</v>
      </c>
      <c r="F969" s="18">
        <v>2227</v>
      </c>
      <c r="G969" s="23"/>
      <c r="H969" s="22"/>
      <c r="I969" s="4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" customHeight="1">
      <c r="A970" s="12"/>
      <c r="B970" s="108"/>
      <c r="C970" s="106"/>
      <c r="D970" s="100" t="s">
        <v>61</v>
      </c>
      <c r="E970" s="17">
        <v>2320</v>
      </c>
      <c r="F970" s="18">
        <v>2227</v>
      </c>
      <c r="G970" s="23"/>
      <c r="H970" s="22"/>
      <c r="I970" s="4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" customHeight="1">
      <c r="A971" s="12"/>
      <c r="B971" s="108"/>
      <c r="C971" s="106"/>
      <c r="D971" s="100" t="s">
        <v>26</v>
      </c>
      <c r="E971" s="17">
        <v>3136</v>
      </c>
      <c r="F971" s="18">
        <v>1145</v>
      </c>
      <c r="G971" s="23"/>
      <c r="H971" s="22"/>
      <c r="I971" s="4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" customHeight="1">
      <c r="A972" s="12"/>
      <c r="B972" s="108"/>
      <c r="C972" s="106"/>
      <c r="D972" s="100" t="s">
        <v>27</v>
      </c>
      <c r="E972" s="17">
        <v>2322</v>
      </c>
      <c r="F972" s="18">
        <v>1782</v>
      </c>
      <c r="G972" s="23"/>
      <c r="H972" s="22"/>
      <c r="I972" s="4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" customHeight="1">
      <c r="A973" s="12"/>
      <c r="B973" s="108"/>
      <c r="C973" s="106"/>
      <c r="D973" s="100" t="s">
        <v>200</v>
      </c>
      <c r="E973" s="17">
        <v>2323</v>
      </c>
      <c r="F973" s="18">
        <v>1591</v>
      </c>
      <c r="G973" s="23"/>
      <c r="H973" s="22"/>
      <c r="I973" s="4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" customHeight="1">
      <c r="A974" s="12"/>
      <c r="B974" s="108"/>
      <c r="C974" s="106"/>
      <c r="D974" s="100" t="s">
        <v>566</v>
      </c>
      <c r="E974" s="17">
        <v>2236</v>
      </c>
      <c r="F974" s="18">
        <v>573</v>
      </c>
      <c r="G974" s="23"/>
      <c r="H974" s="22"/>
      <c r="I974" s="4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" customHeight="1">
      <c r="A975" s="12"/>
      <c r="B975" s="109" t="s">
        <v>543</v>
      </c>
      <c r="C975" s="107" t="s">
        <v>63</v>
      </c>
      <c r="D975" s="100"/>
      <c r="E975" s="17">
        <v>3409</v>
      </c>
      <c r="F975" s="18">
        <v>1095</v>
      </c>
      <c r="G975" s="23"/>
      <c r="H975" s="22"/>
      <c r="I975" s="4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" customHeight="1">
      <c r="A976" s="12"/>
      <c r="B976" s="109" t="s">
        <v>543</v>
      </c>
      <c r="C976" s="106"/>
      <c r="D976" s="100" t="s">
        <v>29</v>
      </c>
      <c r="E976" s="17">
        <v>3137</v>
      </c>
      <c r="F976" s="18">
        <v>1295</v>
      </c>
      <c r="G976" s="23"/>
      <c r="H976" s="22"/>
      <c r="I976" s="4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" customHeight="1">
      <c r="A977" s="12"/>
      <c r="B977" s="109" t="s">
        <v>543</v>
      </c>
      <c r="C977" s="107" t="s">
        <v>68</v>
      </c>
      <c r="D977" s="100" t="s">
        <v>572</v>
      </c>
      <c r="E977" s="17">
        <v>3171</v>
      </c>
      <c r="F977" s="18">
        <v>318</v>
      </c>
      <c r="G977" s="23"/>
      <c r="H977" s="22"/>
      <c r="I977" s="4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" customHeight="1">
      <c r="A978" s="12"/>
      <c r="B978" s="108"/>
      <c r="C978" s="107" t="s">
        <v>68</v>
      </c>
      <c r="D978" s="100" t="s">
        <v>573</v>
      </c>
      <c r="E978" s="17" t="s">
        <v>574</v>
      </c>
      <c r="F978" s="18">
        <v>255</v>
      </c>
      <c r="G978" s="23"/>
      <c r="H978" s="22"/>
      <c r="I978" s="4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" customHeight="1">
      <c r="A979" s="12"/>
      <c r="B979" s="108"/>
      <c r="C979" s="107" t="s">
        <v>68</v>
      </c>
      <c r="D979" s="100" t="s">
        <v>575</v>
      </c>
      <c r="E979" s="17" t="s">
        <v>576</v>
      </c>
      <c r="F979" s="18">
        <v>445</v>
      </c>
      <c r="G979" s="23"/>
      <c r="H979" s="22"/>
      <c r="I979" s="4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" customHeight="1">
      <c r="A980" s="12"/>
      <c r="B980" s="109" t="s">
        <v>543</v>
      </c>
      <c r="C980" s="107" t="s">
        <v>577</v>
      </c>
      <c r="D980" s="100" t="s">
        <v>18</v>
      </c>
      <c r="E980" s="17">
        <v>3240</v>
      </c>
      <c r="F980" s="18">
        <v>764</v>
      </c>
      <c r="G980" s="23"/>
      <c r="H980" s="22"/>
      <c r="I980" s="4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" customHeight="1">
      <c r="A981" s="12"/>
      <c r="B981" s="108"/>
      <c r="C981" s="106"/>
      <c r="D981" s="100" t="s">
        <v>20</v>
      </c>
      <c r="E981" s="17">
        <v>3241</v>
      </c>
      <c r="F981" s="18">
        <v>764</v>
      </c>
      <c r="G981" s="23"/>
      <c r="H981" s="22"/>
      <c r="I981" s="4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" customHeight="1">
      <c r="A982" s="12"/>
      <c r="B982" s="108"/>
      <c r="C982" s="106"/>
      <c r="D982" s="100" t="s">
        <v>14</v>
      </c>
      <c r="E982" s="17">
        <v>3242</v>
      </c>
      <c r="F982" s="18">
        <v>573</v>
      </c>
      <c r="G982" s="23"/>
      <c r="H982" s="1"/>
      <c r="I982" s="1"/>
      <c r="J982" s="1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" customHeight="1">
      <c r="A983" s="12"/>
      <c r="B983" s="108"/>
      <c r="C983" s="106"/>
      <c r="D983" s="100" t="s">
        <v>60</v>
      </c>
      <c r="E983" s="17">
        <v>3515</v>
      </c>
      <c r="F983" s="18">
        <v>955</v>
      </c>
      <c r="G983" s="27"/>
      <c r="H983" s="1"/>
      <c r="I983" s="1"/>
      <c r="J983" s="1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" customHeight="1">
      <c r="A984" s="12"/>
      <c r="B984" s="108"/>
      <c r="C984" s="106"/>
      <c r="D984" s="100" t="s">
        <v>530</v>
      </c>
      <c r="E984" s="17">
        <v>3516</v>
      </c>
      <c r="F984" s="18">
        <v>1273</v>
      </c>
      <c r="G984" s="27"/>
      <c r="H984" s="1"/>
      <c r="I984" s="1"/>
      <c r="J984" s="1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" customHeight="1">
      <c r="A985" s="12"/>
      <c r="B985" s="108"/>
      <c r="C985" s="106"/>
      <c r="D985" s="100" t="s">
        <v>578</v>
      </c>
      <c r="E985" s="17">
        <v>3517</v>
      </c>
      <c r="F985" s="18">
        <v>955</v>
      </c>
      <c r="G985" s="27"/>
      <c r="H985" s="1"/>
      <c r="I985" s="1"/>
      <c r="J985" s="1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" customHeight="1">
      <c r="A986" s="12"/>
      <c r="B986" s="108"/>
      <c r="C986" s="106"/>
      <c r="D986" s="100" t="s">
        <v>63</v>
      </c>
      <c r="E986" s="17">
        <v>3243</v>
      </c>
      <c r="F986" s="18">
        <v>1095</v>
      </c>
      <c r="G986" s="27"/>
      <c r="H986" s="1"/>
      <c r="I986" s="1"/>
      <c r="J986" s="1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" customHeight="1">
      <c r="A987" s="12"/>
      <c r="B987" s="108"/>
      <c r="C987" s="106"/>
      <c r="D987" s="100" t="s">
        <v>29</v>
      </c>
      <c r="E987" s="17">
        <v>3244</v>
      </c>
      <c r="F987" s="18">
        <v>1295</v>
      </c>
      <c r="G987" s="27"/>
      <c r="H987" s="1"/>
      <c r="I987" s="1"/>
      <c r="J987" s="1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" customHeight="1">
      <c r="A988" s="12"/>
      <c r="B988" s="108"/>
      <c r="C988" s="106"/>
      <c r="D988" s="100" t="s">
        <v>27</v>
      </c>
      <c r="E988" s="17">
        <v>3245</v>
      </c>
      <c r="F988" s="18">
        <v>1145</v>
      </c>
      <c r="G988" s="27"/>
      <c r="H988" s="1"/>
      <c r="I988" s="1"/>
      <c r="J988" s="1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" customHeight="1">
      <c r="A989" s="12"/>
      <c r="B989" s="108"/>
      <c r="C989" s="106"/>
      <c r="D989" s="100" t="s">
        <v>579</v>
      </c>
      <c r="E989" s="17">
        <v>3237</v>
      </c>
      <c r="F989" s="18">
        <v>509</v>
      </c>
      <c r="G989" s="27"/>
      <c r="H989" s="1"/>
      <c r="I989" s="1"/>
      <c r="J989" s="1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" customHeight="1">
      <c r="A990" s="12"/>
      <c r="B990" s="108"/>
      <c r="C990" s="106"/>
      <c r="D990" s="100" t="s">
        <v>33</v>
      </c>
      <c r="E990" s="17">
        <v>3238</v>
      </c>
      <c r="F990" s="18">
        <v>955</v>
      </c>
      <c r="G990" s="27"/>
      <c r="H990" s="1"/>
      <c r="I990" s="1"/>
      <c r="J990" s="1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" customHeight="1">
      <c r="A991" s="12"/>
      <c r="B991" s="108"/>
      <c r="C991" s="106"/>
      <c r="D991" s="100" t="s">
        <v>580</v>
      </c>
      <c r="E991" s="17">
        <v>2278</v>
      </c>
      <c r="F991" s="18">
        <v>318</v>
      </c>
      <c r="G991" s="27"/>
      <c r="H991" s="1"/>
      <c r="I991" s="1"/>
      <c r="J991" s="1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27" customHeight="1">
      <c r="A992" s="12"/>
      <c r="B992" s="109" t="s">
        <v>543</v>
      </c>
      <c r="C992" s="107" t="s">
        <v>68</v>
      </c>
      <c r="D992" s="100" t="s">
        <v>542</v>
      </c>
      <c r="E992" s="17">
        <v>3433</v>
      </c>
      <c r="F992" s="18">
        <v>1145</v>
      </c>
      <c r="G992" s="27"/>
      <c r="H992" s="1"/>
      <c r="I992" s="1"/>
      <c r="J992" s="1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" customHeight="1">
      <c r="A993" s="12"/>
      <c r="B993" s="109" t="s">
        <v>581</v>
      </c>
      <c r="C993" s="107" t="s">
        <v>582</v>
      </c>
      <c r="D993" s="100" t="s">
        <v>18</v>
      </c>
      <c r="E993" s="17">
        <v>425</v>
      </c>
      <c r="F993" s="18">
        <v>720</v>
      </c>
      <c r="G993" s="27"/>
      <c r="H993" s="1"/>
      <c r="I993" s="1"/>
      <c r="J993" s="1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" customHeight="1">
      <c r="A994" s="12"/>
      <c r="B994" s="109" t="s">
        <v>583</v>
      </c>
      <c r="C994" s="106"/>
      <c r="D994" s="100" t="s">
        <v>60</v>
      </c>
      <c r="E994" s="17">
        <v>426</v>
      </c>
      <c r="F994" s="18">
        <v>764</v>
      </c>
      <c r="G994" s="27"/>
      <c r="H994" s="1"/>
      <c r="I994" s="1"/>
      <c r="J994" s="1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" customHeight="1">
      <c r="A995" s="12"/>
      <c r="B995" s="108"/>
      <c r="C995" s="106"/>
      <c r="D995" s="100" t="s">
        <v>61</v>
      </c>
      <c r="E995" s="17">
        <v>427</v>
      </c>
      <c r="F995" s="18">
        <v>1145</v>
      </c>
      <c r="G995" s="27"/>
      <c r="H995" s="1"/>
      <c r="I995" s="1"/>
      <c r="J995" s="1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" customHeight="1">
      <c r="A996" s="12"/>
      <c r="B996" s="108"/>
      <c r="C996" s="106"/>
      <c r="D996" s="100" t="s">
        <v>584</v>
      </c>
      <c r="E996" s="17">
        <v>1371</v>
      </c>
      <c r="F996" s="18">
        <v>318</v>
      </c>
      <c r="G996" s="27"/>
      <c r="H996" s="1"/>
      <c r="I996" s="1"/>
      <c r="J996" s="1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27" customHeight="1">
      <c r="A997" s="12"/>
      <c r="B997" s="109" t="s">
        <v>581</v>
      </c>
      <c r="C997" s="107" t="s">
        <v>585</v>
      </c>
      <c r="D997" s="100" t="s">
        <v>586</v>
      </c>
      <c r="E997" s="17">
        <v>3224</v>
      </c>
      <c r="F997" s="18">
        <v>1145</v>
      </c>
      <c r="G997" s="27"/>
      <c r="H997" s="1"/>
      <c r="I997" s="1"/>
      <c r="J997" s="1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" customHeight="1">
      <c r="A998" s="12"/>
      <c r="B998" s="109" t="s">
        <v>587</v>
      </c>
      <c r="C998" s="106"/>
      <c r="D998" s="100" t="s">
        <v>588</v>
      </c>
      <c r="E998" s="17">
        <v>3225</v>
      </c>
      <c r="F998" s="18">
        <v>764</v>
      </c>
      <c r="G998" s="27"/>
      <c r="H998" s="1"/>
      <c r="I998" s="1"/>
      <c r="J998" s="1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customHeight="1">
      <c r="A999" s="12"/>
      <c r="B999" s="108" t="s">
        <v>581</v>
      </c>
      <c r="C999" s="106" t="s">
        <v>109</v>
      </c>
      <c r="D999" s="100" t="s">
        <v>18</v>
      </c>
      <c r="E999" s="13">
        <v>3401</v>
      </c>
      <c r="F999" s="18">
        <v>955</v>
      </c>
      <c r="G999" s="27"/>
      <c r="H999" s="1"/>
      <c r="I999" s="1"/>
      <c r="J999" s="1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 customHeight="1">
      <c r="A1000" s="12"/>
      <c r="B1000" s="109" t="s">
        <v>587</v>
      </c>
      <c r="C1000" s="107" t="s">
        <v>589</v>
      </c>
      <c r="D1000" s="100" t="s">
        <v>20</v>
      </c>
      <c r="E1000" s="17">
        <v>3402</v>
      </c>
      <c r="F1000" s="18">
        <v>955</v>
      </c>
      <c r="G1000" s="27"/>
      <c r="H1000" s="1"/>
      <c r="I1000" s="1"/>
      <c r="J1000" s="1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30.5" customHeight="1">
      <c r="A1001" s="12"/>
      <c r="B1001" s="109"/>
      <c r="C1001" s="107"/>
      <c r="D1001" s="100" t="s">
        <v>14</v>
      </c>
      <c r="E1001" s="17">
        <v>3403</v>
      </c>
      <c r="F1001" s="18">
        <v>764</v>
      </c>
      <c r="G1001" s="27"/>
      <c r="H1001" s="1"/>
      <c r="I1001" s="1"/>
      <c r="J1001" s="1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6" customHeight="1">
      <c r="A1002" s="12"/>
      <c r="B1002" s="108"/>
      <c r="C1002" s="106"/>
      <c r="D1002" s="100" t="s">
        <v>33</v>
      </c>
      <c r="E1002" s="17">
        <v>3404</v>
      </c>
      <c r="F1002" s="18">
        <v>1145</v>
      </c>
      <c r="G1002" s="27"/>
      <c r="H1002" s="1"/>
      <c r="I1002" s="1"/>
      <c r="J1002" s="1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6" customHeight="1">
      <c r="A1003" s="12"/>
      <c r="B1003" s="108"/>
      <c r="C1003" s="106"/>
      <c r="D1003" s="100" t="s">
        <v>440</v>
      </c>
      <c r="E1003" s="17">
        <v>3405</v>
      </c>
      <c r="F1003" s="18">
        <v>318</v>
      </c>
      <c r="G1003" s="27"/>
      <c r="H1003" s="1"/>
      <c r="I1003" s="1"/>
      <c r="J1003" s="1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6" customHeight="1">
      <c r="A1004" s="12"/>
      <c r="B1004" s="108"/>
      <c r="C1004" s="106"/>
      <c r="D1004" s="100" t="s">
        <v>60</v>
      </c>
      <c r="E1004" s="17">
        <v>3406</v>
      </c>
      <c r="F1004" s="18">
        <v>1273</v>
      </c>
      <c r="G1004" s="27"/>
      <c r="H1004" s="1"/>
      <c r="I1004" s="1"/>
      <c r="J1004" s="1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6" customHeight="1">
      <c r="A1005" s="12"/>
      <c r="B1005" s="108"/>
      <c r="C1005" s="106"/>
      <c r="D1005" s="100" t="s">
        <v>590</v>
      </c>
      <c r="E1005" s="17">
        <v>3407</v>
      </c>
      <c r="F1005" s="18">
        <v>1273</v>
      </c>
      <c r="G1005" s="27"/>
      <c r="H1005" s="1"/>
      <c r="I1005" s="1"/>
      <c r="J1005" s="1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6" customHeight="1">
      <c r="A1006" s="12"/>
      <c r="B1006" s="108"/>
      <c r="C1006" s="106"/>
      <c r="D1006" s="100" t="s">
        <v>591</v>
      </c>
      <c r="E1006" s="17">
        <v>3408</v>
      </c>
      <c r="F1006" s="18">
        <v>509</v>
      </c>
      <c r="G1006" s="27"/>
      <c r="H1006" s="1"/>
      <c r="I1006" s="1"/>
      <c r="J1006" s="1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6" customHeight="1">
      <c r="A1007" s="12"/>
      <c r="B1007" s="108"/>
      <c r="C1007" s="106"/>
      <c r="D1007" s="100" t="s">
        <v>592</v>
      </c>
      <c r="E1007" s="17">
        <v>3554</v>
      </c>
      <c r="F1007" s="18">
        <v>318</v>
      </c>
      <c r="G1007" s="27"/>
      <c r="H1007" s="1"/>
      <c r="I1007" s="1"/>
      <c r="J1007" s="1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6" customHeight="1">
      <c r="A1008" s="12"/>
      <c r="B1008" s="109" t="s">
        <v>581</v>
      </c>
      <c r="C1008" s="107" t="s">
        <v>582</v>
      </c>
      <c r="D1008" s="100" t="s">
        <v>12</v>
      </c>
      <c r="E1008" s="17">
        <v>616</v>
      </c>
      <c r="F1008" s="18">
        <v>318</v>
      </c>
      <c r="G1008" s="27"/>
      <c r="H1008" s="1"/>
      <c r="I1008" s="1"/>
      <c r="J1008" s="1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6" customHeight="1">
      <c r="A1009" s="12"/>
      <c r="B1009" s="109" t="s">
        <v>593</v>
      </c>
      <c r="C1009" s="106"/>
      <c r="D1009" s="100" t="s">
        <v>33</v>
      </c>
      <c r="E1009" s="17" t="s">
        <v>594</v>
      </c>
      <c r="F1009" s="18">
        <v>764</v>
      </c>
      <c r="G1009" s="27"/>
      <c r="H1009" s="1"/>
      <c r="I1009" s="1"/>
      <c r="J1009" s="1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6" customHeight="1">
      <c r="A1010" s="12"/>
      <c r="B1010" s="108"/>
      <c r="C1010" s="106"/>
      <c r="D1010" s="100" t="s">
        <v>33</v>
      </c>
      <c r="E1010" s="17" t="s">
        <v>595</v>
      </c>
      <c r="F1010" s="18">
        <v>955</v>
      </c>
      <c r="G1010" s="27"/>
      <c r="H1010" s="1"/>
      <c r="I1010" s="1"/>
      <c r="J1010" s="1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6" customHeight="1">
      <c r="A1011" s="12"/>
      <c r="B1011" s="109" t="s">
        <v>581</v>
      </c>
      <c r="C1011" s="107" t="s">
        <v>343</v>
      </c>
      <c r="D1011" s="100" t="s">
        <v>18</v>
      </c>
      <c r="E1011" s="17">
        <v>1391</v>
      </c>
      <c r="F1011" s="18">
        <v>720</v>
      </c>
      <c r="G1011" s="27"/>
      <c r="H1011" s="1"/>
      <c r="I1011" s="1"/>
      <c r="J1011" s="1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6" customHeight="1">
      <c r="A1012" s="12"/>
      <c r="B1012" s="109" t="s">
        <v>593</v>
      </c>
      <c r="C1012" s="106"/>
      <c r="D1012" s="100" t="s">
        <v>20</v>
      </c>
      <c r="E1012" s="17">
        <v>1392</v>
      </c>
      <c r="F1012" s="18">
        <v>720</v>
      </c>
      <c r="G1012" s="27"/>
      <c r="H1012" s="1"/>
      <c r="I1012" s="1"/>
      <c r="J1012" s="1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6" customHeight="1">
      <c r="A1013" s="12"/>
      <c r="B1013" s="108"/>
      <c r="C1013" s="106"/>
      <c r="D1013" s="100" t="s">
        <v>14</v>
      </c>
      <c r="E1013" s="17">
        <v>1393</v>
      </c>
      <c r="F1013" s="18">
        <v>573</v>
      </c>
      <c r="G1013" s="27"/>
      <c r="H1013" s="1"/>
      <c r="I1013" s="1"/>
      <c r="J1013" s="1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6" customHeight="1">
      <c r="A1014" s="12"/>
      <c r="B1014" s="109" t="s">
        <v>581</v>
      </c>
      <c r="C1014" s="107" t="s">
        <v>596</v>
      </c>
      <c r="D1014" s="100" t="s">
        <v>14</v>
      </c>
      <c r="E1014" s="17">
        <v>1515</v>
      </c>
      <c r="F1014" s="18">
        <v>573</v>
      </c>
      <c r="G1014" s="27"/>
      <c r="H1014" s="1"/>
      <c r="I1014" s="1"/>
      <c r="J1014" s="1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30" customHeight="1">
      <c r="A1015" s="12"/>
      <c r="B1015" s="109" t="s">
        <v>593</v>
      </c>
      <c r="C1015" s="106"/>
      <c r="D1015" s="100"/>
      <c r="E1015" s="13"/>
      <c r="F1015" s="18"/>
      <c r="G1015" s="27"/>
      <c r="H1015" s="1"/>
      <c r="I1015" s="1"/>
      <c r="J1015" s="1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6" customHeight="1">
      <c r="A1016" s="12"/>
      <c r="B1016" s="109" t="s">
        <v>581</v>
      </c>
      <c r="C1016" s="107" t="s">
        <v>229</v>
      </c>
      <c r="D1016" s="100" t="s">
        <v>18</v>
      </c>
      <c r="E1016" s="17">
        <v>432</v>
      </c>
      <c r="F1016" s="18">
        <v>720</v>
      </c>
      <c r="G1016" s="27"/>
      <c r="H1016" s="1"/>
      <c r="I1016" s="1"/>
      <c r="J1016" s="1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6" customHeight="1">
      <c r="A1017" s="12"/>
      <c r="B1017" s="109" t="s">
        <v>597</v>
      </c>
      <c r="C1017" s="106"/>
      <c r="D1017" s="100" t="s">
        <v>20</v>
      </c>
      <c r="E1017" s="17">
        <v>433</v>
      </c>
      <c r="F1017" s="18">
        <v>720</v>
      </c>
      <c r="G1017" s="27"/>
      <c r="H1017" s="1"/>
      <c r="I1017" s="1"/>
      <c r="J1017" s="1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ht="16" customHeight="1">
      <c r="A1018" s="12"/>
      <c r="B1018" s="108"/>
      <c r="C1018" s="106"/>
      <c r="D1018" s="100" t="s">
        <v>14</v>
      </c>
      <c r="E1018" s="17">
        <v>434</v>
      </c>
      <c r="F1018" s="18">
        <v>609</v>
      </c>
      <c r="G1018" s="27"/>
      <c r="H1018" s="1"/>
      <c r="I1018" s="1"/>
      <c r="J1018" s="1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ht="16" customHeight="1">
      <c r="A1019" s="12"/>
      <c r="B1019" s="108"/>
      <c r="C1019" s="106"/>
      <c r="D1019" s="100" t="s">
        <v>60</v>
      </c>
      <c r="E1019" s="17">
        <v>435</v>
      </c>
      <c r="F1019" s="18">
        <v>815</v>
      </c>
      <c r="G1019" s="27"/>
      <c r="H1019" s="1"/>
      <c r="I1019" s="1"/>
      <c r="J1019" s="1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ht="16" customHeight="1">
      <c r="A1020" s="12"/>
      <c r="B1020" s="108"/>
      <c r="C1020" s="106"/>
      <c r="D1020" s="100" t="s">
        <v>61</v>
      </c>
      <c r="E1020" s="17">
        <v>436</v>
      </c>
      <c r="F1020" s="18">
        <v>1245</v>
      </c>
      <c r="G1020" s="27"/>
      <c r="H1020" s="1"/>
      <c r="I1020" s="1"/>
      <c r="J1020" s="1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ht="16" customHeight="1">
      <c r="A1021" s="12"/>
      <c r="B1021" s="109" t="s">
        <v>581</v>
      </c>
      <c r="C1021" s="107" t="s">
        <v>598</v>
      </c>
      <c r="D1021" s="100" t="s">
        <v>18</v>
      </c>
      <c r="E1021" s="17">
        <v>757</v>
      </c>
      <c r="F1021" s="18">
        <v>720</v>
      </c>
      <c r="G1021" s="27"/>
      <c r="H1021" s="1"/>
      <c r="I1021" s="1"/>
      <c r="J1021" s="1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ht="16" customHeight="1">
      <c r="A1022" s="12"/>
      <c r="B1022" s="109" t="s">
        <v>597</v>
      </c>
      <c r="C1022" s="107" t="s">
        <v>599</v>
      </c>
      <c r="D1022" s="100" t="s">
        <v>20</v>
      </c>
      <c r="E1022" s="17">
        <v>758</v>
      </c>
      <c r="F1022" s="18">
        <v>720</v>
      </c>
      <c r="G1022" s="27"/>
      <c r="H1022" s="1"/>
      <c r="I1022" s="1"/>
      <c r="J1022" s="1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ht="16" customHeight="1">
      <c r="A1023" s="12"/>
      <c r="B1023" s="108"/>
      <c r="C1023" s="107" t="s">
        <v>600</v>
      </c>
      <c r="D1023" s="100" t="s">
        <v>14</v>
      </c>
      <c r="E1023" s="17">
        <v>759</v>
      </c>
      <c r="F1023" s="18">
        <v>609</v>
      </c>
      <c r="G1023" s="27"/>
      <c r="H1023" s="1"/>
      <c r="I1023" s="1"/>
      <c r="J1023" s="1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ht="16" customHeight="1">
      <c r="A1024" s="12"/>
      <c r="B1024" s="108"/>
      <c r="C1024" s="106"/>
      <c r="D1024" s="100" t="s">
        <v>60</v>
      </c>
      <c r="E1024" s="17">
        <v>760</v>
      </c>
      <c r="F1024" s="18">
        <v>1245</v>
      </c>
      <c r="G1024" s="27"/>
      <c r="H1024" s="1"/>
      <c r="I1024" s="1"/>
      <c r="J1024" s="1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spans="1:27" ht="16" customHeight="1">
      <c r="A1025" s="12"/>
      <c r="B1025" s="108"/>
      <c r="C1025" s="106"/>
      <c r="D1025" s="100" t="s">
        <v>61</v>
      </c>
      <c r="E1025" s="17">
        <v>761</v>
      </c>
      <c r="F1025" s="18">
        <v>1691</v>
      </c>
      <c r="G1025" s="27"/>
      <c r="H1025" s="1"/>
      <c r="I1025" s="1"/>
      <c r="J1025" s="1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spans="1:27" ht="16" customHeight="1">
      <c r="A1026" s="12"/>
      <c r="B1026" s="108"/>
      <c r="C1026" s="107" t="s">
        <v>582</v>
      </c>
      <c r="D1026" s="100" t="s">
        <v>601</v>
      </c>
      <c r="E1026" s="17">
        <v>766</v>
      </c>
      <c r="F1026" s="18">
        <v>1395</v>
      </c>
      <c r="G1026" s="27"/>
      <c r="H1026" s="1"/>
      <c r="I1026" s="1"/>
      <c r="J1026" s="1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spans="1:27" ht="16" customHeight="1">
      <c r="A1027" s="12"/>
      <c r="B1027" s="109" t="s">
        <v>581</v>
      </c>
      <c r="C1027" s="107" t="s">
        <v>582</v>
      </c>
      <c r="D1027" s="100" t="s">
        <v>18</v>
      </c>
      <c r="E1027" s="17">
        <v>1573</v>
      </c>
      <c r="F1027" s="18">
        <v>720</v>
      </c>
      <c r="G1027" s="27"/>
      <c r="H1027" s="1"/>
      <c r="I1027" s="1"/>
      <c r="J1027" s="1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spans="1:27" ht="30.5" customHeight="1">
      <c r="A1028" s="12"/>
      <c r="B1028" s="109" t="s">
        <v>597</v>
      </c>
      <c r="C1028" s="106"/>
      <c r="D1028" s="100" t="s">
        <v>12</v>
      </c>
      <c r="E1028" s="17">
        <v>1574</v>
      </c>
      <c r="F1028" s="18">
        <v>368</v>
      </c>
      <c r="G1028" s="27"/>
      <c r="H1028" s="1"/>
      <c r="I1028" s="1"/>
      <c r="J1028" s="1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spans="1:27" ht="16" customHeight="1">
      <c r="A1029" s="12"/>
      <c r="B1029" s="108"/>
      <c r="C1029" s="106"/>
      <c r="D1029" s="100" t="s">
        <v>14</v>
      </c>
      <c r="E1029" s="17" t="s">
        <v>602</v>
      </c>
      <c r="F1029" s="18">
        <v>623</v>
      </c>
      <c r="G1029" s="27"/>
      <c r="H1029" s="1"/>
      <c r="I1029" s="1"/>
      <c r="J1029" s="1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spans="1:27" ht="16" customHeight="1">
      <c r="A1030" s="12"/>
      <c r="B1030" s="108"/>
      <c r="C1030" s="106"/>
      <c r="D1030" s="100" t="s">
        <v>60</v>
      </c>
      <c r="E1030" s="17">
        <v>1576</v>
      </c>
      <c r="F1030" s="18">
        <v>815</v>
      </c>
      <c r="G1030" s="27"/>
      <c r="H1030" s="1"/>
      <c r="I1030" s="1"/>
      <c r="J1030" s="1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spans="1:27" ht="16" customHeight="1">
      <c r="A1031" s="12"/>
      <c r="B1031" s="108"/>
      <c r="C1031" s="106"/>
      <c r="D1031" s="100" t="s">
        <v>61</v>
      </c>
      <c r="E1031" s="17">
        <v>1577</v>
      </c>
      <c r="F1031" s="18">
        <v>1245</v>
      </c>
      <c r="G1031" s="27"/>
      <c r="H1031" s="1"/>
      <c r="I1031" s="1"/>
      <c r="J1031" s="1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spans="1:27" ht="16" customHeight="1">
      <c r="A1032" s="12"/>
      <c r="B1032" s="108"/>
      <c r="C1032" s="107" t="s">
        <v>603</v>
      </c>
      <c r="D1032" s="100" t="s">
        <v>27</v>
      </c>
      <c r="E1032" s="17">
        <v>1578</v>
      </c>
      <c r="F1032" s="18">
        <v>1245</v>
      </c>
      <c r="G1032" s="27"/>
      <c r="H1032" s="1"/>
      <c r="I1032" s="1"/>
      <c r="J1032" s="1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spans="1:27" ht="16" customHeight="1">
      <c r="A1033" s="12"/>
      <c r="B1033" s="108"/>
      <c r="C1033" s="107" t="s">
        <v>603</v>
      </c>
      <c r="D1033" s="100" t="s">
        <v>29</v>
      </c>
      <c r="E1033" s="17">
        <v>1579</v>
      </c>
      <c r="F1033" s="18">
        <v>1395</v>
      </c>
      <c r="G1033" s="27"/>
      <c r="H1033" s="1"/>
      <c r="I1033" s="1"/>
      <c r="J1033" s="1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spans="1:27" ht="16" customHeight="1">
      <c r="A1034" s="12"/>
      <c r="B1034" s="108"/>
      <c r="C1034" s="106"/>
      <c r="D1034" s="100" t="s">
        <v>33</v>
      </c>
      <c r="E1034" s="17" t="s">
        <v>604</v>
      </c>
      <c r="F1034" s="18">
        <v>1095</v>
      </c>
      <c r="G1034" s="27"/>
      <c r="H1034" s="1"/>
      <c r="I1034" s="1"/>
      <c r="J1034" s="1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spans="1:27" ht="16" customHeight="1">
      <c r="A1035" s="12"/>
      <c r="B1035" s="109" t="s">
        <v>581</v>
      </c>
      <c r="C1035" s="107" t="s">
        <v>605</v>
      </c>
      <c r="D1035" s="100"/>
      <c r="E1035" s="17"/>
      <c r="F1035" s="18"/>
      <c r="G1035" s="27"/>
      <c r="H1035" s="1"/>
      <c r="I1035" s="1"/>
      <c r="J1035" s="1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spans="1:27" ht="16" customHeight="1">
      <c r="A1036" s="12"/>
      <c r="B1036" s="109" t="s">
        <v>597</v>
      </c>
      <c r="C1036" s="106"/>
      <c r="D1036" s="100" t="s">
        <v>20</v>
      </c>
      <c r="E1036" s="17">
        <v>3119</v>
      </c>
      <c r="F1036" s="18">
        <v>720</v>
      </c>
      <c r="G1036" s="27"/>
      <c r="H1036" s="1"/>
      <c r="I1036" s="1"/>
      <c r="J1036" s="1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spans="1:27" ht="16" customHeight="1">
      <c r="A1037" s="12"/>
      <c r="B1037" s="108"/>
      <c r="C1037" s="106"/>
      <c r="D1037" s="100" t="s">
        <v>14</v>
      </c>
      <c r="E1037" s="17">
        <v>3120</v>
      </c>
      <c r="F1037" s="18">
        <v>509</v>
      </c>
      <c r="G1037" s="27"/>
      <c r="H1037" s="1"/>
      <c r="I1037" s="1"/>
      <c r="J1037" s="1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spans="1:27" ht="16" customHeight="1">
      <c r="A1038" s="12"/>
      <c r="B1038" s="108"/>
      <c r="C1038" s="106"/>
      <c r="D1038" s="100" t="s">
        <v>606</v>
      </c>
      <c r="E1038" s="17">
        <v>3126</v>
      </c>
      <c r="F1038" s="18">
        <v>573</v>
      </c>
      <c r="G1038" s="27"/>
      <c r="H1038" s="1"/>
      <c r="I1038" s="1"/>
      <c r="J1038" s="1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spans="1:27" ht="16" customHeight="1">
      <c r="A1039" s="12"/>
      <c r="B1039" s="109" t="s">
        <v>581</v>
      </c>
      <c r="C1039" s="107" t="s">
        <v>607</v>
      </c>
      <c r="D1039" s="100" t="s">
        <v>22</v>
      </c>
      <c r="E1039" s="17">
        <v>1064</v>
      </c>
      <c r="F1039" s="18">
        <v>764</v>
      </c>
      <c r="G1039" s="27"/>
      <c r="H1039" s="1"/>
      <c r="I1039" s="1"/>
      <c r="J1039" s="1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spans="1:27" ht="16" customHeight="1">
      <c r="A1040" s="12"/>
      <c r="B1040" s="109" t="s">
        <v>608</v>
      </c>
      <c r="C1040" s="106"/>
      <c r="D1040" s="100"/>
      <c r="E1040" s="13"/>
      <c r="F1040" s="18">
        <v>764</v>
      </c>
      <c r="G1040" s="27"/>
      <c r="H1040" s="1"/>
      <c r="I1040" s="1"/>
      <c r="J1040" s="1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spans="1:27" ht="16" customHeight="1">
      <c r="A1041" s="12"/>
      <c r="B1041" s="108"/>
      <c r="C1041" s="107" t="s">
        <v>609</v>
      </c>
      <c r="D1041" s="100" t="s">
        <v>610</v>
      </c>
      <c r="E1041" s="17">
        <v>3416</v>
      </c>
      <c r="F1041" s="18">
        <v>434</v>
      </c>
      <c r="G1041" s="27"/>
      <c r="H1041" s="1"/>
      <c r="I1041" s="1"/>
      <c r="J1041" s="1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spans="1:27" ht="16" customHeight="1">
      <c r="A1042" s="12"/>
      <c r="B1042" s="109" t="s">
        <v>581</v>
      </c>
      <c r="C1042" s="107" t="s">
        <v>611</v>
      </c>
      <c r="D1042" s="100" t="s">
        <v>12</v>
      </c>
      <c r="E1042" s="17">
        <v>3427</v>
      </c>
      <c r="F1042" s="18">
        <v>2795</v>
      </c>
      <c r="G1042" s="27"/>
      <c r="H1042" s="1"/>
      <c r="I1042" s="1"/>
      <c r="J1042" s="1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spans="1:27" ht="16" customHeight="1">
      <c r="A1043" s="12"/>
      <c r="B1043" s="109" t="s">
        <v>608</v>
      </c>
      <c r="C1043" s="106"/>
      <c r="D1043" s="100"/>
      <c r="E1043" s="13"/>
      <c r="F1043" s="18">
        <v>2795</v>
      </c>
      <c r="G1043" s="27"/>
      <c r="H1043" s="1"/>
      <c r="I1043" s="1"/>
      <c r="J1043" s="1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spans="1:27" ht="16" customHeight="1">
      <c r="A1044" s="12"/>
      <c r="B1044" s="109" t="s">
        <v>581</v>
      </c>
      <c r="C1044" s="107" t="s">
        <v>474</v>
      </c>
      <c r="D1044" s="100" t="s">
        <v>124</v>
      </c>
      <c r="E1044" s="17">
        <v>3157</v>
      </c>
      <c r="F1044" s="18">
        <v>764</v>
      </c>
      <c r="G1044" s="27"/>
      <c r="H1044" s="1"/>
      <c r="I1044" s="1"/>
      <c r="J1044" s="1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spans="1:27" ht="16" customHeight="1">
      <c r="A1045" s="12"/>
      <c r="B1045" s="109" t="s">
        <v>608</v>
      </c>
      <c r="C1045" s="106"/>
      <c r="D1045" s="100"/>
      <c r="E1045" s="13"/>
      <c r="F1045" s="18">
        <v>764</v>
      </c>
      <c r="G1045" s="27"/>
      <c r="H1045" s="1"/>
      <c r="I1045" s="1"/>
      <c r="J1045" s="1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spans="1:27" ht="16" customHeight="1">
      <c r="A1046" s="12"/>
      <c r="B1046" s="109" t="s">
        <v>581</v>
      </c>
      <c r="C1046" s="107" t="s">
        <v>612</v>
      </c>
      <c r="D1046" s="100" t="s">
        <v>18</v>
      </c>
      <c r="E1046" s="17">
        <v>1459</v>
      </c>
      <c r="F1046" s="18">
        <v>955</v>
      </c>
      <c r="G1046" s="27"/>
      <c r="H1046" s="1"/>
      <c r="I1046" s="1"/>
      <c r="J1046" s="1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spans="1:27" ht="16" customHeight="1">
      <c r="A1047" s="12"/>
      <c r="B1047" s="109" t="s">
        <v>608</v>
      </c>
      <c r="C1047" s="106"/>
      <c r="D1047" s="100" t="s">
        <v>103</v>
      </c>
      <c r="E1047" s="17">
        <v>1460</v>
      </c>
      <c r="F1047" s="18">
        <v>764</v>
      </c>
      <c r="G1047" s="27"/>
      <c r="H1047" s="1"/>
      <c r="I1047" s="1"/>
      <c r="J1047" s="1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spans="1:27" ht="18.75" customHeight="1">
      <c r="A1048" s="12"/>
      <c r="B1048" s="108"/>
      <c r="C1048" s="106"/>
      <c r="D1048" s="100" t="s">
        <v>14</v>
      </c>
      <c r="E1048" s="17">
        <v>1461</v>
      </c>
      <c r="F1048" s="18">
        <v>1273</v>
      </c>
      <c r="G1048" s="27"/>
      <c r="H1048" s="1"/>
      <c r="I1048" s="1"/>
      <c r="J1048" s="1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spans="1:27" ht="16" customHeight="1">
      <c r="A1049" s="12"/>
      <c r="B1049" s="108"/>
      <c r="C1049" s="106"/>
      <c r="D1049" s="100" t="s">
        <v>29</v>
      </c>
      <c r="E1049" s="17">
        <v>1462</v>
      </c>
      <c r="F1049" s="18">
        <v>1145</v>
      </c>
      <c r="G1049" s="27"/>
      <c r="H1049" s="1"/>
      <c r="I1049" s="1"/>
      <c r="J1049" s="1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spans="1:27" ht="16" customHeight="1">
      <c r="A1050" s="12"/>
      <c r="B1050" s="108"/>
      <c r="C1050" s="106"/>
      <c r="D1050" s="100" t="s">
        <v>65</v>
      </c>
      <c r="E1050" s="17">
        <v>1475</v>
      </c>
      <c r="F1050" s="18">
        <v>318</v>
      </c>
      <c r="G1050" s="27"/>
      <c r="H1050" s="1"/>
      <c r="I1050" s="1"/>
      <c r="J1050" s="1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spans="1:27" ht="16" customHeight="1">
      <c r="A1051" s="12"/>
      <c r="B1051" s="108"/>
      <c r="C1051" s="106"/>
      <c r="D1051" s="100" t="s">
        <v>22</v>
      </c>
      <c r="E1051" s="13"/>
      <c r="F1051" s="18">
        <v>1591</v>
      </c>
      <c r="G1051" s="27"/>
      <c r="H1051" s="1"/>
      <c r="I1051" s="1"/>
      <c r="J1051" s="1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spans="1:27" ht="16" customHeight="1">
      <c r="A1052" s="12"/>
      <c r="B1052" s="109" t="s">
        <v>581</v>
      </c>
      <c r="C1052" s="107" t="s">
        <v>516</v>
      </c>
      <c r="D1052" s="100" t="s">
        <v>26</v>
      </c>
      <c r="E1052" s="17">
        <v>1472</v>
      </c>
      <c r="F1052" s="18">
        <v>764</v>
      </c>
      <c r="G1052" s="27"/>
      <c r="H1052" s="1"/>
      <c r="I1052" s="1"/>
      <c r="J1052" s="1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spans="1:27" ht="16" customHeight="1">
      <c r="A1053" s="12"/>
      <c r="B1053" s="109" t="s">
        <v>608</v>
      </c>
      <c r="C1053" s="106"/>
      <c r="D1053" s="100" t="s">
        <v>22</v>
      </c>
      <c r="E1053" s="17">
        <v>1463</v>
      </c>
      <c r="F1053" s="18">
        <v>955</v>
      </c>
      <c r="G1053" s="27"/>
      <c r="H1053" s="1"/>
      <c r="I1053" s="1"/>
      <c r="J1053" s="1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spans="1:27" ht="16" customHeight="1">
      <c r="A1054" s="12"/>
      <c r="B1054" s="108"/>
      <c r="C1054" s="106"/>
      <c r="D1054" s="100" t="s">
        <v>34</v>
      </c>
      <c r="E1054" s="17" t="s">
        <v>613</v>
      </c>
      <c r="F1054" s="18">
        <v>573</v>
      </c>
      <c r="G1054" s="27"/>
      <c r="H1054" s="1"/>
      <c r="I1054" s="1"/>
      <c r="J1054" s="1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spans="1:27" ht="27" customHeight="1">
      <c r="A1055" s="12"/>
      <c r="B1055" s="109" t="s">
        <v>581</v>
      </c>
      <c r="C1055" s="107" t="s">
        <v>614</v>
      </c>
      <c r="D1055" s="100" t="s">
        <v>103</v>
      </c>
      <c r="E1055" s="17">
        <v>1675</v>
      </c>
      <c r="F1055" s="18">
        <v>1145</v>
      </c>
      <c r="G1055" s="27"/>
      <c r="H1055" s="1"/>
      <c r="I1055" s="1"/>
      <c r="J1055" s="1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spans="1:27" ht="16" customHeight="1">
      <c r="A1056" s="12"/>
      <c r="B1056" s="109" t="s">
        <v>608</v>
      </c>
      <c r="C1056" s="107" t="s">
        <v>614</v>
      </c>
      <c r="D1056" s="100" t="s">
        <v>53</v>
      </c>
      <c r="E1056" s="17">
        <v>3400</v>
      </c>
      <c r="F1056" s="18">
        <v>1145</v>
      </c>
      <c r="G1056" s="27"/>
      <c r="H1056" s="1"/>
      <c r="I1056" s="1"/>
      <c r="J1056" s="1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spans="1:27" ht="16" customHeight="1">
      <c r="A1057" s="12"/>
      <c r="B1057" s="109" t="s">
        <v>608</v>
      </c>
      <c r="C1057" s="107" t="s">
        <v>615</v>
      </c>
      <c r="D1057" s="100" t="s">
        <v>103</v>
      </c>
      <c r="E1057" s="17">
        <v>1625</v>
      </c>
      <c r="F1057" s="18">
        <v>1273</v>
      </c>
      <c r="G1057" s="27"/>
      <c r="H1057" s="1"/>
      <c r="I1057" s="1"/>
      <c r="J1057" s="1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spans="1:27" ht="30" customHeight="1">
      <c r="A1058" s="12"/>
      <c r="B1058" s="108"/>
      <c r="C1058" s="106"/>
      <c r="D1058" s="100" t="s">
        <v>156</v>
      </c>
      <c r="E1058" s="17">
        <v>1762</v>
      </c>
      <c r="F1058" s="18">
        <v>318</v>
      </c>
      <c r="G1058" s="27"/>
      <c r="H1058" s="1"/>
      <c r="I1058" s="1"/>
      <c r="J1058" s="1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spans="1:27" ht="16" customHeight="1">
      <c r="A1059" s="12"/>
      <c r="B1059" s="108"/>
      <c r="C1059" s="107" t="s">
        <v>577</v>
      </c>
      <c r="D1059" s="100" t="s">
        <v>103</v>
      </c>
      <c r="E1059" s="17">
        <v>1715</v>
      </c>
      <c r="F1059" s="18">
        <v>1591</v>
      </c>
      <c r="G1059" s="27"/>
      <c r="H1059" s="1"/>
      <c r="I1059" s="1"/>
      <c r="J1059" s="1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spans="1:27" ht="30.5" customHeight="1">
      <c r="A1060" s="12"/>
      <c r="B1060" s="109" t="s">
        <v>581</v>
      </c>
      <c r="C1060" s="107" t="s">
        <v>616</v>
      </c>
      <c r="D1060" s="100" t="s">
        <v>18</v>
      </c>
      <c r="E1060" s="17">
        <v>3380</v>
      </c>
      <c r="F1060" s="18">
        <v>1955</v>
      </c>
      <c r="G1060" s="27"/>
      <c r="H1060" s="1"/>
      <c r="I1060" s="1"/>
      <c r="J1060" s="1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spans="1:27" ht="16" customHeight="1">
      <c r="A1061" s="12"/>
      <c r="B1061" s="109" t="s">
        <v>608</v>
      </c>
      <c r="C1061" s="106"/>
      <c r="D1061" s="100" t="s">
        <v>20</v>
      </c>
      <c r="E1061" s="17">
        <v>3381</v>
      </c>
      <c r="F1061" s="18">
        <v>1955</v>
      </c>
      <c r="G1061" s="27"/>
      <c r="H1061" s="1"/>
      <c r="I1061" s="1"/>
      <c r="J1061" s="1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spans="1:27" ht="18.75" customHeight="1">
      <c r="A1062" s="12"/>
      <c r="B1062" s="108"/>
      <c r="C1062" s="106"/>
      <c r="D1062" s="100" t="s">
        <v>14</v>
      </c>
      <c r="E1062" s="17">
        <v>3382</v>
      </c>
      <c r="F1062" s="18">
        <v>1273</v>
      </c>
      <c r="G1062" s="27"/>
      <c r="H1062" s="1"/>
      <c r="I1062" s="1"/>
      <c r="J1062" s="1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spans="1:27" ht="30.5" customHeight="1">
      <c r="A1063" s="12"/>
      <c r="B1063" s="108"/>
      <c r="C1063" s="106"/>
      <c r="D1063" s="100" t="s">
        <v>60</v>
      </c>
      <c r="E1063" s="17">
        <v>3383</v>
      </c>
      <c r="F1063" s="18">
        <v>2227</v>
      </c>
      <c r="G1063" s="27"/>
      <c r="H1063" s="1"/>
      <c r="I1063" s="1"/>
      <c r="J1063" s="1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spans="1:27" ht="30.5" customHeight="1">
      <c r="A1064" s="12"/>
      <c r="B1064" s="108"/>
      <c r="C1064" s="106"/>
      <c r="D1064" s="100" t="s">
        <v>61</v>
      </c>
      <c r="E1064" s="17">
        <v>3384</v>
      </c>
      <c r="F1064" s="18">
        <v>2227</v>
      </c>
      <c r="G1064" s="27"/>
      <c r="H1064" s="1"/>
      <c r="I1064" s="1"/>
      <c r="J1064" s="1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spans="1:27" ht="16" customHeight="1">
      <c r="A1065" s="12"/>
      <c r="B1065" s="108"/>
      <c r="C1065" s="106"/>
      <c r="D1065" s="100" t="s">
        <v>26</v>
      </c>
      <c r="E1065" s="17">
        <v>3385</v>
      </c>
      <c r="F1065" s="18">
        <v>1145</v>
      </c>
      <c r="G1065" s="27"/>
      <c r="H1065" s="1"/>
      <c r="I1065" s="1"/>
      <c r="J1065" s="1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spans="1:27" ht="16" customHeight="1">
      <c r="A1066" s="12"/>
      <c r="B1066" s="108"/>
      <c r="C1066" s="106"/>
      <c r="D1066" s="100" t="s">
        <v>27</v>
      </c>
      <c r="E1066" s="17">
        <v>3386</v>
      </c>
      <c r="F1066" s="18">
        <v>1782</v>
      </c>
      <c r="G1066" s="27"/>
      <c r="H1066" s="1"/>
      <c r="I1066" s="1"/>
      <c r="J1066" s="1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spans="1:27" ht="27" customHeight="1">
      <c r="A1067" s="12"/>
      <c r="B1067" s="108"/>
      <c r="C1067" s="106"/>
      <c r="D1067" s="100" t="s">
        <v>29</v>
      </c>
      <c r="E1067" s="17">
        <v>3387</v>
      </c>
      <c r="F1067" s="18">
        <v>1591</v>
      </c>
      <c r="G1067" s="27"/>
      <c r="H1067" s="1"/>
      <c r="I1067" s="1"/>
      <c r="J1067" s="1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spans="1:27" ht="16" customHeight="1">
      <c r="A1068" s="12"/>
      <c r="B1068" s="108"/>
      <c r="C1068" s="106"/>
      <c r="D1068" s="100" t="s">
        <v>617</v>
      </c>
      <c r="E1068" s="17">
        <v>3388</v>
      </c>
      <c r="F1068" s="18">
        <v>764</v>
      </c>
      <c r="G1068" s="27"/>
      <c r="H1068" s="1"/>
      <c r="I1068" s="1"/>
      <c r="J1068" s="1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spans="1:27" ht="16" customHeight="1">
      <c r="A1069" s="12"/>
      <c r="B1069" s="108"/>
      <c r="C1069" s="106"/>
      <c r="D1069" s="100" t="s">
        <v>200</v>
      </c>
      <c r="E1069" s="17">
        <v>3389</v>
      </c>
      <c r="F1069" s="18">
        <v>2864</v>
      </c>
      <c r="G1069" s="27"/>
      <c r="H1069" s="1"/>
      <c r="I1069" s="1"/>
      <c r="J1069" s="1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spans="1:27" ht="16" customHeight="1">
      <c r="A1070" s="12"/>
      <c r="B1070" s="108"/>
      <c r="C1070" s="106"/>
      <c r="D1070" s="100" t="s">
        <v>65</v>
      </c>
      <c r="E1070" s="17">
        <v>3390</v>
      </c>
      <c r="F1070" s="18">
        <v>2418</v>
      </c>
      <c r="G1070" s="27"/>
      <c r="H1070" s="1"/>
      <c r="I1070" s="1"/>
      <c r="J1070" s="1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spans="1:27" ht="16" customHeight="1">
      <c r="A1071" s="12"/>
      <c r="B1071" s="109" t="s">
        <v>581</v>
      </c>
      <c r="C1071" s="107" t="s">
        <v>527</v>
      </c>
      <c r="D1071" s="100" t="s">
        <v>18</v>
      </c>
      <c r="E1071" s="17">
        <v>1652</v>
      </c>
      <c r="F1071" s="18">
        <v>955</v>
      </c>
      <c r="G1071" s="27"/>
      <c r="H1071" s="1"/>
      <c r="I1071" s="1"/>
      <c r="J1071" s="1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spans="1:27" ht="16" customHeight="1">
      <c r="A1072" s="12"/>
      <c r="B1072" s="109" t="s">
        <v>618</v>
      </c>
      <c r="C1072" s="107" t="s">
        <v>619</v>
      </c>
      <c r="D1072" s="100" t="s">
        <v>18</v>
      </c>
      <c r="E1072" s="17">
        <v>1708</v>
      </c>
      <c r="F1072" s="18">
        <v>1591</v>
      </c>
      <c r="G1072" s="27"/>
      <c r="H1072" s="1"/>
      <c r="I1072" s="1"/>
      <c r="J1072" s="1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spans="1:27" ht="16" customHeight="1">
      <c r="A1073" s="12"/>
      <c r="B1073" s="108"/>
      <c r="C1073" s="106"/>
      <c r="D1073" s="100" t="s">
        <v>103</v>
      </c>
      <c r="E1073" s="17">
        <v>1709</v>
      </c>
      <c r="F1073" s="18">
        <v>955</v>
      </c>
      <c r="G1073" s="27"/>
      <c r="H1073" s="1"/>
      <c r="I1073" s="1"/>
      <c r="J1073" s="1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spans="1:27" ht="16" customHeight="1">
      <c r="A1074" s="12"/>
      <c r="B1074" s="108"/>
      <c r="C1074" s="106"/>
      <c r="D1074" s="100" t="s">
        <v>402</v>
      </c>
      <c r="E1074" s="17">
        <v>1710</v>
      </c>
      <c r="F1074" s="18">
        <v>1145</v>
      </c>
      <c r="G1074" s="27"/>
      <c r="H1074" s="1"/>
      <c r="I1074" s="1"/>
      <c r="J1074" s="1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spans="1:27" ht="30.5" customHeight="1">
      <c r="A1075" s="127"/>
      <c r="B1075" s="128"/>
      <c r="C1075" s="128"/>
      <c r="D1075" s="128"/>
      <c r="E1075" s="128"/>
      <c r="F1075" s="128"/>
      <c r="G1075" s="129"/>
      <c r="H1075" s="1"/>
      <c r="I1075" s="1"/>
      <c r="J1075" s="1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spans="1:27" ht="30.5" customHeight="1">
      <c r="A1076" s="12"/>
      <c r="B1076" s="108"/>
      <c r="C1076" s="106"/>
      <c r="D1076" s="100" t="s">
        <v>152</v>
      </c>
      <c r="E1076" s="17">
        <v>1712</v>
      </c>
      <c r="F1076" s="18">
        <v>955</v>
      </c>
      <c r="G1076" s="27"/>
      <c r="H1076" s="1"/>
      <c r="I1076" s="1"/>
      <c r="J1076" s="1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spans="1:27" ht="16" customHeight="1">
      <c r="A1077" s="12"/>
      <c r="B1077" s="109" t="s">
        <v>581</v>
      </c>
      <c r="C1077" s="107" t="s">
        <v>620</v>
      </c>
      <c r="D1077" s="100" t="s">
        <v>18</v>
      </c>
      <c r="E1077" s="17">
        <v>2000</v>
      </c>
      <c r="F1077" s="18">
        <v>955</v>
      </c>
      <c r="G1077" s="27"/>
      <c r="H1077" s="1"/>
      <c r="I1077" s="1"/>
      <c r="J1077" s="1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spans="1:27" ht="30.5" customHeight="1">
      <c r="A1078" s="12"/>
      <c r="B1078" s="109" t="s">
        <v>618</v>
      </c>
      <c r="C1078" s="106"/>
      <c r="D1078" s="100" t="s">
        <v>103</v>
      </c>
      <c r="E1078" s="17">
        <v>2001</v>
      </c>
      <c r="F1078" s="18">
        <v>1145</v>
      </c>
      <c r="G1078" s="27"/>
      <c r="H1078" s="1"/>
      <c r="I1078" s="1"/>
      <c r="J1078" s="1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spans="1:27" ht="30.5" customHeight="1">
      <c r="A1079" s="12"/>
      <c r="B1079" s="108"/>
      <c r="C1079" s="106"/>
      <c r="D1079" s="100" t="s">
        <v>63</v>
      </c>
      <c r="E1079" s="17" t="s">
        <v>621</v>
      </c>
      <c r="F1079" s="18">
        <v>955</v>
      </c>
      <c r="G1079" s="27"/>
      <c r="H1079" s="1"/>
      <c r="I1079" s="1"/>
      <c r="J1079" s="1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spans="1:27" ht="16" customHeight="1">
      <c r="A1080" s="12"/>
      <c r="B1080" s="108"/>
      <c r="C1080" s="106"/>
      <c r="D1080" s="100" t="s">
        <v>29</v>
      </c>
      <c r="E1080" s="17">
        <v>2003</v>
      </c>
      <c r="F1080" s="18">
        <v>764</v>
      </c>
      <c r="G1080" s="27"/>
      <c r="H1080" s="1"/>
      <c r="I1080" s="1"/>
      <c r="J1080" s="1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spans="1:27" ht="16" customHeight="1">
      <c r="A1081" s="12"/>
      <c r="B1081" s="108"/>
      <c r="C1081" s="106"/>
      <c r="D1081" s="100" t="s">
        <v>60</v>
      </c>
      <c r="E1081" s="17">
        <v>2004</v>
      </c>
      <c r="F1081" s="18">
        <v>2227</v>
      </c>
      <c r="G1081" s="27"/>
      <c r="H1081" s="1"/>
      <c r="I1081" s="1"/>
      <c r="J1081" s="1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spans="1:27" ht="16" customHeight="1">
      <c r="A1082" s="12"/>
      <c r="B1082" s="108"/>
      <c r="C1082" s="106"/>
      <c r="D1082" s="100" t="s">
        <v>60</v>
      </c>
      <c r="E1082" s="17">
        <v>2005</v>
      </c>
      <c r="F1082" s="18">
        <v>318</v>
      </c>
      <c r="G1082" s="27"/>
      <c r="H1082" s="1"/>
      <c r="I1082" s="1"/>
      <c r="J1082" s="1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spans="1:27" ht="16" customHeight="1">
      <c r="A1083" s="12"/>
      <c r="B1083" s="108"/>
      <c r="C1083" s="106"/>
      <c r="D1083" s="100" t="s">
        <v>61</v>
      </c>
      <c r="E1083" s="17">
        <v>2006</v>
      </c>
      <c r="F1083" s="18">
        <v>2227</v>
      </c>
      <c r="G1083" s="27"/>
      <c r="H1083" s="1"/>
      <c r="I1083" s="1"/>
      <c r="J1083" s="1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spans="1:27" ht="16" customHeight="1">
      <c r="A1084" s="12"/>
      <c r="B1084" s="108"/>
      <c r="C1084" s="106"/>
      <c r="D1084" s="100" t="s">
        <v>61</v>
      </c>
      <c r="E1084" s="17">
        <v>2007</v>
      </c>
      <c r="F1084" s="18">
        <v>318</v>
      </c>
      <c r="G1084" s="27"/>
      <c r="H1084" s="1"/>
      <c r="I1084" s="1"/>
      <c r="J1084" s="1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spans="1:27" ht="16" customHeight="1">
      <c r="A1085" s="12"/>
      <c r="B1085" s="108"/>
      <c r="C1085" s="106"/>
      <c r="D1085" s="100" t="s">
        <v>200</v>
      </c>
      <c r="E1085" s="17">
        <v>2008</v>
      </c>
      <c r="F1085" s="18">
        <v>2864</v>
      </c>
      <c r="G1085" s="27"/>
      <c r="H1085" s="1"/>
      <c r="I1085" s="1"/>
      <c r="J1085" s="1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spans="1:27" ht="30" customHeight="1">
      <c r="A1086" s="12"/>
      <c r="B1086" s="108"/>
      <c r="C1086" s="107" t="s">
        <v>622</v>
      </c>
      <c r="D1086" s="100" t="s">
        <v>623</v>
      </c>
      <c r="E1086" s="17">
        <v>2009</v>
      </c>
      <c r="F1086" s="18">
        <v>509</v>
      </c>
      <c r="G1086" s="27"/>
      <c r="H1086" s="1"/>
      <c r="I1086" s="1"/>
      <c r="J1086" s="1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spans="1:27" ht="30" customHeight="1">
      <c r="A1087" s="12"/>
      <c r="B1087" s="108"/>
      <c r="C1087" s="106"/>
      <c r="D1087" s="100" t="s">
        <v>34</v>
      </c>
      <c r="E1087" s="17">
        <v>2010</v>
      </c>
      <c r="F1087" s="18">
        <v>382</v>
      </c>
      <c r="G1087" s="27"/>
      <c r="H1087" s="1"/>
      <c r="I1087" s="1"/>
      <c r="J1087" s="1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spans="1:27" ht="16" customHeight="1">
      <c r="A1088" s="12"/>
      <c r="B1088" s="108"/>
      <c r="C1088" s="106"/>
      <c r="D1088" s="100" t="s">
        <v>624</v>
      </c>
      <c r="E1088" s="17">
        <v>2011</v>
      </c>
      <c r="F1088" s="18">
        <v>127</v>
      </c>
      <c r="G1088" s="27"/>
      <c r="H1088" s="1"/>
      <c r="I1088" s="1"/>
      <c r="J1088" s="1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spans="1:27" ht="16" customHeight="1">
      <c r="A1089" s="12"/>
      <c r="B1089" s="109" t="s">
        <v>581</v>
      </c>
      <c r="C1089" s="107" t="s">
        <v>109</v>
      </c>
      <c r="D1089" s="100" t="s">
        <v>18</v>
      </c>
      <c r="E1089" s="17">
        <v>2021</v>
      </c>
      <c r="F1089" s="18">
        <v>955</v>
      </c>
      <c r="G1089" s="27"/>
      <c r="H1089" s="1"/>
      <c r="I1089" s="1"/>
      <c r="J1089" s="1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spans="1:27" ht="16" customHeight="1">
      <c r="A1090" s="12"/>
      <c r="B1090" s="109" t="s">
        <v>618</v>
      </c>
      <c r="C1090" s="106"/>
      <c r="D1090" s="100" t="s">
        <v>60</v>
      </c>
      <c r="E1090" s="17">
        <v>2019</v>
      </c>
      <c r="F1090" s="18">
        <v>2227</v>
      </c>
      <c r="G1090" s="27"/>
      <c r="H1090" s="1"/>
      <c r="I1090" s="1"/>
      <c r="J1090" s="1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spans="1:27" ht="16" customHeight="1">
      <c r="A1091" s="12"/>
      <c r="B1091" s="108"/>
      <c r="C1091" s="106"/>
      <c r="D1091" s="100" t="s">
        <v>61</v>
      </c>
      <c r="E1091" s="17">
        <v>2020</v>
      </c>
      <c r="F1091" s="18">
        <v>2227</v>
      </c>
      <c r="G1091" s="27"/>
      <c r="H1091" s="1"/>
      <c r="I1091" s="1"/>
      <c r="J1091" s="1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spans="1:27" ht="16" customHeight="1">
      <c r="A1092" s="12"/>
      <c r="B1092" s="108"/>
      <c r="C1092" s="106"/>
      <c r="D1092" s="100" t="s">
        <v>29</v>
      </c>
      <c r="E1092" s="17" t="s">
        <v>625</v>
      </c>
      <c r="F1092" s="18">
        <v>955</v>
      </c>
      <c r="G1092" s="27"/>
      <c r="H1092" s="1"/>
      <c r="I1092" s="1"/>
      <c r="J1092" s="1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spans="1:27" ht="30" customHeight="1">
      <c r="A1093" s="12"/>
      <c r="B1093" s="108"/>
      <c r="C1093" s="107" t="s">
        <v>109</v>
      </c>
      <c r="D1093" s="100" t="s">
        <v>626</v>
      </c>
      <c r="E1093" s="17">
        <v>2372</v>
      </c>
      <c r="F1093" s="18">
        <v>1145</v>
      </c>
      <c r="G1093" s="27"/>
      <c r="H1093" s="1"/>
      <c r="I1093" s="1"/>
      <c r="J1093" s="1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spans="1:27" ht="30" customHeight="1">
      <c r="A1094" s="12"/>
      <c r="B1094" s="109" t="s">
        <v>581</v>
      </c>
      <c r="C1094" s="107" t="s">
        <v>465</v>
      </c>
      <c r="D1094" s="100" t="s">
        <v>18</v>
      </c>
      <c r="E1094" s="17">
        <v>1683</v>
      </c>
      <c r="F1094" s="18">
        <v>1273</v>
      </c>
      <c r="G1094" s="27"/>
      <c r="H1094" s="1"/>
      <c r="I1094" s="1"/>
      <c r="J1094" s="1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spans="1:27" ht="16" customHeight="1">
      <c r="A1095" s="12"/>
      <c r="B1095" s="109" t="s">
        <v>618</v>
      </c>
      <c r="C1095" s="107" t="s">
        <v>287</v>
      </c>
      <c r="D1095" s="100" t="s">
        <v>627</v>
      </c>
      <c r="E1095" s="17">
        <v>1685</v>
      </c>
      <c r="F1095" s="18">
        <v>1591</v>
      </c>
      <c r="G1095" s="27"/>
      <c r="H1095" s="1"/>
      <c r="I1095" s="1"/>
      <c r="J1095" s="1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spans="1:27" ht="20.25" customHeight="1">
      <c r="A1096" s="12"/>
      <c r="B1096" s="108"/>
      <c r="C1096" s="106"/>
      <c r="D1096" s="100" t="s">
        <v>628</v>
      </c>
      <c r="E1096" s="17">
        <v>1684</v>
      </c>
      <c r="F1096" s="18">
        <v>286</v>
      </c>
      <c r="G1096" s="27"/>
      <c r="H1096" s="1"/>
      <c r="I1096" s="1"/>
      <c r="J1096" s="1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spans="1:27" ht="15.5" customHeight="1">
      <c r="A1097" s="136"/>
      <c r="B1097" s="143"/>
      <c r="C1097" s="144"/>
      <c r="D1097" s="139" t="s">
        <v>629</v>
      </c>
      <c r="E1097" s="140">
        <v>1692</v>
      </c>
      <c r="F1097" s="141">
        <v>127</v>
      </c>
      <c r="G1097" s="142"/>
      <c r="H1097" s="1"/>
      <c r="I1097" s="1"/>
      <c r="J1097" s="1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spans="1:27" ht="16" customHeight="1">
      <c r="A1098" s="12"/>
      <c r="B1098" s="108"/>
      <c r="C1098" s="106"/>
      <c r="D1098" s="100" t="s">
        <v>60</v>
      </c>
      <c r="E1098" s="17">
        <v>1686</v>
      </c>
      <c r="F1098" s="18">
        <v>2227</v>
      </c>
      <c r="G1098" s="27"/>
      <c r="H1098" s="1"/>
      <c r="I1098" s="1"/>
      <c r="J1098" s="1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spans="1:27" ht="16" customHeight="1">
      <c r="A1099" s="12"/>
      <c r="B1099" s="108"/>
      <c r="C1099" s="106"/>
      <c r="D1099" s="100" t="s">
        <v>628</v>
      </c>
      <c r="E1099" s="17">
        <v>1687</v>
      </c>
      <c r="F1099" s="18">
        <v>509</v>
      </c>
      <c r="G1099" s="27"/>
      <c r="H1099" s="1"/>
      <c r="I1099" s="1"/>
      <c r="J1099" s="1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spans="1:27" ht="16" customHeight="1">
      <c r="A1100" s="12"/>
      <c r="B1100" s="108"/>
      <c r="C1100" s="106"/>
      <c r="D1100" s="100" t="s">
        <v>630</v>
      </c>
      <c r="E1100" s="17">
        <v>1688</v>
      </c>
      <c r="F1100" s="18">
        <v>1145</v>
      </c>
      <c r="G1100" s="27"/>
      <c r="H1100" s="1"/>
      <c r="I1100" s="1"/>
      <c r="J1100" s="1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spans="1:27" ht="16" customHeight="1">
      <c r="A1101" s="12"/>
      <c r="B1101" s="108"/>
      <c r="C1101" s="106"/>
      <c r="D1101" s="100" t="s">
        <v>631</v>
      </c>
      <c r="E1101" s="17">
        <v>1689</v>
      </c>
      <c r="F1101" s="18">
        <v>764</v>
      </c>
      <c r="G1101" s="27"/>
      <c r="H1101" s="1"/>
      <c r="I1101" s="1"/>
      <c r="J1101" s="1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spans="1:27" ht="16" customHeight="1">
      <c r="A1102" s="12"/>
      <c r="B1102" s="108"/>
      <c r="C1102" s="106"/>
      <c r="D1102" s="100" t="s">
        <v>22</v>
      </c>
      <c r="E1102" s="17">
        <v>1723</v>
      </c>
      <c r="F1102" s="18">
        <v>1591</v>
      </c>
      <c r="G1102" s="27"/>
      <c r="H1102" s="1"/>
      <c r="I1102" s="1"/>
      <c r="J1102" s="1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spans="1:27" ht="16" customHeight="1">
      <c r="A1103" s="12"/>
      <c r="B1103" s="108"/>
      <c r="C1103" s="106"/>
      <c r="D1103" s="100" t="s">
        <v>632</v>
      </c>
      <c r="E1103" s="17">
        <v>2245</v>
      </c>
      <c r="F1103" s="18">
        <v>1782</v>
      </c>
      <c r="G1103" s="27"/>
      <c r="H1103" s="1"/>
      <c r="I1103" s="1"/>
      <c r="J1103" s="1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spans="1:27" ht="16" customHeight="1">
      <c r="A1104" s="12"/>
      <c r="B1104" s="108"/>
      <c r="C1104" s="106"/>
      <c r="D1104" s="100" t="s">
        <v>55</v>
      </c>
      <c r="E1104" s="17" t="s">
        <v>633</v>
      </c>
      <c r="F1104" s="18">
        <v>509</v>
      </c>
      <c r="G1104" s="27"/>
      <c r="H1104" s="1"/>
      <c r="I1104" s="1"/>
      <c r="J1104" s="1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spans="1:27" ht="16" customHeight="1">
      <c r="A1105" s="12"/>
      <c r="B1105" s="108"/>
      <c r="C1105" s="106"/>
      <c r="D1105" s="100" t="s">
        <v>632</v>
      </c>
      <c r="E1105" s="17">
        <v>2247</v>
      </c>
      <c r="F1105" s="18">
        <v>1782</v>
      </c>
      <c r="G1105" s="27"/>
      <c r="H1105" s="1"/>
      <c r="I1105" s="1"/>
      <c r="J1105" s="1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spans="1:27" ht="16" customHeight="1">
      <c r="A1106" s="12"/>
      <c r="B1106" s="108"/>
      <c r="C1106" s="106"/>
      <c r="D1106" s="100" t="s">
        <v>634</v>
      </c>
      <c r="E1106" s="17">
        <v>3186</v>
      </c>
      <c r="F1106" s="18">
        <v>1145</v>
      </c>
      <c r="G1106" s="27"/>
      <c r="H1106" s="1"/>
      <c r="I1106" s="1"/>
      <c r="J1106" s="1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spans="1:27" ht="16" customHeight="1">
      <c r="A1107" s="12"/>
      <c r="B1107" s="108"/>
      <c r="C1107" s="106"/>
      <c r="D1107" s="100" t="s">
        <v>635</v>
      </c>
      <c r="E1107" s="17">
        <v>1770</v>
      </c>
      <c r="F1107" s="18">
        <v>1273</v>
      </c>
      <c r="G1107" s="27"/>
      <c r="H1107" s="1"/>
      <c r="I1107" s="1"/>
      <c r="J1107" s="1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spans="1:27" ht="16" customHeight="1">
      <c r="A1108" s="12"/>
      <c r="B1108" s="109" t="s">
        <v>581</v>
      </c>
      <c r="C1108" s="107" t="s">
        <v>636</v>
      </c>
      <c r="D1108" s="100" t="s">
        <v>65</v>
      </c>
      <c r="E1108" s="17">
        <v>3068</v>
      </c>
      <c r="F1108" s="18">
        <v>2418</v>
      </c>
      <c r="G1108" s="27"/>
      <c r="H1108" s="1"/>
      <c r="I1108" s="1"/>
      <c r="J1108" s="1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spans="1:27" ht="16" customHeight="1">
      <c r="A1109" s="12"/>
      <c r="B1109" s="109" t="s">
        <v>618</v>
      </c>
      <c r="C1109" s="107" t="s">
        <v>637</v>
      </c>
      <c r="D1109" s="100" t="s">
        <v>18</v>
      </c>
      <c r="E1109" s="17">
        <v>2442</v>
      </c>
      <c r="F1109" s="18">
        <v>2227</v>
      </c>
      <c r="G1109" s="27"/>
      <c r="H1109" s="1"/>
      <c r="I1109" s="1"/>
      <c r="J1109" s="1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spans="1:27" ht="16" customHeight="1">
      <c r="A1110" s="12"/>
      <c r="B1110" s="108"/>
      <c r="C1110" s="106"/>
      <c r="D1110" s="100" t="s">
        <v>20</v>
      </c>
      <c r="E1110" s="17">
        <v>0</v>
      </c>
      <c r="F1110" s="18">
        <v>955</v>
      </c>
      <c r="G1110" s="27"/>
      <c r="H1110" s="1"/>
      <c r="I1110" s="1"/>
      <c r="J1110" s="1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spans="1:27" ht="16" customHeight="1">
      <c r="A1111" s="12"/>
      <c r="B1111" s="108"/>
      <c r="C1111" s="106"/>
      <c r="D1111" s="100" t="s">
        <v>14</v>
      </c>
      <c r="E1111" s="17">
        <v>3247</v>
      </c>
      <c r="F1111" s="18">
        <v>2227</v>
      </c>
      <c r="G1111" s="27"/>
      <c r="H1111" s="1"/>
      <c r="I1111" s="1"/>
      <c r="J1111" s="1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spans="1:27" ht="16" customHeight="1">
      <c r="A1112" s="12"/>
      <c r="B1112" s="108"/>
      <c r="C1112" s="106"/>
      <c r="D1112" s="100" t="s">
        <v>638</v>
      </c>
      <c r="E1112" s="17">
        <v>2443</v>
      </c>
      <c r="F1112" s="18">
        <v>1145</v>
      </c>
      <c r="G1112" s="27"/>
      <c r="H1112" s="1"/>
      <c r="I1112" s="1"/>
      <c r="J1112" s="1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spans="1:27" ht="16" customHeight="1">
      <c r="A1113" s="12"/>
      <c r="B1113" s="108"/>
      <c r="C1113" s="106"/>
      <c r="D1113" s="100" t="s">
        <v>639</v>
      </c>
      <c r="E1113" s="17">
        <v>2446</v>
      </c>
      <c r="F1113" s="18">
        <v>1782</v>
      </c>
      <c r="G1113" s="27"/>
      <c r="H1113" s="1"/>
      <c r="I1113" s="1"/>
      <c r="J1113" s="1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spans="1:27" ht="16" customHeight="1">
      <c r="A1114" s="12"/>
      <c r="B1114" s="108"/>
      <c r="C1114" s="106"/>
      <c r="D1114" s="100" t="s">
        <v>640</v>
      </c>
      <c r="E1114" s="17">
        <v>0</v>
      </c>
      <c r="F1114" s="18">
        <v>573</v>
      </c>
      <c r="G1114" s="27"/>
      <c r="H1114" s="1"/>
      <c r="I1114" s="1"/>
      <c r="J1114" s="1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spans="1:27" ht="16" customHeight="1">
      <c r="A1115" s="12"/>
      <c r="B1115" s="108"/>
      <c r="C1115" s="106"/>
      <c r="D1115" s="100" t="s">
        <v>641</v>
      </c>
      <c r="E1115" s="17">
        <v>0</v>
      </c>
      <c r="F1115" s="18">
        <v>764</v>
      </c>
      <c r="G1115" s="27"/>
      <c r="H1115" s="1"/>
      <c r="I1115" s="1"/>
      <c r="J1115" s="1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spans="1:27" ht="16" customHeight="1">
      <c r="A1116" s="12"/>
      <c r="B1116" s="108"/>
      <c r="C1116" s="106"/>
      <c r="D1116" s="100" t="s">
        <v>642</v>
      </c>
      <c r="E1116" s="17">
        <v>0</v>
      </c>
      <c r="F1116" s="18">
        <v>382</v>
      </c>
      <c r="G1116" s="27"/>
      <c r="H1116" s="1"/>
      <c r="I1116" s="1"/>
      <c r="J1116" s="1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spans="1:27" ht="16" customHeight="1">
      <c r="A1117" s="12"/>
      <c r="B1117" s="108"/>
      <c r="C1117" s="106"/>
      <c r="D1117" s="100" t="s">
        <v>643</v>
      </c>
      <c r="E1117" s="17">
        <v>2448</v>
      </c>
      <c r="F1117" s="18">
        <v>955</v>
      </c>
      <c r="G1117" s="27"/>
      <c r="H1117" s="1"/>
      <c r="I1117" s="1"/>
      <c r="J1117" s="1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spans="1:27" ht="16" customHeight="1">
      <c r="A1118" s="12"/>
      <c r="B1118" s="108"/>
      <c r="C1118" s="106"/>
      <c r="D1118" s="100" t="s">
        <v>644</v>
      </c>
      <c r="E1118" s="17">
        <v>0</v>
      </c>
      <c r="F1118" s="18">
        <v>382</v>
      </c>
      <c r="G1118" s="27"/>
      <c r="H1118" s="1"/>
      <c r="I1118" s="1"/>
      <c r="J1118" s="1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spans="1:27" ht="16" customHeight="1">
      <c r="A1119" s="12"/>
      <c r="B1119" s="108"/>
      <c r="C1119" s="107" t="s">
        <v>645</v>
      </c>
      <c r="D1119" s="100" t="s">
        <v>646</v>
      </c>
      <c r="E1119" s="17">
        <v>0</v>
      </c>
      <c r="F1119" s="18">
        <v>509</v>
      </c>
      <c r="G1119" s="27"/>
      <c r="H1119" s="1"/>
      <c r="I1119" s="1"/>
      <c r="J1119" s="1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spans="1:27" ht="30" customHeight="1">
      <c r="A1120" s="12"/>
      <c r="B1120" s="108"/>
      <c r="C1120" s="106"/>
      <c r="D1120" s="100" t="s">
        <v>647</v>
      </c>
      <c r="E1120" s="17">
        <v>0</v>
      </c>
      <c r="F1120" s="18">
        <v>318</v>
      </c>
      <c r="G1120" s="27"/>
      <c r="H1120" s="1"/>
      <c r="I1120" s="1"/>
      <c r="J1120" s="1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spans="1:27" ht="16" customHeight="1">
      <c r="A1121" s="12"/>
      <c r="B1121" s="108"/>
      <c r="C1121" s="106"/>
      <c r="D1121" s="100" t="s">
        <v>648</v>
      </c>
      <c r="E1121" s="17">
        <v>0</v>
      </c>
      <c r="F1121" s="18">
        <v>509</v>
      </c>
      <c r="G1121" s="27"/>
      <c r="H1121" s="1"/>
      <c r="I1121" s="1"/>
      <c r="J1121" s="1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spans="1:27" ht="16" customHeight="1">
      <c r="A1122" s="12"/>
      <c r="B1122" s="108"/>
      <c r="C1122" s="106"/>
      <c r="D1122" s="100" t="s">
        <v>648</v>
      </c>
      <c r="E1122" s="13"/>
      <c r="F1122" s="18">
        <v>509</v>
      </c>
      <c r="G1122" s="27"/>
      <c r="H1122" s="1"/>
      <c r="I1122" s="1"/>
      <c r="J1122" s="1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spans="1:27" ht="16" customHeight="1">
      <c r="A1123" s="12"/>
      <c r="B1123" s="108"/>
      <c r="C1123" s="107" t="s">
        <v>649</v>
      </c>
      <c r="D1123" s="100" t="s">
        <v>650</v>
      </c>
      <c r="E1123" s="13"/>
      <c r="F1123" s="18">
        <v>573</v>
      </c>
      <c r="G1123" s="27"/>
      <c r="H1123" s="1"/>
      <c r="I1123" s="1"/>
      <c r="J1123" s="1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spans="1:27" ht="16" customHeight="1">
      <c r="A1124" s="12"/>
      <c r="B1124" s="108"/>
      <c r="C1124" s="107" t="s">
        <v>474</v>
      </c>
      <c r="D1124" s="100" t="s">
        <v>651</v>
      </c>
      <c r="E1124" s="17">
        <v>3432</v>
      </c>
      <c r="F1124" s="18">
        <v>318</v>
      </c>
      <c r="G1124" s="27"/>
      <c r="H1124" s="1"/>
      <c r="I1124" s="1"/>
      <c r="J1124" s="1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spans="1:27" ht="16" customHeight="1">
      <c r="A1125" s="12"/>
      <c r="B1125" s="109" t="s">
        <v>581</v>
      </c>
      <c r="C1125" s="107" t="s">
        <v>636</v>
      </c>
      <c r="D1125" s="100" t="s">
        <v>26</v>
      </c>
      <c r="E1125" s="17">
        <v>3522</v>
      </c>
      <c r="F1125" s="18">
        <v>1145</v>
      </c>
      <c r="G1125" s="27"/>
      <c r="H1125" s="1"/>
      <c r="I1125" s="1"/>
      <c r="J1125" s="1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spans="1:27" ht="16" customHeight="1">
      <c r="A1126" s="12"/>
      <c r="B1126" s="109" t="s">
        <v>652</v>
      </c>
      <c r="C1126" s="106"/>
      <c r="D1126" s="100"/>
      <c r="E1126" s="13"/>
      <c r="F1126" s="18"/>
      <c r="G1126" s="27"/>
      <c r="H1126" s="1"/>
      <c r="I1126" s="1"/>
      <c r="J1126" s="1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spans="1:27" ht="16" customHeight="1">
      <c r="A1127" s="12"/>
      <c r="B1127" s="108"/>
      <c r="C1127" s="106"/>
      <c r="D1127" s="100"/>
      <c r="E1127" s="13"/>
      <c r="F1127" s="18"/>
      <c r="G1127" s="27"/>
      <c r="H1127" s="1"/>
      <c r="I1127" s="1"/>
      <c r="J1127" s="1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spans="1:27" ht="16" customHeight="1">
      <c r="A1128" s="12"/>
      <c r="B1128" s="109" t="s">
        <v>581</v>
      </c>
      <c r="C1128" s="107" t="s">
        <v>636</v>
      </c>
      <c r="D1128" s="100" t="s">
        <v>14</v>
      </c>
      <c r="E1128" s="17">
        <v>3105</v>
      </c>
      <c r="F1128" s="18">
        <v>2227</v>
      </c>
      <c r="G1128" s="27"/>
      <c r="H1128" s="1"/>
      <c r="I1128" s="1"/>
      <c r="J1128" s="1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spans="1:27" ht="16" customHeight="1">
      <c r="A1129" s="12"/>
      <c r="B1129" s="109" t="s">
        <v>652</v>
      </c>
      <c r="C1129" s="106"/>
      <c r="D1129" s="100"/>
      <c r="E1129" s="13"/>
      <c r="F1129" s="18"/>
      <c r="G1129" s="27"/>
      <c r="H1129" s="1"/>
      <c r="I1129" s="1"/>
      <c r="J1129" s="1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spans="1:27" ht="16" customHeight="1">
      <c r="A1130" s="12"/>
      <c r="B1130" s="108"/>
      <c r="C1130" s="107" t="s">
        <v>653</v>
      </c>
      <c r="D1130" s="100" t="s">
        <v>29</v>
      </c>
      <c r="E1130" s="17">
        <v>3067</v>
      </c>
      <c r="F1130" s="18">
        <v>1273</v>
      </c>
      <c r="G1130" s="27"/>
      <c r="H1130" s="1"/>
      <c r="I1130" s="1"/>
      <c r="J1130" s="1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spans="1:27" ht="16" customHeight="1">
      <c r="A1131" s="12"/>
      <c r="B1131" s="109" t="s">
        <v>581</v>
      </c>
      <c r="C1131" s="107" t="s">
        <v>654</v>
      </c>
      <c r="D1131" s="100" t="s">
        <v>26</v>
      </c>
      <c r="E1131" s="17">
        <v>3206</v>
      </c>
      <c r="F1131" s="18">
        <v>1273</v>
      </c>
      <c r="G1131" s="27"/>
      <c r="H1131" s="1"/>
      <c r="I1131" s="1"/>
      <c r="J1131" s="1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spans="1:27" ht="16" customHeight="1">
      <c r="A1132" s="12"/>
      <c r="B1132" s="109" t="s">
        <v>652</v>
      </c>
      <c r="C1132" s="106"/>
      <c r="D1132" s="100" t="s">
        <v>27</v>
      </c>
      <c r="E1132" s="17">
        <v>3207</v>
      </c>
      <c r="F1132" s="18">
        <v>955</v>
      </c>
      <c r="G1132" s="27"/>
      <c r="H1132" s="1"/>
      <c r="I1132" s="1"/>
      <c r="J1132" s="1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spans="1:27" ht="16" customHeight="1">
      <c r="A1133" s="12"/>
      <c r="B1133" s="108"/>
      <c r="C1133" s="106"/>
      <c r="D1133" s="100" t="s">
        <v>151</v>
      </c>
      <c r="E1133" s="17">
        <v>3208</v>
      </c>
      <c r="F1133" s="18">
        <v>509</v>
      </c>
      <c r="G1133" s="27"/>
      <c r="H1133" s="1"/>
      <c r="I1133" s="1"/>
      <c r="J1133" s="1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spans="1:27" ht="16" customHeight="1">
      <c r="A1134" s="130"/>
      <c r="B1134" s="131" t="s">
        <v>1795</v>
      </c>
      <c r="C1134" s="131" t="s">
        <v>1783</v>
      </c>
      <c r="D1134" s="131" t="s">
        <v>103</v>
      </c>
      <c r="E1134" s="131">
        <v>720</v>
      </c>
    </row>
    <row r="1135" spans="1:27" ht="16" customHeight="1">
      <c r="A1135" s="130"/>
      <c r="B1135" s="131" t="s">
        <v>1795</v>
      </c>
      <c r="C1135" s="131" t="s">
        <v>1796</v>
      </c>
      <c r="D1135" s="131" t="s">
        <v>1791</v>
      </c>
      <c r="E1135" s="131">
        <v>360</v>
      </c>
    </row>
    <row r="1136" spans="1:27" ht="16" customHeight="1">
      <c r="A1136" s="130"/>
      <c r="B1136" s="131" t="s">
        <v>524</v>
      </c>
      <c r="C1136" s="131" t="s">
        <v>1797</v>
      </c>
      <c r="D1136" s="131" t="s">
        <v>29</v>
      </c>
      <c r="E1136" s="131">
        <v>955</v>
      </c>
    </row>
    <row r="1137" spans="1:5" ht="16" customHeight="1">
      <c r="A1137" s="130"/>
      <c r="B1137" s="131" t="s">
        <v>1798</v>
      </c>
      <c r="C1137" s="131" t="s">
        <v>1799</v>
      </c>
      <c r="D1137" s="131" t="s">
        <v>746</v>
      </c>
      <c r="E1137" s="131">
        <v>780</v>
      </c>
    </row>
    <row r="1138" spans="1:5" ht="16" customHeight="1">
      <c r="A1138" s="130"/>
      <c r="B1138" s="131" t="s">
        <v>1798</v>
      </c>
      <c r="C1138" s="131" t="s">
        <v>1800</v>
      </c>
      <c r="D1138" s="131" t="s">
        <v>1762</v>
      </c>
      <c r="E1138" s="131">
        <v>1145</v>
      </c>
    </row>
    <row r="1139" spans="1:5" ht="16" customHeight="1">
      <c r="A1139" s="130"/>
      <c r="B1139" s="131" t="s">
        <v>1801</v>
      </c>
      <c r="C1139" s="131" t="s">
        <v>1802</v>
      </c>
      <c r="D1139" s="131" t="s">
        <v>1760</v>
      </c>
      <c r="E1139" s="131">
        <v>1250</v>
      </c>
    </row>
    <row r="1140" spans="1:5" ht="16" customHeight="1">
      <c r="A1140" s="130"/>
      <c r="B1140" s="131" t="s">
        <v>1803</v>
      </c>
      <c r="C1140" s="131" t="s">
        <v>1804</v>
      </c>
      <c r="D1140" s="131" t="s">
        <v>1745</v>
      </c>
      <c r="E1140" s="131">
        <v>939</v>
      </c>
    </row>
    <row r="1141" spans="1:5" ht="16" customHeight="1">
      <c r="A1141" s="130"/>
      <c r="B1141" s="131" t="s">
        <v>1803</v>
      </c>
      <c r="C1141" s="131" t="s">
        <v>1805</v>
      </c>
      <c r="D1141" s="131" t="s">
        <v>1745</v>
      </c>
      <c r="E1141" s="131">
        <v>939</v>
      </c>
    </row>
    <row r="1142" spans="1:5" ht="30" customHeight="1">
      <c r="A1142" s="130"/>
      <c r="B1142" s="131" t="s">
        <v>1803</v>
      </c>
      <c r="C1142" s="131" t="s">
        <v>1806</v>
      </c>
      <c r="D1142" s="131" t="s">
        <v>1745</v>
      </c>
      <c r="E1142" s="131">
        <v>569</v>
      </c>
    </row>
    <row r="1143" spans="1:5" ht="16" customHeight="1">
      <c r="A1143" s="130"/>
      <c r="B1143" s="131" t="s">
        <v>1801</v>
      </c>
      <c r="C1143" s="131" t="s">
        <v>1807</v>
      </c>
      <c r="D1143" s="131" t="s">
        <v>1791</v>
      </c>
      <c r="E1143" s="131">
        <v>390</v>
      </c>
    </row>
    <row r="1144" spans="1:5" ht="16" customHeight="1">
      <c r="A1144" s="130"/>
      <c r="B1144" s="131" t="s">
        <v>1808</v>
      </c>
      <c r="C1144" s="131" t="s">
        <v>1809</v>
      </c>
      <c r="D1144" s="131" t="s">
        <v>29</v>
      </c>
      <c r="E1144" s="131">
        <v>795</v>
      </c>
    </row>
    <row r="1145" spans="1:5" ht="15.5" customHeight="1">
      <c r="A1145" s="130"/>
      <c r="B1145" s="131" t="s">
        <v>1798</v>
      </c>
      <c r="C1145" s="131" t="s">
        <v>1810</v>
      </c>
      <c r="D1145" s="131" t="s">
        <v>29</v>
      </c>
      <c r="E1145" s="131">
        <v>1440</v>
      </c>
    </row>
    <row r="1146" spans="1:5" ht="16" customHeight="1">
      <c r="A1146" s="130"/>
      <c r="B1146" s="131" t="s">
        <v>1798</v>
      </c>
      <c r="C1146" s="131" t="s">
        <v>1811</v>
      </c>
      <c r="D1146" s="131" t="s">
        <v>103</v>
      </c>
      <c r="E1146" s="131">
        <v>720</v>
      </c>
    </row>
    <row r="1147" spans="1:5" ht="16" customHeight="1">
      <c r="A1147" s="130"/>
      <c r="B1147" s="131" t="s">
        <v>1798</v>
      </c>
      <c r="C1147" s="131" t="s">
        <v>1812</v>
      </c>
      <c r="D1147" s="131" t="s">
        <v>1760</v>
      </c>
      <c r="E1147" s="131">
        <v>720</v>
      </c>
    </row>
    <row r="1148" spans="1:5" ht="16" customHeight="1">
      <c r="A1148" s="130"/>
      <c r="B1148" s="131" t="s">
        <v>1798</v>
      </c>
      <c r="C1148" s="131" t="s">
        <v>1813</v>
      </c>
      <c r="D1148" s="131" t="s">
        <v>18</v>
      </c>
      <c r="E1148" s="131">
        <v>3240</v>
      </c>
    </row>
    <row r="1149" spans="1:5" ht="16" customHeight="1">
      <c r="A1149" s="130"/>
      <c r="B1149" s="131" t="s">
        <v>1798</v>
      </c>
      <c r="C1149" s="131" t="s">
        <v>1814</v>
      </c>
      <c r="D1149" s="131" t="s">
        <v>1815</v>
      </c>
      <c r="E1149" s="131">
        <v>400</v>
      </c>
    </row>
    <row r="1150" spans="1:5" ht="16" customHeight="1">
      <c r="A1150" s="130"/>
      <c r="B1150" s="131" t="s">
        <v>1798</v>
      </c>
      <c r="C1150" s="131" t="s">
        <v>1816</v>
      </c>
      <c r="D1150" s="131" t="s">
        <v>20</v>
      </c>
      <c r="E1150" s="131">
        <v>2150</v>
      </c>
    </row>
    <row r="1151" spans="1:5" ht="16" customHeight="1">
      <c r="A1151" s="130"/>
      <c r="B1151" s="131" t="s">
        <v>1798</v>
      </c>
      <c r="C1151" s="131" t="s">
        <v>1812</v>
      </c>
      <c r="D1151" s="131" t="s">
        <v>1760</v>
      </c>
      <c r="E1151" s="131">
        <v>720</v>
      </c>
    </row>
    <row r="1152" spans="1:5" ht="16" customHeight="1">
      <c r="A1152" s="130"/>
      <c r="B1152" s="131" t="s">
        <v>1798</v>
      </c>
      <c r="C1152" s="131" t="s">
        <v>1817</v>
      </c>
      <c r="D1152" s="131" t="s">
        <v>103</v>
      </c>
      <c r="E1152" s="131">
        <v>720</v>
      </c>
    </row>
    <row r="1153" spans="1:27" ht="16" customHeight="1">
      <c r="A1153" s="130"/>
      <c r="B1153" s="131" t="s">
        <v>1798</v>
      </c>
      <c r="C1153" s="131" t="s">
        <v>1818</v>
      </c>
      <c r="D1153" s="131" t="s">
        <v>103</v>
      </c>
      <c r="E1153" s="131">
        <v>1620</v>
      </c>
    </row>
    <row r="1154" spans="1:27" ht="16" customHeight="1">
      <c r="A1154" s="130"/>
      <c r="B1154" s="131" t="s">
        <v>1798</v>
      </c>
      <c r="C1154" s="131" t="s">
        <v>1819</v>
      </c>
      <c r="D1154" s="131" t="s">
        <v>1760</v>
      </c>
      <c r="E1154" s="131">
        <v>720</v>
      </c>
    </row>
    <row r="1155" spans="1:27" ht="16" customHeight="1">
      <c r="A1155" s="130"/>
      <c r="B1155" s="131" t="s">
        <v>1798</v>
      </c>
      <c r="C1155" s="131" t="s">
        <v>1820</v>
      </c>
      <c r="D1155" s="131" t="s">
        <v>1760</v>
      </c>
      <c r="E1155" s="131">
        <v>940</v>
      </c>
    </row>
    <row r="1156" spans="1:27" ht="16" customHeight="1">
      <c r="A1156" s="130"/>
      <c r="B1156" s="131" t="s">
        <v>1798</v>
      </c>
      <c r="C1156" s="131" t="s">
        <v>1821</v>
      </c>
      <c r="D1156" s="131" t="s">
        <v>1815</v>
      </c>
      <c r="E1156" s="131">
        <v>355</v>
      </c>
    </row>
    <row r="1157" spans="1:27" ht="16" customHeight="1">
      <c r="A1157" s="130"/>
      <c r="B1157" s="131" t="s">
        <v>1798</v>
      </c>
      <c r="C1157" s="131" t="s">
        <v>1822</v>
      </c>
      <c r="D1157" s="131" t="s">
        <v>20</v>
      </c>
      <c r="E1157" s="131">
        <v>785</v>
      </c>
    </row>
    <row r="1158" spans="1:27" ht="16" customHeight="1">
      <c r="A1158" s="130"/>
      <c r="B1158" s="131" t="s">
        <v>1808</v>
      </c>
      <c r="C1158" s="131" t="s">
        <v>1823</v>
      </c>
      <c r="D1158" s="131" t="s">
        <v>29</v>
      </c>
      <c r="E1158" s="131">
        <v>610.37</v>
      </c>
    </row>
    <row r="1159" spans="1:27" ht="16" customHeight="1">
      <c r="A1159" s="130"/>
      <c r="B1159" s="131" t="s">
        <v>1803</v>
      </c>
      <c r="C1159" s="131" t="s">
        <v>1824</v>
      </c>
      <c r="D1159" s="131" t="s">
        <v>1755</v>
      </c>
      <c r="E1159" s="131">
        <v>299</v>
      </c>
    </row>
    <row r="1160" spans="1:27" ht="16" customHeight="1">
      <c r="A1160" s="130"/>
      <c r="B1160" s="131" t="s">
        <v>1803</v>
      </c>
      <c r="C1160" s="131" t="s">
        <v>1825</v>
      </c>
      <c r="D1160" s="131" t="s">
        <v>326</v>
      </c>
      <c r="E1160" s="131">
        <v>689</v>
      </c>
    </row>
    <row r="1161" spans="1:27" ht="16" customHeight="1">
      <c r="A1161" s="130"/>
      <c r="B1161" s="131" t="s">
        <v>1803</v>
      </c>
      <c r="C1161" s="131" t="s">
        <v>1826</v>
      </c>
      <c r="D1161" s="131" t="s">
        <v>29</v>
      </c>
      <c r="E1161" s="131">
        <v>799</v>
      </c>
    </row>
    <row r="1162" spans="1:27" ht="16" customHeight="1">
      <c r="A1162" s="130"/>
      <c r="B1162" s="131" t="s">
        <v>1803</v>
      </c>
      <c r="C1162" s="131" t="s">
        <v>1827</v>
      </c>
      <c r="D1162" s="131" t="s">
        <v>1755</v>
      </c>
      <c r="E1162" s="131">
        <v>210</v>
      </c>
    </row>
    <row r="1163" spans="1:27" ht="16" customHeight="1">
      <c r="A1163" s="130"/>
      <c r="B1163" s="131" t="s">
        <v>1803</v>
      </c>
      <c r="C1163" s="131" t="s">
        <v>1828</v>
      </c>
      <c r="D1163" s="131" t="s">
        <v>1755</v>
      </c>
      <c r="E1163" s="131">
        <v>449</v>
      </c>
    </row>
    <row r="1164" spans="1:27" ht="30" customHeight="1">
      <c r="A1164" s="130"/>
      <c r="B1164" s="131" t="s">
        <v>1801</v>
      </c>
      <c r="C1164" s="131" t="s">
        <v>1829</v>
      </c>
      <c r="D1164" s="131" t="s">
        <v>1830</v>
      </c>
      <c r="E1164" s="131">
        <v>297</v>
      </c>
    </row>
    <row r="1165" spans="1:27" ht="16" customHeight="1">
      <c r="A1165" s="124" t="s">
        <v>655</v>
      </c>
      <c r="H1165" s="1"/>
      <c r="I1165" s="1"/>
      <c r="J1165" s="1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spans="1:27" ht="16" customHeight="1">
      <c r="A1166" s="12"/>
      <c r="B1166" s="109" t="s">
        <v>656</v>
      </c>
      <c r="C1166" s="107" t="s">
        <v>657</v>
      </c>
      <c r="D1166" s="100" t="s">
        <v>12</v>
      </c>
      <c r="E1166" s="17">
        <v>469</v>
      </c>
      <c r="F1166" s="18">
        <v>445</v>
      </c>
      <c r="G1166" s="27"/>
      <c r="H1166" s="1"/>
      <c r="I1166" s="1"/>
      <c r="J1166" s="1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spans="1:27" ht="16" customHeight="1">
      <c r="A1167" s="12"/>
      <c r="B1167" s="108"/>
      <c r="C1167" s="106"/>
      <c r="D1167" s="100" t="s">
        <v>340</v>
      </c>
      <c r="E1167" s="17">
        <v>470</v>
      </c>
      <c r="F1167" s="18">
        <v>955</v>
      </c>
      <c r="G1167" s="27"/>
      <c r="H1167" s="1"/>
      <c r="I1167" s="1"/>
      <c r="J1167" s="1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spans="1:27" ht="16" customHeight="1">
      <c r="A1168" s="12"/>
      <c r="B1168" s="108"/>
      <c r="C1168" s="107" t="s">
        <v>231</v>
      </c>
      <c r="D1168" s="100" t="s">
        <v>18</v>
      </c>
      <c r="E1168" s="17">
        <v>471</v>
      </c>
      <c r="F1168" s="18">
        <v>1045</v>
      </c>
      <c r="G1168" s="27"/>
      <c r="H1168" s="1"/>
      <c r="I1168" s="1"/>
      <c r="J1168" s="1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spans="1:27" ht="16" customHeight="1">
      <c r="A1169" s="12"/>
      <c r="B1169" s="108"/>
      <c r="C1169" s="107" t="s">
        <v>331</v>
      </c>
      <c r="D1169" s="100" t="s">
        <v>82</v>
      </c>
      <c r="E1169" s="17">
        <v>472</v>
      </c>
      <c r="F1169" s="18">
        <v>509</v>
      </c>
      <c r="G1169" s="27"/>
      <c r="H1169" s="1"/>
      <c r="I1169" s="1"/>
      <c r="J1169" s="1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spans="1:27" ht="16" customHeight="1">
      <c r="A1170" s="12"/>
      <c r="B1170" s="108"/>
      <c r="C1170" s="106"/>
      <c r="D1170" s="100" t="s">
        <v>14</v>
      </c>
      <c r="E1170" s="17">
        <v>473</v>
      </c>
      <c r="F1170" s="18">
        <v>573</v>
      </c>
      <c r="G1170" s="27"/>
      <c r="H1170" s="1"/>
      <c r="I1170" s="1"/>
      <c r="J1170" s="1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spans="1:27" ht="16" customHeight="1">
      <c r="A1171" s="12"/>
      <c r="B1171" s="108"/>
      <c r="C1171" s="107" t="s">
        <v>658</v>
      </c>
      <c r="D1171" s="100" t="s">
        <v>22</v>
      </c>
      <c r="E1171" s="17">
        <v>474</v>
      </c>
      <c r="F1171" s="18">
        <v>573</v>
      </c>
      <c r="G1171" s="27"/>
      <c r="H1171" s="1"/>
      <c r="I1171" s="1"/>
      <c r="J1171" s="1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spans="1:27" ht="16" customHeight="1">
      <c r="A1172" s="12"/>
      <c r="B1172" s="108"/>
      <c r="C1172" s="107" t="s">
        <v>659</v>
      </c>
      <c r="D1172" s="100" t="s">
        <v>18</v>
      </c>
      <c r="E1172" s="17">
        <v>475</v>
      </c>
      <c r="F1172" s="18">
        <v>955</v>
      </c>
      <c r="G1172" s="27"/>
      <c r="H1172" s="1"/>
      <c r="I1172" s="1"/>
      <c r="J1172" s="1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spans="1:27" ht="16" customHeight="1">
      <c r="A1173" s="12"/>
      <c r="B1173" s="108"/>
      <c r="C1173" s="107" t="s">
        <v>660</v>
      </c>
      <c r="D1173" s="100" t="s">
        <v>20</v>
      </c>
      <c r="E1173" s="17">
        <v>476</v>
      </c>
      <c r="F1173" s="18">
        <v>955</v>
      </c>
      <c r="G1173" s="27"/>
      <c r="H1173" s="1"/>
      <c r="I1173" s="1"/>
      <c r="J1173" s="1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spans="1:27" ht="16" customHeight="1">
      <c r="A1174" s="12"/>
      <c r="B1174" s="108"/>
      <c r="C1174" s="106"/>
      <c r="D1174" s="100" t="s">
        <v>14</v>
      </c>
      <c r="E1174" s="17">
        <v>477</v>
      </c>
      <c r="F1174" s="18">
        <v>573</v>
      </c>
      <c r="G1174" s="27"/>
      <c r="H1174" s="1"/>
      <c r="I1174" s="1"/>
      <c r="J1174" s="1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spans="1:27" ht="16" customHeight="1">
      <c r="A1175" s="12"/>
      <c r="B1175" s="108"/>
      <c r="C1175" s="106"/>
      <c r="D1175" s="100" t="s">
        <v>60</v>
      </c>
      <c r="E1175" s="17">
        <v>478</v>
      </c>
      <c r="F1175" s="18">
        <v>955</v>
      </c>
      <c r="G1175" s="27"/>
      <c r="H1175" s="1"/>
      <c r="I1175" s="1"/>
      <c r="J1175" s="1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spans="1:27" ht="16" customHeight="1">
      <c r="A1176" s="12"/>
      <c r="B1176" s="108"/>
      <c r="C1176" s="106"/>
      <c r="D1176" s="100" t="s">
        <v>61</v>
      </c>
      <c r="E1176" s="17">
        <v>479</v>
      </c>
      <c r="F1176" s="18">
        <v>955</v>
      </c>
      <c r="G1176" s="27"/>
      <c r="H1176" s="1"/>
      <c r="I1176" s="1"/>
      <c r="J1176" s="1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spans="1:27" ht="16" customHeight="1">
      <c r="A1177" s="12"/>
      <c r="B1177" s="108"/>
      <c r="C1177" s="106"/>
      <c r="D1177" s="100" t="s">
        <v>65</v>
      </c>
      <c r="E1177" s="17">
        <v>480</v>
      </c>
      <c r="F1177" s="18">
        <v>955</v>
      </c>
      <c r="G1177" s="27"/>
      <c r="H1177" s="1"/>
      <c r="I1177" s="1"/>
      <c r="J1177" s="1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spans="1:27" ht="16" customHeight="1">
      <c r="A1178" s="12"/>
      <c r="B1178" s="108"/>
      <c r="C1178" s="106"/>
      <c r="D1178" s="100" t="s">
        <v>22</v>
      </c>
      <c r="E1178" s="17">
        <v>481</v>
      </c>
      <c r="F1178" s="18">
        <v>573</v>
      </c>
      <c r="G1178" s="27"/>
      <c r="H1178" s="1"/>
      <c r="I1178" s="1"/>
      <c r="J1178" s="1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spans="1:27" ht="16" customHeight="1">
      <c r="A1179" s="12"/>
      <c r="B1179" s="108"/>
      <c r="C1179" s="106"/>
      <c r="D1179" s="100" t="s">
        <v>201</v>
      </c>
      <c r="E1179" s="17">
        <v>482</v>
      </c>
      <c r="F1179" s="18">
        <v>95</v>
      </c>
      <c r="G1179" s="27"/>
      <c r="H1179" s="1"/>
      <c r="I1179" s="1"/>
      <c r="J1179" s="1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spans="1:27" ht="16" customHeight="1">
      <c r="A1180" s="12"/>
      <c r="B1180" s="109" t="s">
        <v>661</v>
      </c>
      <c r="C1180" s="107" t="s">
        <v>102</v>
      </c>
      <c r="D1180" s="100" t="s">
        <v>12</v>
      </c>
      <c r="E1180" s="17">
        <v>483</v>
      </c>
      <c r="F1180" s="18">
        <v>445</v>
      </c>
      <c r="G1180" s="27"/>
      <c r="H1180" s="1"/>
      <c r="I1180" s="1"/>
      <c r="J1180" s="1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spans="1:27" ht="16" customHeight="1">
      <c r="A1181" s="12"/>
      <c r="B1181" s="108"/>
      <c r="C1181" s="107" t="s">
        <v>662</v>
      </c>
      <c r="D1181" s="100" t="s">
        <v>14</v>
      </c>
      <c r="E1181" s="17">
        <v>484</v>
      </c>
      <c r="F1181" s="18">
        <v>573</v>
      </c>
      <c r="G1181" s="27"/>
      <c r="H1181" s="1"/>
      <c r="I1181" s="1"/>
      <c r="J1181" s="1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spans="1:27" ht="16" customHeight="1">
      <c r="A1182" s="12"/>
      <c r="B1182" s="108"/>
      <c r="C1182" s="107" t="s">
        <v>663</v>
      </c>
      <c r="D1182" s="100" t="s">
        <v>18</v>
      </c>
      <c r="E1182" s="17">
        <v>772</v>
      </c>
      <c r="F1182" s="18">
        <v>1045</v>
      </c>
      <c r="G1182" s="27"/>
      <c r="H1182" s="1"/>
      <c r="I1182" s="1"/>
      <c r="J1182" s="1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spans="1:27" ht="16" customHeight="1">
      <c r="A1183" s="12"/>
      <c r="B1183" s="108"/>
      <c r="C1183" s="106"/>
      <c r="D1183" s="100" t="s">
        <v>20</v>
      </c>
      <c r="E1183" s="17">
        <v>773</v>
      </c>
      <c r="F1183" s="18">
        <v>1045</v>
      </c>
      <c r="G1183" s="27"/>
      <c r="H1183" s="1"/>
      <c r="I1183" s="1"/>
      <c r="J1183" s="1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spans="1:27" ht="16" customHeight="1">
      <c r="A1184" s="12"/>
      <c r="B1184" s="108"/>
      <c r="C1184" s="106"/>
      <c r="D1184" s="100" t="s">
        <v>14</v>
      </c>
      <c r="E1184" s="17">
        <v>774</v>
      </c>
      <c r="F1184" s="18">
        <v>573</v>
      </c>
      <c r="G1184" s="27"/>
      <c r="H1184" s="1"/>
      <c r="I1184" s="1"/>
      <c r="J1184" s="1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spans="1:27" ht="16" customHeight="1">
      <c r="A1185" s="12"/>
      <c r="B1185" s="108"/>
      <c r="C1185" s="106"/>
      <c r="D1185" s="100" t="s">
        <v>60</v>
      </c>
      <c r="E1185" s="17">
        <v>775</v>
      </c>
      <c r="F1185" s="18">
        <v>1450</v>
      </c>
      <c r="G1185" s="27"/>
      <c r="H1185" s="1"/>
      <c r="I1185" s="1"/>
      <c r="J1185" s="1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spans="1:27" ht="16" customHeight="1">
      <c r="A1186" s="12"/>
      <c r="B1186" s="108"/>
      <c r="C1186" s="106"/>
      <c r="D1186" s="100" t="s">
        <v>61</v>
      </c>
      <c r="E1186" s="17">
        <v>776</v>
      </c>
      <c r="F1186" s="18">
        <v>1750</v>
      </c>
      <c r="G1186" s="27"/>
      <c r="H1186" s="1"/>
      <c r="I1186" s="1"/>
      <c r="J1186" s="1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spans="1:27" ht="16" customHeight="1">
      <c r="A1187" s="12"/>
      <c r="B1187" s="109" t="s">
        <v>661</v>
      </c>
      <c r="C1187" s="107" t="s">
        <v>664</v>
      </c>
      <c r="D1187" s="100" t="s">
        <v>18</v>
      </c>
      <c r="E1187" s="17">
        <v>1322</v>
      </c>
      <c r="F1187" s="18">
        <v>764</v>
      </c>
      <c r="G1187" s="27"/>
      <c r="H1187" s="1"/>
      <c r="I1187" s="1"/>
      <c r="J1187" s="1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spans="1:27" ht="16" customHeight="1">
      <c r="A1188" s="12"/>
      <c r="B1188" s="108"/>
      <c r="C1188" s="107" t="s">
        <v>665</v>
      </c>
      <c r="D1188" s="100" t="s">
        <v>20</v>
      </c>
      <c r="E1188" s="17">
        <v>1323</v>
      </c>
      <c r="F1188" s="18">
        <v>764</v>
      </c>
      <c r="G1188" s="27"/>
      <c r="H1188" s="1"/>
      <c r="I1188" s="1"/>
      <c r="J1188" s="1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spans="1:27" ht="16" customHeight="1">
      <c r="A1189" s="12"/>
      <c r="B1189" s="108"/>
      <c r="C1189" s="107" t="s">
        <v>344</v>
      </c>
      <c r="D1189" s="100" t="s">
        <v>14</v>
      </c>
      <c r="E1189" s="17">
        <v>1324</v>
      </c>
      <c r="F1189" s="18">
        <v>764</v>
      </c>
      <c r="G1189" s="27"/>
      <c r="H1189" s="1"/>
      <c r="I1189" s="1"/>
      <c r="J1189" s="1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spans="1:27" ht="16" customHeight="1">
      <c r="A1190" s="12"/>
      <c r="B1190" s="108"/>
      <c r="C1190" s="106" t="s">
        <v>666</v>
      </c>
      <c r="D1190" s="100" t="s">
        <v>60</v>
      </c>
      <c r="E1190" s="17">
        <v>1325</v>
      </c>
      <c r="F1190" s="18">
        <v>1145</v>
      </c>
      <c r="G1190" s="27"/>
      <c r="H1190" s="1"/>
      <c r="I1190" s="1"/>
      <c r="J1190" s="1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spans="1:27" ht="16" customHeight="1">
      <c r="A1191" s="12"/>
      <c r="B1191" s="108"/>
      <c r="C1191" s="118">
        <v>8995</v>
      </c>
      <c r="D1191" s="100" t="s">
        <v>61</v>
      </c>
      <c r="E1191" s="17">
        <v>1326</v>
      </c>
      <c r="F1191" s="18">
        <v>1591</v>
      </c>
      <c r="G1191" s="27"/>
      <c r="H1191" s="1"/>
      <c r="I1191" s="1"/>
      <c r="J1191" s="1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spans="1:27" ht="16" customHeight="1">
      <c r="A1192" s="12"/>
      <c r="B1192" s="108"/>
      <c r="C1192" s="106" t="s">
        <v>667</v>
      </c>
      <c r="D1192" s="100" t="s">
        <v>340</v>
      </c>
      <c r="E1192" s="17">
        <v>1327</v>
      </c>
      <c r="F1192" s="18">
        <v>955</v>
      </c>
      <c r="G1192" s="27"/>
      <c r="H1192" s="1"/>
      <c r="I1192" s="1"/>
      <c r="J1192" s="1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spans="1:27" ht="16" customHeight="1">
      <c r="A1193" s="12"/>
      <c r="B1193" s="108"/>
      <c r="C1193" s="118">
        <v>4995</v>
      </c>
      <c r="D1193" s="100" t="s">
        <v>668</v>
      </c>
      <c r="E1193" s="17">
        <v>1328</v>
      </c>
      <c r="F1193" s="18">
        <v>509</v>
      </c>
      <c r="G1193" s="27"/>
      <c r="H1193" s="1"/>
      <c r="I1193" s="1"/>
      <c r="J1193" s="1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spans="1:27" ht="16" customHeight="1">
      <c r="A1194" s="12"/>
      <c r="B1194" s="108"/>
      <c r="C1194" s="106" t="s">
        <v>669</v>
      </c>
      <c r="D1194" s="100" t="s">
        <v>396</v>
      </c>
      <c r="E1194" s="17">
        <v>1343</v>
      </c>
      <c r="F1194" s="18">
        <v>382</v>
      </c>
      <c r="G1194" s="27"/>
      <c r="H1194" s="1"/>
      <c r="I1194" s="1"/>
      <c r="J1194" s="1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spans="1:27" ht="16" customHeight="1">
      <c r="A1195" s="12"/>
      <c r="B1195" s="108"/>
      <c r="C1195" s="118">
        <v>13995</v>
      </c>
      <c r="D1195" s="100" t="s">
        <v>670</v>
      </c>
      <c r="E1195" s="17">
        <v>1341</v>
      </c>
      <c r="F1195" s="18">
        <v>1145</v>
      </c>
      <c r="G1195" s="27"/>
      <c r="H1195" s="1"/>
      <c r="I1195" s="1"/>
      <c r="J1195" s="1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spans="1:27" ht="16" customHeight="1">
      <c r="A1196" s="12"/>
      <c r="B1196" s="108"/>
      <c r="C1196" s="106"/>
      <c r="D1196" s="100" t="s">
        <v>65</v>
      </c>
      <c r="E1196" s="17">
        <v>1329</v>
      </c>
      <c r="F1196" s="18">
        <v>1273</v>
      </c>
      <c r="G1196" s="27"/>
      <c r="H1196" s="1"/>
      <c r="I1196" s="1"/>
      <c r="J1196" s="1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spans="1:27" ht="16" customHeight="1">
      <c r="A1197" s="12"/>
      <c r="B1197" s="108"/>
      <c r="C1197" s="106"/>
      <c r="D1197" s="100" t="s">
        <v>212</v>
      </c>
      <c r="E1197" s="17">
        <v>1330</v>
      </c>
      <c r="F1197" s="18">
        <v>955</v>
      </c>
      <c r="G1197" s="27"/>
      <c r="H1197" s="1"/>
      <c r="I1197" s="1"/>
      <c r="J1197" s="1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spans="1:27" ht="16" customHeight="1">
      <c r="A1198" s="12"/>
      <c r="B1198" s="108"/>
      <c r="C1198" s="106"/>
      <c r="D1198" s="100" t="s">
        <v>671</v>
      </c>
      <c r="E1198" s="17" t="s">
        <v>672</v>
      </c>
      <c r="F1198" s="18">
        <v>764</v>
      </c>
      <c r="G1198" s="27"/>
      <c r="H1198" s="1"/>
      <c r="I1198" s="1"/>
      <c r="J1198" s="1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spans="1:27" ht="16" customHeight="1">
      <c r="A1199" s="12"/>
      <c r="B1199" s="108"/>
      <c r="C1199" s="106"/>
      <c r="D1199" s="100" t="s">
        <v>673</v>
      </c>
      <c r="E1199" s="17" t="s">
        <v>674</v>
      </c>
      <c r="F1199" s="18">
        <v>1145</v>
      </c>
      <c r="G1199" s="27"/>
      <c r="H1199" s="1"/>
      <c r="I1199" s="1"/>
      <c r="J1199" s="1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spans="1:27" ht="16" customHeight="1">
      <c r="A1200" s="12"/>
      <c r="B1200" s="108"/>
      <c r="C1200" s="106"/>
      <c r="D1200" s="100" t="s">
        <v>124</v>
      </c>
      <c r="E1200" s="17" t="s">
        <v>675</v>
      </c>
      <c r="F1200" s="18">
        <v>509</v>
      </c>
      <c r="G1200" s="27"/>
      <c r="H1200" s="1"/>
      <c r="I1200" s="1"/>
      <c r="J1200" s="1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spans="1:27" ht="16" customHeight="1">
      <c r="A1201" s="12"/>
      <c r="B1201" s="108"/>
      <c r="C1201" s="106"/>
      <c r="D1201" s="100" t="s">
        <v>26</v>
      </c>
      <c r="E1201" s="17">
        <v>1333</v>
      </c>
      <c r="F1201" s="18">
        <v>955</v>
      </c>
      <c r="G1201" s="27"/>
      <c r="H1201" s="1"/>
      <c r="I1201" s="1"/>
      <c r="J1201" s="1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spans="1:27" ht="16" customHeight="1">
      <c r="A1202" s="12"/>
      <c r="B1202" s="108"/>
      <c r="C1202" s="106"/>
      <c r="D1202" s="100" t="s">
        <v>29</v>
      </c>
      <c r="E1202" s="17">
        <v>1334</v>
      </c>
      <c r="F1202" s="18">
        <v>955</v>
      </c>
      <c r="G1202" s="27"/>
      <c r="H1202" s="1"/>
      <c r="I1202" s="1"/>
      <c r="J1202" s="1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spans="1:27" ht="16" customHeight="1">
      <c r="A1203" s="12"/>
      <c r="B1203" s="108"/>
      <c r="C1203" s="106"/>
      <c r="D1203" s="100" t="s">
        <v>201</v>
      </c>
      <c r="E1203" s="17">
        <v>1342</v>
      </c>
      <c r="F1203" s="18">
        <v>318</v>
      </c>
      <c r="G1203" s="27"/>
      <c r="H1203" s="1"/>
      <c r="I1203" s="1"/>
      <c r="J1203" s="1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spans="1:27" ht="16" customHeight="1">
      <c r="A1204" s="12"/>
      <c r="B1204" s="108"/>
      <c r="C1204" s="106"/>
      <c r="D1204" s="100" t="s">
        <v>676</v>
      </c>
      <c r="E1204" s="17">
        <v>1335</v>
      </c>
      <c r="F1204" s="18">
        <v>382</v>
      </c>
      <c r="G1204" s="27"/>
      <c r="H1204" s="1"/>
      <c r="I1204" s="1"/>
      <c r="J1204" s="1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spans="1:27" ht="16" customHeight="1">
      <c r="A1205" s="12"/>
      <c r="B1205" s="108"/>
      <c r="C1205" s="106"/>
      <c r="D1205" s="100" t="s">
        <v>677</v>
      </c>
      <c r="E1205" s="17">
        <v>1336</v>
      </c>
      <c r="F1205" s="18">
        <v>382</v>
      </c>
      <c r="G1205" s="27"/>
      <c r="H1205" s="1"/>
      <c r="I1205" s="1"/>
      <c r="J1205" s="1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spans="1:27" ht="16" customHeight="1">
      <c r="A1206" s="12"/>
      <c r="B1206" s="108"/>
      <c r="C1206" s="106"/>
      <c r="D1206" s="100" t="s">
        <v>678</v>
      </c>
      <c r="E1206" s="17">
        <v>1337</v>
      </c>
      <c r="F1206" s="18">
        <v>318</v>
      </c>
      <c r="G1206" s="27"/>
      <c r="H1206" s="1"/>
      <c r="I1206" s="1"/>
      <c r="J1206" s="1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spans="1:27" ht="16" customHeight="1">
      <c r="A1207" s="12"/>
      <c r="B1207" s="108"/>
      <c r="C1207" s="106"/>
      <c r="D1207" s="100" t="s">
        <v>340</v>
      </c>
      <c r="E1207" s="17">
        <v>1338</v>
      </c>
      <c r="F1207" s="18">
        <v>318</v>
      </c>
      <c r="G1207" s="27"/>
      <c r="H1207" s="1"/>
      <c r="I1207" s="1"/>
      <c r="J1207" s="1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spans="1:27" ht="17.25" customHeight="1">
      <c r="A1208" s="12"/>
      <c r="B1208" s="108"/>
      <c r="C1208" s="106"/>
      <c r="D1208" s="100" t="s">
        <v>679</v>
      </c>
      <c r="E1208" s="17">
        <v>1387</v>
      </c>
      <c r="F1208" s="18">
        <v>95</v>
      </c>
      <c r="G1208" s="27"/>
      <c r="H1208" s="1"/>
      <c r="I1208" s="1"/>
      <c r="J1208" s="1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spans="1:27" ht="16" customHeight="1">
      <c r="A1209" s="12"/>
      <c r="B1209" s="108"/>
      <c r="C1209" s="106"/>
      <c r="D1209" s="100" t="s">
        <v>680</v>
      </c>
      <c r="E1209" s="13"/>
      <c r="F1209" s="18">
        <v>382</v>
      </c>
      <c r="G1209" s="27"/>
      <c r="H1209" s="1"/>
      <c r="I1209" s="1"/>
      <c r="J1209" s="1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spans="1:27" ht="16" customHeight="1">
      <c r="A1210" s="12"/>
      <c r="B1210" s="108"/>
      <c r="C1210" s="107" t="s">
        <v>681</v>
      </c>
      <c r="D1210" s="100" t="s">
        <v>682</v>
      </c>
      <c r="E1210" s="17">
        <v>1446</v>
      </c>
      <c r="F1210" s="18">
        <v>1591</v>
      </c>
      <c r="G1210" s="27"/>
      <c r="H1210" s="1"/>
      <c r="I1210" s="1"/>
      <c r="J1210" s="1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spans="1:27" ht="16" customHeight="1">
      <c r="A1211" s="12"/>
      <c r="B1211" s="108"/>
      <c r="C1211" s="106"/>
      <c r="D1211" s="100" t="s">
        <v>20</v>
      </c>
      <c r="E1211" s="17">
        <v>1445</v>
      </c>
      <c r="F1211" s="18">
        <v>764</v>
      </c>
      <c r="G1211" s="27"/>
      <c r="H1211" s="1"/>
      <c r="I1211" s="1"/>
      <c r="J1211" s="1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spans="1:27" ht="16" customHeight="1">
      <c r="A1212" s="12"/>
      <c r="B1212" s="108"/>
      <c r="C1212" s="106"/>
      <c r="D1212" s="100" t="s">
        <v>683</v>
      </c>
      <c r="E1212" s="17">
        <v>1447</v>
      </c>
      <c r="F1212" s="18">
        <v>764</v>
      </c>
      <c r="G1212" s="27"/>
      <c r="H1212" s="1"/>
      <c r="I1212" s="1"/>
      <c r="J1212" s="1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spans="1:27" ht="18.75" customHeight="1">
      <c r="A1213" s="28"/>
      <c r="B1213" s="109" t="s">
        <v>684</v>
      </c>
      <c r="C1213" s="107" t="s">
        <v>685</v>
      </c>
      <c r="D1213" s="100" t="s">
        <v>12</v>
      </c>
      <c r="E1213" s="17">
        <v>485</v>
      </c>
      <c r="F1213" s="18">
        <v>286</v>
      </c>
      <c r="G1213" s="27"/>
      <c r="H1213" s="1"/>
      <c r="I1213" s="1"/>
      <c r="J1213" s="1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spans="1:27" ht="16" customHeight="1">
      <c r="A1214" s="12"/>
      <c r="B1214" s="108"/>
      <c r="C1214" s="107" t="s">
        <v>686</v>
      </c>
      <c r="D1214" s="100" t="s">
        <v>18</v>
      </c>
      <c r="E1214" s="17">
        <v>582</v>
      </c>
      <c r="F1214" s="18">
        <v>720</v>
      </c>
      <c r="G1214" s="27"/>
      <c r="H1214" s="1"/>
      <c r="I1214" s="1"/>
      <c r="J1214" s="1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spans="1:27" ht="16" customHeight="1">
      <c r="A1215" s="12"/>
      <c r="B1215" s="109" t="s">
        <v>684</v>
      </c>
      <c r="C1215" s="107" t="s">
        <v>465</v>
      </c>
      <c r="D1215" s="100" t="s">
        <v>18</v>
      </c>
      <c r="E1215" s="17">
        <v>768</v>
      </c>
      <c r="F1215" s="18">
        <v>764</v>
      </c>
      <c r="G1215" s="27"/>
      <c r="H1215" s="1"/>
      <c r="I1215" s="1"/>
      <c r="J1215" s="1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spans="1:27" ht="16" customHeight="1">
      <c r="A1216" s="12"/>
      <c r="B1216" s="108"/>
      <c r="C1216" s="107" t="s">
        <v>287</v>
      </c>
      <c r="D1216" s="100" t="s">
        <v>20</v>
      </c>
      <c r="E1216" s="17">
        <v>769</v>
      </c>
      <c r="F1216" s="18">
        <v>720</v>
      </c>
      <c r="G1216" s="27"/>
      <c r="H1216" s="1"/>
      <c r="I1216" s="1"/>
      <c r="J1216" s="1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spans="1:27" ht="16" customHeight="1">
      <c r="A1217" s="12"/>
      <c r="B1217" s="108"/>
      <c r="C1217" s="106"/>
      <c r="D1217" s="100" t="s">
        <v>14</v>
      </c>
      <c r="E1217" s="17">
        <v>584</v>
      </c>
      <c r="F1217" s="18">
        <v>1145</v>
      </c>
      <c r="G1217" s="27"/>
      <c r="H1217" s="1"/>
      <c r="I1217" s="1"/>
      <c r="J1217" s="1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spans="1:27" ht="16" customHeight="1">
      <c r="A1218" s="12"/>
      <c r="B1218" s="108"/>
      <c r="C1218" s="106"/>
      <c r="D1218" s="100" t="s">
        <v>27</v>
      </c>
      <c r="E1218" s="17">
        <v>1038</v>
      </c>
      <c r="F1218" s="18">
        <v>318</v>
      </c>
      <c r="G1218" s="27"/>
      <c r="H1218" s="1"/>
      <c r="I1218" s="1"/>
      <c r="J1218" s="1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spans="1:27" ht="16" customHeight="1">
      <c r="A1219" s="12"/>
      <c r="B1219" s="108"/>
      <c r="C1219" s="106"/>
      <c r="D1219" s="100" t="s">
        <v>60</v>
      </c>
      <c r="E1219" s="17">
        <v>583</v>
      </c>
      <c r="F1219" s="18">
        <v>1273</v>
      </c>
      <c r="G1219" s="27"/>
      <c r="H1219" s="1"/>
      <c r="I1219" s="1"/>
      <c r="J1219" s="1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spans="1:27" ht="16" customHeight="1">
      <c r="A1220" s="12"/>
      <c r="B1220" s="108"/>
      <c r="C1220" s="106"/>
      <c r="D1220" s="100" t="s">
        <v>61</v>
      </c>
      <c r="E1220" s="17">
        <v>583</v>
      </c>
      <c r="F1220" s="18">
        <v>1591</v>
      </c>
      <c r="G1220" s="27"/>
      <c r="H1220" s="1"/>
      <c r="I1220" s="1"/>
      <c r="J1220" s="1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spans="1:27" ht="19.5" customHeight="1">
      <c r="A1221" s="12"/>
      <c r="B1221" s="108"/>
      <c r="C1221" s="106"/>
      <c r="D1221" s="100" t="s">
        <v>55</v>
      </c>
      <c r="E1221" s="13"/>
      <c r="F1221" s="18">
        <v>223</v>
      </c>
      <c r="G1221" s="27"/>
      <c r="H1221" s="1"/>
      <c r="I1221" s="1"/>
      <c r="J1221" s="1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spans="1:27" ht="16" customHeight="1">
      <c r="A1222" s="12"/>
      <c r="B1222" s="108"/>
      <c r="C1222" s="107" t="s">
        <v>687</v>
      </c>
      <c r="D1222" s="100" t="s">
        <v>29</v>
      </c>
      <c r="E1222" s="17">
        <v>770</v>
      </c>
      <c r="F1222" s="18">
        <v>764</v>
      </c>
      <c r="G1222" s="27"/>
      <c r="H1222" s="1"/>
      <c r="I1222" s="1"/>
      <c r="J1222" s="1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spans="1:27" ht="16" customHeight="1">
      <c r="A1223" s="12"/>
      <c r="B1223" s="108"/>
      <c r="C1223" s="107" t="s">
        <v>687</v>
      </c>
      <c r="D1223" s="100" t="s">
        <v>63</v>
      </c>
      <c r="E1223" s="17">
        <v>1115</v>
      </c>
      <c r="F1223" s="18">
        <v>445</v>
      </c>
      <c r="G1223" s="27"/>
      <c r="H1223" s="1"/>
      <c r="I1223" s="1"/>
      <c r="J1223" s="1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spans="1:27" ht="19.5" customHeight="1">
      <c r="A1224" s="12"/>
      <c r="B1224" s="109" t="s">
        <v>684</v>
      </c>
      <c r="C1224" s="107" t="s">
        <v>688</v>
      </c>
      <c r="D1224" s="100" t="s">
        <v>18</v>
      </c>
      <c r="E1224" s="17">
        <v>1398</v>
      </c>
      <c r="F1224" s="18">
        <v>827</v>
      </c>
      <c r="G1224" s="27"/>
      <c r="H1224" s="1"/>
      <c r="I1224" s="1"/>
      <c r="J1224" s="1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spans="1:27" ht="17.25" customHeight="1">
      <c r="A1225" s="12"/>
      <c r="B1225" s="108"/>
      <c r="C1225" s="106"/>
      <c r="D1225" s="100" t="s">
        <v>60</v>
      </c>
      <c r="E1225" s="17">
        <v>1399</v>
      </c>
      <c r="F1225" s="18">
        <v>1145</v>
      </c>
      <c r="G1225" s="27"/>
      <c r="H1225" s="1"/>
      <c r="I1225" s="1"/>
      <c r="J1225" s="1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spans="1:27" ht="16" customHeight="1">
      <c r="A1226" s="12"/>
      <c r="B1226" s="108"/>
      <c r="C1226" s="107" t="s">
        <v>687</v>
      </c>
      <c r="D1226" s="100" t="s">
        <v>26</v>
      </c>
      <c r="E1226" s="17">
        <v>1400</v>
      </c>
      <c r="F1226" s="18">
        <v>955</v>
      </c>
      <c r="G1226" s="27"/>
      <c r="H1226" s="1"/>
      <c r="I1226" s="1"/>
      <c r="J1226" s="1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spans="1:27" ht="16" customHeight="1">
      <c r="A1227" s="12"/>
      <c r="B1227" s="109" t="s">
        <v>684</v>
      </c>
      <c r="C1227" s="107" t="s">
        <v>689</v>
      </c>
      <c r="D1227" s="100" t="s">
        <v>26</v>
      </c>
      <c r="E1227" s="17">
        <v>1440</v>
      </c>
      <c r="F1227" s="18">
        <v>955</v>
      </c>
      <c r="G1227" s="27"/>
      <c r="H1227" s="1"/>
      <c r="I1227" s="1"/>
      <c r="J1227" s="1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spans="1:27" ht="16" customHeight="1">
      <c r="A1228" s="12"/>
      <c r="B1228" s="109" t="s">
        <v>684</v>
      </c>
      <c r="C1228" s="107" t="s">
        <v>465</v>
      </c>
      <c r="D1228" s="100" t="s">
        <v>18</v>
      </c>
      <c r="E1228" s="17">
        <v>771</v>
      </c>
      <c r="F1228" s="18">
        <v>720</v>
      </c>
      <c r="G1228" s="27"/>
      <c r="H1228" s="1"/>
      <c r="I1228" s="1"/>
      <c r="J1228" s="1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spans="1:27" ht="18.75" customHeight="1">
      <c r="A1229" s="12"/>
      <c r="B1229" s="108"/>
      <c r="C1229" s="106"/>
      <c r="D1229" s="100" t="s">
        <v>18</v>
      </c>
      <c r="E1229" s="17">
        <v>1127</v>
      </c>
      <c r="F1229" s="18">
        <v>720</v>
      </c>
      <c r="G1229" s="27"/>
      <c r="H1229" s="1"/>
      <c r="I1229" s="1"/>
      <c r="J1229" s="1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spans="1:27" ht="16" customHeight="1">
      <c r="A1230" s="12"/>
      <c r="B1230" s="108"/>
      <c r="C1230" s="106"/>
      <c r="D1230" s="100" t="s">
        <v>14</v>
      </c>
      <c r="E1230" s="17">
        <v>1108</v>
      </c>
      <c r="F1230" s="18">
        <v>509</v>
      </c>
      <c r="G1230" s="27"/>
      <c r="H1230" s="1"/>
      <c r="I1230" s="1"/>
      <c r="J1230" s="1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spans="1:27" ht="16" customHeight="1">
      <c r="A1231" s="12"/>
      <c r="B1231" s="108"/>
      <c r="C1231" s="106"/>
      <c r="D1231" s="100" t="s">
        <v>82</v>
      </c>
      <c r="E1231" s="17">
        <v>1109</v>
      </c>
      <c r="F1231" s="18">
        <v>382</v>
      </c>
      <c r="G1231" s="27"/>
      <c r="H1231" s="1"/>
      <c r="I1231" s="1"/>
      <c r="J1231" s="1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spans="1:27" ht="16" customHeight="1">
      <c r="A1232" s="12"/>
      <c r="B1232" s="109" t="s">
        <v>684</v>
      </c>
      <c r="C1232" s="107" t="s">
        <v>690</v>
      </c>
      <c r="D1232" s="100" t="s">
        <v>26</v>
      </c>
      <c r="E1232" s="17">
        <v>1097</v>
      </c>
      <c r="F1232" s="18">
        <v>509</v>
      </c>
      <c r="G1232" s="27"/>
      <c r="H1232" s="1"/>
      <c r="I1232" s="1"/>
      <c r="J1232" s="1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spans="1:27" ht="16" customHeight="1">
      <c r="A1233" s="12"/>
      <c r="B1233" s="108"/>
      <c r="C1233" s="107" t="s">
        <v>691</v>
      </c>
      <c r="D1233" s="100" t="s">
        <v>27</v>
      </c>
      <c r="E1233" s="17">
        <v>1098</v>
      </c>
      <c r="F1233" s="18">
        <v>573</v>
      </c>
      <c r="G1233" s="27"/>
      <c r="H1233" s="1"/>
      <c r="I1233" s="1"/>
      <c r="J1233" s="1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spans="1:27" ht="16" customHeight="1">
      <c r="A1234" s="12"/>
      <c r="B1234" s="108"/>
      <c r="C1234" s="107" t="s">
        <v>687</v>
      </c>
      <c r="D1234" s="100" t="s">
        <v>29</v>
      </c>
      <c r="E1234" s="17">
        <v>1099</v>
      </c>
      <c r="F1234" s="18">
        <v>764</v>
      </c>
      <c r="G1234" s="27"/>
      <c r="H1234" s="1"/>
      <c r="I1234" s="1"/>
      <c r="J1234" s="1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spans="1:27" ht="16" customHeight="1">
      <c r="A1235" s="12"/>
      <c r="B1235" s="108"/>
      <c r="C1235" s="106"/>
      <c r="D1235" s="100" t="s">
        <v>692</v>
      </c>
      <c r="E1235" s="17">
        <v>1100</v>
      </c>
      <c r="F1235" s="18">
        <v>318</v>
      </c>
      <c r="G1235" s="27"/>
      <c r="H1235" s="1"/>
      <c r="I1235" s="1"/>
      <c r="J1235" s="1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spans="1:27" ht="16" customHeight="1">
      <c r="A1236" s="12"/>
      <c r="B1236" s="108"/>
      <c r="C1236" s="106"/>
      <c r="D1236" s="100" t="s">
        <v>55</v>
      </c>
      <c r="E1236" s="17">
        <v>1101</v>
      </c>
      <c r="F1236" s="18">
        <v>255</v>
      </c>
      <c r="G1236" s="27"/>
      <c r="H1236" s="1"/>
      <c r="I1236" s="1"/>
      <c r="J1236" s="1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spans="1:27" ht="16" customHeight="1">
      <c r="A1237" s="12"/>
      <c r="B1237" s="108"/>
      <c r="C1237" s="106"/>
      <c r="D1237" s="100" t="s">
        <v>424</v>
      </c>
      <c r="E1237" s="17">
        <v>1102</v>
      </c>
      <c r="F1237" s="18">
        <v>255</v>
      </c>
      <c r="G1237" s="27"/>
      <c r="H1237" s="1"/>
      <c r="I1237" s="1"/>
      <c r="J1237" s="1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spans="1:27" ht="16" customHeight="1">
      <c r="A1238" s="12"/>
      <c r="B1238" s="108"/>
      <c r="C1238" s="107" t="s">
        <v>693</v>
      </c>
      <c r="D1238" s="100" t="s">
        <v>694</v>
      </c>
      <c r="E1238" s="17" t="s">
        <v>695</v>
      </c>
      <c r="F1238" s="18">
        <v>764</v>
      </c>
      <c r="G1238" s="27"/>
      <c r="H1238" s="1"/>
      <c r="I1238" s="1"/>
      <c r="J1238" s="1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spans="1:27" ht="16" customHeight="1">
      <c r="A1239" s="12"/>
      <c r="B1239" s="108"/>
      <c r="C1239" s="107" t="s">
        <v>287</v>
      </c>
      <c r="D1239" s="100" t="s">
        <v>696</v>
      </c>
      <c r="E1239" s="17" t="s">
        <v>697</v>
      </c>
      <c r="F1239" s="18">
        <v>825</v>
      </c>
      <c r="G1239" s="27"/>
      <c r="H1239" s="1"/>
      <c r="I1239" s="1"/>
      <c r="J1239" s="1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spans="1:27" ht="16.5" customHeight="1">
      <c r="A1240" s="12"/>
      <c r="B1240" s="108"/>
      <c r="C1240" s="106"/>
      <c r="D1240" s="100" t="s">
        <v>698</v>
      </c>
      <c r="E1240" s="17" t="s">
        <v>699</v>
      </c>
      <c r="F1240" s="18">
        <v>885</v>
      </c>
      <c r="G1240" s="27"/>
      <c r="H1240" s="1"/>
      <c r="I1240" s="1"/>
      <c r="J1240" s="1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spans="1:27" ht="16" customHeight="1">
      <c r="A1241" s="12"/>
      <c r="B1241" s="108"/>
      <c r="C1241" s="106"/>
      <c r="D1241" s="100" t="s">
        <v>700</v>
      </c>
      <c r="E1241" s="17">
        <v>917</v>
      </c>
      <c r="F1241" s="18">
        <v>764</v>
      </c>
      <c r="G1241" s="27"/>
      <c r="H1241" s="1"/>
      <c r="I1241" s="1"/>
      <c r="J1241" s="1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spans="1:27" ht="16" customHeight="1">
      <c r="A1242" s="12"/>
      <c r="B1242" s="108"/>
      <c r="C1242" s="106"/>
      <c r="D1242" s="100" t="s">
        <v>701</v>
      </c>
      <c r="E1242" s="17">
        <v>918</v>
      </c>
      <c r="F1242" s="18">
        <v>191</v>
      </c>
      <c r="G1242" s="27"/>
      <c r="H1242" s="1"/>
      <c r="I1242" s="1"/>
      <c r="J1242" s="1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spans="1:27" ht="16" customHeight="1">
      <c r="A1243" s="12"/>
      <c r="B1243" s="108"/>
      <c r="C1243" s="106"/>
      <c r="D1243" s="100" t="s">
        <v>20</v>
      </c>
      <c r="E1243" s="17">
        <v>919</v>
      </c>
      <c r="F1243" s="18">
        <v>720</v>
      </c>
      <c r="G1243" s="27"/>
      <c r="H1243" s="1"/>
      <c r="I1243" s="1"/>
      <c r="J1243" s="1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spans="1:27" ht="16" customHeight="1">
      <c r="A1244" s="12"/>
      <c r="B1244" s="108"/>
      <c r="C1244" s="106"/>
      <c r="D1244" s="100" t="s">
        <v>14</v>
      </c>
      <c r="E1244" s="17">
        <v>920</v>
      </c>
      <c r="F1244" s="18">
        <v>1145</v>
      </c>
      <c r="G1244" s="27"/>
      <c r="H1244" s="1"/>
      <c r="I1244" s="1"/>
      <c r="J1244" s="1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spans="1:27" ht="16" customHeight="1">
      <c r="A1245" s="12"/>
      <c r="B1245" s="108"/>
      <c r="C1245" s="106"/>
      <c r="D1245" s="100" t="s">
        <v>60</v>
      </c>
      <c r="E1245" s="17">
        <v>921</v>
      </c>
      <c r="F1245" s="18">
        <v>1273</v>
      </c>
      <c r="G1245" s="27"/>
      <c r="H1245" s="1"/>
      <c r="I1245" s="1"/>
      <c r="J1245" s="1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spans="1:27" ht="16" customHeight="1">
      <c r="A1246" s="12"/>
      <c r="B1246" s="108"/>
      <c r="C1246" s="106"/>
      <c r="D1246" s="100" t="s">
        <v>61</v>
      </c>
      <c r="E1246" s="17">
        <v>922</v>
      </c>
      <c r="F1246" s="18">
        <v>1591</v>
      </c>
      <c r="G1246" s="27"/>
      <c r="H1246" s="1"/>
      <c r="I1246" s="1"/>
      <c r="J1246" s="1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spans="1:27" ht="16" customHeight="1">
      <c r="A1247" s="12"/>
      <c r="B1247" s="108"/>
      <c r="C1247" s="107" t="s">
        <v>358</v>
      </c>
      <c r="D1247" s="100" t="s">
        <v>18</v>
      </c>
      <c r="E1247" s="17">
        <v>486</v>
      </c>
      <c r="F1247" s="18">
        <v>764</v>
      </c>
      <c r="G1247" s="27"/>
      <c r="H1247" s="1"/>
      <c r="I1247" s="1"/>
      <c r="J1247" s="1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spans="1:27" ht="16" customHeight="1">
      <c r="A1248" s="12"/>
      <c r="B1248" s="108"/>
      <c r="C1248" s="107" t="s">
        <v>331</v>
      </c>
      <c r="D1248" s="100" t="s">
        <v>82</v>
      </c>
      <c r="E1248" s="17">
        <v>487</v>
      </c>
      <c r="F1248" s="18">
        <v>382</v>
      </c>
      <c r="G1248" s="27"/>
      <c r="H1248" s="1"/>
      <c r="I1248" s="1"/>
      <c r="J1248" s="1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spans="1:27" ht="16" customHeight="1">
      <c r="A1249" s="12"/>
      <c r="B1249" s="108"/>
      <c r="C1249" s="106"/>
      <c r="D1249" s="100" t="s">
        <v>14</v>
      </c>
      <c r="E1249" s="17">
        <v>488</v>
      </c>
      <c r="F1249" s="18">
        <v>573</v>
      </c>
      <c r="G1249" s="27"/>
      <c r="H1249" s="1"/>
      <c r="I1249" s="1"/>
      <c r="J1249" s="1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spans="1:27" ht="16" customHeight="1">
      <c r="A1250" s="12"/>
      <c r="B1250" s="108"/>
      <c r="C1250" s="106"/>
      <c r="D1250" s="100" t="s">
        <v>22</v>
      </c>
      <c r="E1250" s="17">
        <v>489</v>
      </c>
      <c r="F1250" s="18">
        <v>636</v>
      </c>
      <c r="G1250" s="27"/>
      <c r="H1250" s="1"/>
      <c r="I1250" s="1"/>
      <c r="J1250" s="1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spans="1:27" ht="16" customHeight="1">
      <c r="A1251" s="12"/>
      <c r="B1251" s="108"/>
      <c r="C1251" s="106"/>
      <c r="D1251" s="100" t="s">
        <v>124</v>
      </c>
      <c r="E1251" s="13"/>
      <c r="F1251" s="18">
        <v>445</v>
      </c>
      <c r="G1251" s="27"/>
      <c r="H1251" s="1"/>
      <c r="I1251" s="1"/>
      <c r="J1251" s="1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spans="1:27" ht="16" customHeight="1">
      <c r="A1252" s="12"/>
      <c r="B1252" s="108"/>
      <c r="C1252" s="107" t="s">
        <v>702</v>
      </c>
      <c r="D1252" s="100" t="s">
        <v>18</v>
      </c>
      <c r="E1252" s="17">
        <v>490</v>
      </c>
      <c r="F1252" s="18">
        <v>720</v>
      </c>
      <c r="G1252" s="27"/>
      <c r="H1252" s="1"/>
      <c r="I1252" s="1"/>
      <c r="J1252" s="1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spans="1:27" ht="16" customHeight="1">
      <c r="A1253" s="12"/>
      <c r="B1253" s="108"/>
      <c r="C1253" s="107" t="s">
        <v>331</v>
      </c>
      <c r="D1253" s="100" t="s">
        <v>82</v>
      </c>
      <c r="E1253" s="17">
        <v>491</v>
      </c>
      <c r="F1253" s="18">
        <v>382</v>
      </c>
      <c r="G1253" s="27"/>
      <c r="H1253" s="1"/>
      <c r="I1253" s="1"/>
      <c r="J1253" s="1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spans="1:27" ht="16" customHeight="1">
      <c r="A1254" s="12"/>
      <c r="B1254" s="108"/>
      <c r="C1254" s="106"/>
      <c r="D1254" s="100" t="s">
        <v>14</v>
      </c>
      <c r="E1254" s="17">
        <v>492</v>
      </c>
      <c r="F1254" s="18">
        <v>509</v>
      </c>
      <c r="G1254" s="27"/>
      <c r="H1254" s="1"/>
      <c r="I1254" s="1"/>
      <c r="J1254" s="1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spans="1:27" ht="16" customHeight="1">
      <c r="A1255" s="12"/>
      <c r="B1255" s="108"/>
      <c r="C1255" s="106"/>
      <c r="D1255" s="100" t="s">
        <v>22</v>
      </c>
      <c r="E1255" s="17">
        <v>493</v>
      </c>
      <c r="F1255" s="18">
        <v>636</v>
      </c>
      <c r="G1255" s="27"/>
      <c r="H1255" s="1"/>
      <c r="I1255" s="1"/>
      <c r="J1255" s="1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spans="1:27" ht="16" customHeight="1">
      <c r="A1256" s="12"/>
      <c r="B1256" s="108"/>
      <c r="C1256" s="107" t="s">
        <v>231</v>
      </c>
      <c r="D1256" s="100" t="s">
        <v>18</v>
      </c>
      <c r="E1256" s="17">
        <v>962</v>
      </c>
      <c r="F1256" s="18">
        <v>720</v>
      </c>
      <c r="G1256" s="27"/>
      <c r="H1256" s="1"/>
      <c r="I1256" s="1"/>
      <c r="J1256" s="1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spans="1:27" ht="16" customHeight="1">
      <c r="A1257" s="12"/>
      <c r="B1257" s="108"/>
      <c r="C1257" s="106"/>
      <c r="D1257" s="100" t="s">
        <v>14</v>
      </c>
      <c r="E1257" s="17">
        <v>963</v>
      </c>
      <c r="F1257" s="18">
        <v>509</v>
      </c>
      <c r="G1257" s="27"/>
      <c r="H1257" s="1"/>
      <c r="I1257" s="1"/>
      <c r="J1257" s="1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spans="1:27" ht="16" customHeight="1">
      <c r="A1258" s="12"/>
      <c r="B1258" s="108"/>
      <c r="C1258" s="106"/>
      <c r="D1258" s="100" t="s">
        <v>82</v>
      </c>
      <c r="E1258" s="17">
        <v>964</v>
      </c>
      <c r="F1258" s="18">
        <v>382</v>
      </c>
      <c r="G1258" s="27"/>
      <c r="H1258" s="1"/>
      <c r="I1258" s="1"/>
      <c r="J1258" s="1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spans="1:27" ht="16" customHeight="1">
      <c r="A1259" s="12"/>
      <c r="B1259" s="108"/>
      <c r="C1259" s="106"/>
      <c r="D1259" s="100" t="s">
        <v>60</v>
      </c>
      <c r="E1259" s="17">
        <v>965</v>
      </c>
      <c r="F1259" s="18">
        <v>955</v>
      </c>
      <c r="G1259" s="27"/>
      <c r="H1259" s="1"/>
      <c r="I1259" s="1"/>
      <c r="J1259" s="1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spans="1:27" ht="16" customHeight="1">
      <c r="A1260" s="12"/>
      <c r="B1260" s="109" t="s">
        <v>684</v>
      </c>
      <c r="C1260" s="107" t="s">
        <v>703</v>
      </c>
      <c r="D1260" s="100" t="s">
        <v>18</v>
      </c>
      <c r="E1260" s="17">
        <v>1107</v>
      </c>
      <c r="F1260" s="18">
        <v>720</v>
      </c>
      <c r="G1260" s="27"/>
      <c r="H1260" s="1"/>
      <c r="I1260" s="1"/>
      <c r="J1260" s="1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spans="1:27" ht="16" customHeight="1">
      <c r="A1261" s="12"/>
      <c r="B1261" s="108"/>
      <c r="C1261" s="107" t="s">
        <v>607</v>
      </c>
      <c r="D1261" s="100" t="s">
        <v>121</v>
      </c>
      <c r="E1261" s="17">
        <v>619</v>
      </c>
      <c r="F1261" s="18">
        <v>382</v>
      </c>
      <c r="G1261" s="27"/>
      <c r="H1261" s="1"/>
      <c r="I1261" s="1"/>
      <c r="J1261" s="1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spans="1:27" ht="16" customHeight="1">
      <c r="A1262" s="12"/>
      <c r="B1262" s="108"/>
      <c r="C1262" s="106"/>
      <c r="D1262" s="100" t="s">
        <v>26</v>
      </c>
      <c r="E1262" s="17">
        <v>1009</v>
      </c>
      <c r="F1262" s="18">
        <v>509</v>
      </c>
      <c r="G1262" s="27"/>
      <c r="H1262" s="1"/>
      <c r="I1262" s="1"/>
      <c r="J1262" s="1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spans="1:27" ht="16" customHeight="1">
      <c r="A1263" s="12"/>
      <c r="B1263" s="109" t="s">
        <v>684</v>
      </c>
      <c r="C1263" s="107" t="s">
        <v>704</v>
      </c>
      <c r="D1263" s="100" t="s">
        <v>18</v>
      </c>
      <c r="E1263" s="17">
        <v>1065</v>
      </c>
      <c r="F1263" s="18">
        <v>720</v>
      </c>
      <c r="G1263" s="27"/>
      <c r="H1263" s="1"/>
      <c r="I1263" s="1"/>
      <c r="J1263" s="1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spans="1:27" ht="16" customHeight="1">
      <c r="A1264" s="12"/>
      <c r="B1264" s="109" t="s">
        <v>684</v>
      </c>
      <c r="C1264" s="106"/>
      <c r="D1264" s="100" t="s">
        <v>705</v>
      </c>
      <c r="E1264" s="17">
        <v>1256</v>
      </c>
      <c r="F1264" s="18">
        <v>0</v>
      </c>
      <c r="G1264" s="27"/>
      <c r="H1264" s="1"/>
      <c r="I1264" s="1"/>
      <c r="J1264" s="1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spans="1:27" ht="16" customHeight="1">
      <c r="A1265" s="12"/>
      <c r="B1265" s="109" t="s">
        <v>684</v>
      </c>
      <c r="C1265" s="107" t="s">
        <v>706</v>
      </c>
      <c r="D1265" s="100" t="s">
        <v>18</v>
      </c>
      <c r="E1265" s="17">
        <v>1349</v>
      </c>
      <c r="F1265" s="18">
        <v>720</v>
      </c>
      <c r="G1265" s="27"/>
      <c r="H1265" s="1"/>
      <c r="I1265" s="1"/>
      <c r="J1265" s="1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spans="1:27" ht="16" customHeight="1">
      <c r="A1266" s="12"/>
      <c r="B1266" s="108"/>
      <c r="C1266" s="107" t="s">
        <v>344</v>
      </c>
      <c r="D1266" s="100" t="s">
        <v>14</v>
      </c>
      <c r="E1266" s="17">
        <v>1351</v>
      </c>
      <c r="F1266" s="18">
        <v>509</v>
      </c>
      <c r="G1266" s="27"/>
      <c r="H1266" s="1"/>
      <c r="I1266" s="1"/>
      <c r="J1266" s="1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spans="1:27" ht="18.5" customHeight="1">
      <c r="A1267" s="12"/>
      <c r="B1267" s="108"/>
      <c r="C1267" s="106"/>
      <c r="D1267" s="100" t="s">
        <v>82</v>
      </c>
      <c r="E1267" s="17">
        <v>1350</v>
      </c>
      <c r="F1267" s="18">
        <v>382</v>
      </c>
      <c r="G1267" s="27"/>
      <c r="H1267" s="1"/>
      <c r="I1267" s="1"/>
      <c r="J1267" s="1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spans="1:27" ht="16" customHeight="1">
      <c r="A1268" s="12"/>
      <c r="B1268" s="108"/>
      <c r="C1268" s="106"/>
      <c r="D1268" s="100" t="s">
        <v>26</v>
      </c>
      <c r="E1268" s="17">
        <v>1348</v>
      </c>
      <c r="F1268" s="18">
        <v>764</v>
      </c>
      <c r="G1268" s="27"/>
      <c r="H1268" s="1"/>
      <c r="I1268" s="1"/>
      <c r="J1268" s="1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spans="1:27" ht="16" customHeight="1">
      <c r="A1269" s="12"/>
      <c r="B1269" s="108"/>
      <c r="C1269" s="106"/>
      <c r="D1269" s="100" t="s">
        <v>55</v>
      </c>
      <c r="E1269" s="17">
        <v>1352</v>
      </c>
      <c r="F1269" s="18">
        <v>255</v>
      </c>
      <c r="G1269" s="27"/>
      <c r="H1269" s="1"/>
      <c r="I1269" s="1"/>
      <c r="J1269" s="1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spans="1:27" ht="16" customHeight="1">
      <c r="A1270" s="12"/>
      <c r="B1270" s="108"/>
      <c r="C1270" s="106"/>
      <c r="D1270" s="100" t="s">
        <v>60</v>
      </c>
      <c r="E1270" s="17">
        <v>2326</v>
      </c>
      <c r="F1270" s="18">
        <v>1273</v>
      </c>
      <c r="G1270" s="27"/>
      <c r="H1270" s="1"/>
      <c r="I1270" s="1"/>
      <c r="J1270" s="1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spans="1:27" ht="16" customHeight="1">
      <c r="A1271" s="12"/>
      <c r="B1271" s="108"/>
      <c r="C1271" s="106"/>
      <c r="D1271" s="100" t="s">
        <v>61</v>
      </c>
      <c r="E1271" s="17">
        <v>1915</v>
      </c>
      <c r="F1271" s="18">
        <v>2227</v>
      </c>
      <c r="G1271" s="27"/>
      <c r="H1271" s="1"/>
      <c r="I1271" s="1"/>
      <c r="J1271" s="1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spans="1:27" ht="16" customHeight="1">
      <c r="A1272" s="12"/>
      <c r="B1272" s="108"/>
      <c r="C1272" s="106"/>
      <c r="D1272" s="100" t="s">
        <v>27</v>
      </c>
      <c r="E1272" s="13"/>
      <c r="F1272" s="18">
        <v>1273</v>
      </c>
      <c r="G1272" s="27"/>
      <c r="H1272" s="1"/>
      <c r="I1272" s="1"/>
      <c r="J1272" s="1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spans="1:27" ht="16" customHeight="1">
      <c r="A1273" s="12"/>
      <c r="B1273" s="109" t="s">
        <v>684</v>
      </c>
      <c r="C1273" s="107" t="s">
        <v>707</v>
      </c>
      <c r="D1273" s="100" t="s">
        <v>18</v>
      </c>
      <c r="E1273" s="17">
        <v>1519</v>
      </c>
      <c r="F1273" s="18">
        <v>925</v>
      </c>
      <c r="G1273" s="27"/>
      <c r="H1273" s="1"/>
      <c r="I1273" s="1"/>
      <c r="J1273" s="1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spans="1:27" ht="16" customHeight="1">
      <c r="A1274" s="12"/>
      <c r="B1274" s="109" t="s">
        <v>684</v>
      </c>
      <c r="C1274" s="107" t="s">
        <v>708</v>
      </c>
      <c r="D1274" s="100" t="s">
        <v>18</v>
      </c>
      <c r="E1274" s="17">
        <v>1353</v>
      </c>
      <c r="F1274" s="18">
        <v>720</v>
      </c>
      <c r="G1274" s="27"/>
      <c r="H1274" s="1"/>
      <c r="I1274" s="1"/>
      <c r="J1274" s="1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spans="1:27" ht="16" customHeight="1">
      <c r="A1275" s="12"/>
      <c r="B1275" s="108"/>
      <c r="C1275" s="106"/>
      <c r="D1275" s="100" t="s">
        <v>14</v>
      </c>
      <c r="E1275" s="17">
        <v>1355</v>
      </c>
      <c r="F1275" s="18">
        <v>509</v>
      </c>
      <c r="G1275" s="27"/>
      <c r="H1275" s="1"/>
      <c r="I1275" s="1"/>
      <c r="J1275" s="1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spans="1:27" ht="16" customHeight="1">
      <c r="A1276" s="12"/>
      <c r="B1276" s="108"/>
      <c r="C1276" s="106"/>
      <c r="D1276" s="100" t="s">
        <v>82</v>
      </c>
      <c r="E1276" s="17">
        <v>1354</v>
      </c>
      <c r="F1276" s="18">
        <v>382</v>
      </c>
      <c r="G1276" s="27"/>
      <c r="H1276" s="1"/>
      <c r="I1276" s="1"/>
      <c r="J1276" s="1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spans="1:27" ht="16" customHeight="1">
      <c r="A1277" s="12"/>
      <c r="B1277" s="108"/>
      <c r="C1277" s="106"/>
      <c r="D1277" s="100" t="s">
        <v>554</v>
      </c>
      <c r="E1277" s="17">
        <v>1357</v>
      </c>
      <c r="F1277" s="18">
        <v>764</v>
      </c>
      <c r="G1277" s="27"/>
      <c r="H1277" s="1"/>
      <c r="I1277" s="1"/>
      <c r="J1277" s="1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spans="1:27" ht="30" customHeight="1">
      <c r="A1278" s="12"/>
      <c r="B1278" s="108"/>
      <c r="C1278" s="106"/>
      <c r="D1278" s="100" t="s">
        <v>709</v>
      </c>
      <c r="E1278" s="17">
        <v>1356</v>
      </c>
      <c r="F1278" s="18">
        <v>255</v>
      </c>
      <c r="G1278" s="27"/>
      <c r="H1278" s="1"/>
      <c r="I1278" s="1"/>
      <c r="J1278" s="1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spans="1:27" ht="16" customHeight="1">
      <c r="A1279" s="12"/>
      <c r="B1279" s="108"/>
      <c r="C1279" s="106"/>
      <c r="D1279" s="100" t="s">
        <v>60</v>
      </c>
      <c r="E1279" s="17">
        <v>1358</v>
      </c>
      <c r="F1279" s="18">
        <v>955</v>
      </c>
      <c r="G1279" s="27"/>
      <c r="H1279" s="1"/>
      <c r="I1279" s="1"/>
      <c r="J1279" s="1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spans="1:27" ht="30" customHeight="1">
      <c r="A1280" s="12"/>
      <c r="B1280" s="108"/>
      <c r="C1280" s="106"/>
      <c r="D1280" s="100" t="s">
        <v>29</v>
      </c>
      <c r="E1280" s="17">
        <v>1359</v>
      </c>
      <c r="F1280" s="18">
        <v>764</v>
      </c>
      <c r="G1280" s="27"/>
      <c r="H1280" s="1"/>
      <c r="I1280" s="1"/>
      <c r="J1280" s="1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spans="1:27" ht="30" customHeight="1">
      <c r="A1281" s="12"/>
      <c r="B1281" s="109" t="s">
        <v>684</v>
      </c>
      <c r="C1281" s="107" t="s">
        <v>657</v>
      </c>
      <c r="D1281" s="100" t="s">
        <v>60</v>
      </c>
      <c r="E1281" s="17">
        <v>1347</v>
      </c>
      <c r="F1281" s="18">
        <v>955</v>
      </c>
      <c r="G1281" s="27"/>
      <c r="H1281" s="1"/>
      <c r="I1281" s="1"/>
      <c r="J1281" s="1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spans="1:27" ht="16" customHeight="1">
      <c r="A1282" s="12"/>
      <c r="B1282" s="109" t="s">
        <v>684</v>
      </c>
      <c r="C1282" s="107" t="s">
        <v>710</v>
      </c>
      <c r="D1282" s="100" t="s">
        <v>711</v>
      </c>
      <c r="E1282" s="17">
        <v>1346</v>
      </c>
      <c r="F1282" s="18">
        <v>1145</v>
      </c>
      <c r="G1282" s="27"/>
      <c r="H1282" s="1"/>
      <c r="I1282" s="1"/>
      <c r="J1282" s="1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spans="1:27" ht="16" customHeight="1">
      <c r="A1283" s="12"/>
      <c r="B1283" s="108"/>
      <c r="C1283" s="106"/>
      <c r="D1283" s="100" t="s">
        <v>18</v>
      </c>
      <c r="E1283" s="17">
        <v>2200</v>
      </c>
      <c r="F1283" s="18">
        <v>764</v>
      </c>
      <c r="G1283" s="27"/>
      <c r="H1283" s="1"/>
      <c r="I1283" s="1"/>
      <c r="J1283" s="1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spans="1:27" ht="16" customHeight="1">
      <c r="A1284" s="12"/>
      <c r="B1284" s="108"/>
      <c r="C1284" s="106"/>
      <c r="D1284" s="100" t="s">
        <v>20</v>
      </c>
      <c r="E1284" s="17">
        <v>2201</v>
      </c>
      <c r="F1284" s="18">
        <v>720</v>
      </c>
      <c r="G1284" s="27"/>
      <c r="H1284" s="1"/>
      <c r="I1284" s="1"/>
      <c r="J1284" s="1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spans="1:27" ht="16" customHeight="1">
      <c r="A1285" s="12"/>
      <c r="B1285" s="108"/>
      <c r="C1285" s="106"/>
      <c r="D1285" s="100" t="s">
        <v>14</v>
      </c>
      <c r="E1285" s="17">
        <v>2202</v>
      </c>
      <c r="F1285" s="18">
        <v>1145</v>
      </c>
      <c r="G1285" s="27"/>
      <c r="H1285" s="1"/>
      <c r="I1285" s="1"/>
      <c r="J1285" s="1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spans="1:27" ht="16" customHeight="1">
      <c r="A1286" s="12"/>
      <c r="B1286" s="108"/>
      <c r="C1286" s="106"/>
      <c r="D1286" s="100" t="s">
        <v>60</v>
      </c>
      <c r="E1286" s="17">
        <v>2203</v>
      </c>
      <c r="F1286" s="18">
        <v>1273</v>
      </c>
      <c r="G1286" s="27"/>
      <c r="H1286" s="1"/>
      <c r="I1286" s="1"/>
      <c r="J1286" s="1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spans="1:27" ht="16" customHeight="1">
      <c r="A1287" s="12"/>
      <c r="B1287" s="108"/>
      <c r="C1287" s="106"/>
      <c r="D1287" s="100" t="s">
        <v>61</v>
      </c>
      <c r="E1287" s="17">
        <v>2204</v>
      </c>
      <c r="F1287" s="18">
        <v>1591</v>
      </c>
      <c r="G1287" s="27"/>
      <c r="H1287" s="1"/>
      <c r="I1287" s="1"/>
      <c r="J1287" s="1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spans="1:27" ht="16" customHeight="1">
      <c r="A1288" s="12"/>
      <c r="B1288" s="108"/>
      <c r="C1288" s="106"/>
      <c r="D1288" s="100" t="s">
        <v>712</v>
      </c>
      <c r="E1288" s="17">
        <v>2205</v>
      </c>
      <c r="F1288" s="18">
        <v>318</v>
      </c>
      <c r="G1288" s="27"/>
      <c r="H1288" s="1"/>
      <c r="I1288" s="1"/>
      <c r="J1288" s="1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spans="1:27" ht="16" customHeight="1">
      <c r="A1289" s="12"/>
      <c r="B1289" s="109" t="s">
        <v>684</v>
      </c>
      <c r="C1289" s="107" t="s">
        <v>713</v>
      </c>
      <c r="D1289" s="100" t="s">
        <v>18</v>
      </c>
      <c r="E1289" s="17">
        <v>3174</v>
      </c>
      <c r="F1289" s="18">
        <v>720</v>
      </c>
      <c r="G1289" s="27"/>
      <c r="H1289" s="1"/>
      <c r="I1289" s="1"/>
      <c r="J1289" s="1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spans="1:27" ht="16" customHeight="1">
      <c r="A1290" s="12"/>
      <c r="B1290" s="108"/>
      <c r="C1290" s="106"/>
      <c r="D1290" s="100" t="s">
        <v>554</v>
      </c>
      <c r="E1290" s="17">
        <v>3175</v>
      </c>
      <c r="F1290" s="18">
        <v>573</v>
      </c>
      <c r="G1290" s="27"/>
      <c r="H1290" s="1"/>
      <c r="I1290" s="1"/>
      <c r="J1290" s="1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spans="1:27" ht="16" customHeight="1">
      <c r="A1291" s="12"/>
      <c r="B1291" s="108"/>
      <c r="C1291" s="106"/>
      <c r="D1291" s="100" t="s">
        <v>20</v>
      </c>
      <c r="E1291" s="17">
        <v>3176</v>
      </c>
      <c r="F1291" s="18">
        <v>720</v>
      </c>
      <c r="G1291" s="27"/>
      <c r="H1291" s="1"/>
      <c r="I1291" s="1"/>
      <c r="J1291" s="1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spans="1:27" ht="16" customHeight="1">
      <c r="A1292" s="12"/>
      <c r="B1292" s="108"/>
      <c r="C1292" s="106"/>
      <c r="D1292" s="100" t="s">
        <v>14</v>
      </c>
      <c r="E1292" s="17">
        <v>3177</v>
      </c>
      <c r="F1292" s="18">
        <v>509</v>
      </c>
      <c r="G1292" s="27"/>
      <c r="H1292" s="1"/>
      <c r="I1292" s="1"/>
      <c r="J1292" s="1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spans="1:27" ht="16" customHeight="1">
      <c r="A1293" s="12"/>
      <c r="B1293" s="108"/>
      <c r="C1293" s="106"/>
      <c r="D1293" s="100" t="s">
        <v>714</v>
      </c>
      <c r="E1293" s="17">
        <v>3178</v>
      </c>
      <c r="F1293" s="18">
        <v>382</v>
      </c>
      <c r="G1293" s="27"/>
      <c r="H1293" s="1"/>
      <c r="I1293" s="1"/>
      <c r="J1293" s="1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spans="1:27" ht="16" customHeight="1">
      <c r="A1294" s="12"/>
      <c r="B1294" s="108"/>
      <c r="C1294" s="106"/>
      <c r="D1294" s="100" t="s">
        <v>714</v>
      </c>
      <c r="E1294" s="17" t="s">
        <v>715</v>
      </c>
      <c r="F1294" s="18">
        <v>764</v>
      </c>
      <c r="G1294" s="27"/>
      <c r="H1294" s="1"/>
      <c r="I1294" s="1"/>
      <c r="J1294" s="1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spans="1:27" ht="16" customHeight="1">
      <c r="A1295" s="12"/>
      <c r="B1295" s="108"/>
      <c r="C1295" s="106"/>
      <c r="D1295" s="100" t="s">
        <v>60</v>
      </c>
      <c r="E1295" s="17">
        <v>3180</v>
      </c>
      <c r="F1295" s="18">
        <v>955</v>
      </c>
      <c r="G1295" s="27"/>
      <c r="H1295" s="1"/>
      <c r="I1295" s="1"/>
      <c r="J1295" s="1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spans="1:27" ht="16" customHeight="1">
      <c r="A1296" s="12"/>
      <c r="B1296" s="108"/>
      <c r="C1296" s="106"/>
      <c r="D1296" s="100" t="s">
        <v>61</v>
      </c>
      <c r="E1296" s="17">
        <v>3181</v>
      </c>
      <c r="F1296" s="18">
        <v>955</v>
      </c>
      <c r="G1296" s="27"/>
      <c r="H1296" s="1"/>
      <c r="I1296" s="1"/>
      <c r="J1296" s="1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spans="1:27" ht="16" customHeight="1">
      <c r="A1297" s="12"/>
      <c r="B1297" s="108"/>
      <c r="C1297" s="106"/>
      <c r="D1297" s="100" t="s">
        <v>709</v>
      </c>
      <c r="E1297" s="17">
        <v>3182</v>
      </c>
      <c r="F1297" s="18">
        <v>255</v>
      </c>
      <c r="G1297" s="27"/>
      <c r="H1297" s="1"/>
      <c r="I1297" s="1"/>
      <c r="J1297" s="1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spans="1:27" ht="16" customHeight="1">
      <c r="A1298" s="12"/>
      <c r="B1298" s="108"/>
      <c r="C1298" s="106"/>
      <c r="D1298" s="100" t="s">
        <v>716</v>
      </c>
      <c r="E1298" s="17" t="s">
        <v>717</v>
      </c>
      <c r="F1298" s="18">
        <v>955</v>
      </c>
      <c r="G1298" s="27"/>
      <c r="H1298" s="1"/>
      <c r="I1298" s="1"/>
      <c r="J1298" s="1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spans="1:27" ht="16" customHeight="1">
      <c r="A1299" s="12"/>
      <c r="B1299" s="108"/>
      <c r="C1299" s="106"/>
      <c r="D1299" s="100" t="s">
        <v>27</v>
      </c>
      <c r="E1299" s="17" t="s">
        <v>718</v>
      </c>
      <c r="F1299" s="18">
        <v>764</v>
      </c>
      <c r="G1299" s="27"/>
      <c r="H1299" s="1"/>
      <c r="I1299" s="1"/>
      <c r="J1299" s="1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spans="1:27" ht="16" customHeight="1">
      <c r="A1300" s="12"/>
      <c r="B1300" s="108"/>
      <c r="C1300" s="106"/>
      <c r="D1300" s="100" t="s">
        <v>200</v>
      </c>
      <c r="E1300" s="17">
        <v>3187</v>
      </c>
      <c r="F1300" s="18">
        <v>764</v>
      </c>
      <c r="G1300" s="27"/>
      <c r="H1300" s="1"/>
      <c r="I1300" s="1"/>
      <c r="J1300" s="1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spans="1:27" ht="16" customHeight="1">
      <c r="A1301" s="12"/>
      <c r="B1301" s="108"/>
      <c r="C1301" s="106"/>
      <c r="D1301" s="100" t="s">
        <v>378</v>
      </c>
      <c r="E1301" s="17">
        <v>3188</v>
      </c>
      <c r="F1301" s="18">
        <v>764</v>
      </c>
      <c r="G1301" s="27"/>
      <c r="H1301" s="1"/>
      <c r="I1301" s="1"/>
      <c r="J1301" s="1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spans="1:27" ht="16" customHeight="1">
      <c r="A1302" s="12"/>
      <c r="B1302" s="108"/>
      <c r="C1302" s="106"/>
      <c r="D1302" s="100" t="s">
        <v>624</v>
      </c>
      <c r="E1302" s="17">
        <v>3189</v>
      </c>
      <c r="F1302" s="18">
        <v>764</v>
      </c>
      <c r="G1302" s="27"/>
      <c r="H1302" s="1"/>
      <c r="I1302" s="1"/>
      <c r="J1302" s="1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spans="1:27" ht="16" customHeight="1">
      <c r="A1303" s="12"/>
      <c r="B1303" s="109" t="s">
        <v>719</v>
      </c>
      <c r="C1303" s="107" t="s">
        <v>720</v>
      </c>
      <c r="D1303" s="100" t="s">
        <v>554</v>
      </c>
      <c r="E1303" s="17">
        <v>3212</v>
      </c>
      <c r="F1303" s="18">
        <v>955</v>
      </c>
      <c r="G1303" s="27"/>
      <c r="H1303" s="1"/>
      <c r="I1303" s="1"/>
      <c r="J1303" s="1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spans="1:27" ht="16" customHeight="1">
      <c r="A1304" s="12"/>
      <c r="B1304" s="109" t="s">
        <v>719</v>
      </c>
      <c r="C1304" s="107" t="s">
        <v>721</v>
      </c>
      <c r="D1304" s="100" t="s">
        <v>60</v>
      </c>
      <c r="E1304" s="17">
        <v>3234</v>
      </c>
      <c r="F1304" s="18">
        <v>955</v>
      </c>
      <c r="G1304" s="27"/>
      <c r="H1304" s="1"/>
      <c r="I1304" s="1"/>
      <c r="J1304" s="1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spans="1:27" ht="16" customHeight="1">
      <c r="A1305" s="12"/>
      <c r="B1305" s="108"/>
      <c r="C1305" s="107" t="s">
        <v>111</v>
      </c>
      <c r="D1305" s="100" t="s">
        <v>61</v>
      </c>
      <c r="E1305" s="17">
        <v>3235</v>
      </c>
      <c r="F1305" s="18">
        <v>955</v>
      </c>
      <c r="G1305" s="27"/>
      <c r="H1305" s="1"/>
      <c r="I1305" s="1"/>
      <c r="J1305" s="1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spans="1:27" ht="16" customHeight="1">
      <c r="A1306" s="12"/>
      <c r="B1306" s="108"/>
      <c r="C1306" s="106"/>
      <c r="D1306" s="100" t="s">
        <v>722</v>
      </c>
      <c r="E1306" s="17">
        <v>3236</v>
      </c>
      <c r="F1306" s="18">
        <v>825</v>
      </c>
      <c r="G1306" s="27"/>
      <c r="H1306" s="1"/>
      <c r="I1306" s="1"/>
      <c r="J1306" s="1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spans="1:27" ht="16" customHeight="1">
      <c r="A1307" s="12"/>
      <c r="B1307" s="108"/>
      <c r="C1307" s="106"/>
      <c r="D1307" s="100" t="s">
        <v>610</v>
      </c>
      <c r="E1307" s="17"/>
      <c r="F1307" s="19">
        <v>760</v>
      </c>
      <c r="G1307" s="27"/>
      <c r="H1307" s="1"/>
      <c r="I1307" s="1"/>
      <c r="J1307" s="1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spans="1:27" ht="16" customHeight="1">
      <c r="A1308" s="12"/>
      <c r="B1308" s="109" t="s">
        <v>723</v>
      </c>
      <c r="C1308" s="107" t="s">
        <v>724</v>
      </c>
      <c r="D1308" s="100" t="s">
        <v>12</v>
      </c>
      <c r="E1308" s="17">
        <v>1922</v>
      </c>
      <c r="F1308" s="18">
        <v>286</v>
      </c>
      <c r="G1308" s="27"/>
      <c r="H1308" s="1"/>
      <c r="I1308" s="1"/>
      <c r="J1308" s="1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spans="1:27" ht="16" customHeight="1">
      <c r="A1309" s="12"/>
      <c r="B1309" s="108"/>
      <c r="C1309" s="106"/>
      <c r="D1309" s="100" t="s">
        <v>29</v>
      </c>
      <c r="E1309" s="17">
        <v>1924</v>
      </c>
      <c r="F1309" s="18">
        <v>286</v>
      </c>
      <c r="G1309" s="27"/>
      <c r="H1309" s="1"/>
      <c r="I1309" s="1"/>
      <c r="J1309" s="1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spans="1:27" ht="16" customHeight="1">
      <c r="A1310" s="12"/>
      <c r="B1310" s="108"/>
      <c r="C1310" s="106"/>
      <c r="D1310" s="100" t="s">
        <v>14</v>
      </c>
      <c r="E1310" s="17">
        <v>1923</v>
      </c>
      <c r="F1310" s="18">
        <v>445</v>
      </c>
      <c r="G1310" s="27"/>
      <c r="H1310" s="1"/>
      <c r="I1310" s="1"/>
      <c r="J1310" s="1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spans="1:27" ht="16" customHeight="1">
      <c r="A1311" s="12"/>
      <c r="B1311" s="109" t="s">
        <v>723</v>
      </c>
      <c r="C1311" s="107" t="s">
        <v>725</v>
      </c>
      <c r="D1311" s="100" t="s">
        <v>18</v>
      </c>
      <c r="E1311" s="17">
        <v>2012</v>
      </c>
      <c r="F1311" s="18">
        <v>764</v>
      </c>
      <c r="G1311" s="27"/>
      <c r="H1311" s="1"/>
      <c r="I1311" s="1"/>
      <c r="J1311" s="1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spans="1:27" ht="16" customHeight="1">
      <c r="A1312" s="12"/>
      <c r="B1312" s="108"/>
      <c r="C1312" s="106"/>
      <c r="D1312" s="100" t="s">
        <v>94</v>
      </c>
      <c r="E1312" s="17">
        <v>2013</v>
      </c>
      <c r="F1312" s="18">
        <v>573</v>
      </c>
      <c r="G1312" s="27"/>
      <c r="H1312" s="1"/>
      <c r="I1312" s="1"/>
      <c r="J1312" s="1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spans="1:27" ht="16" customHeight="1">
      <c r="A1313" s="12"/>
      <c r="B1313" s="108"/>
      <c r="C1313" s="106"/>
      <c r="D1313" s="100" t="s">
        <v>14</v>
      </c>
      <c r="E1313" s="17">
        <v>2018</v>
      </c>
      <c r="F1313" s="18">
        <v>1145</v>
      </c>
      <c r="G1313" s="27"/>
      <c r="H1313" s="1"/>
      <c r="I1313" s="1"/>
      <c r="J1313" s="1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spans="1:27" ht="16" customHeight="1">
      <c r="A1314" s="12"/>
      <c r="B1314" s="108"/>
      <c r="C1314" s="106"/>
      <c r="D1314" s="100" t="s">
        <v>60</v>
      </c>
      <c r="E1314" s="17">
        <v>2014</v>
      </c>
      <c r="F1314" s="18">
        <v>1273</v>
      </c>
      <c r="G1314" s="27"/>
      <c r="H1314" s="1"/>
      <c r="I1314" s="1"/>
      <c r="J1314" s="1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spans="1:27" ht="16" customHeight="1">
      <c r="A1315" s="12"/>
      <c r="B1315" s="108"/>
      <c r="C1315" s="106"/>
      <c r="D1315" s="100" t="s">
        <v>60</v>
      </c>
      <c r="E1315" s="17">
        <v>2015</v>
      </c>
      <c r="F1315" s="18">
        <v>318</v>
      </c>
      <c r="G1315" s="27"/>
      <c r="H1315" s="1"/>
      <c r="I1315" s="1"/>
      <c r="J1315" s="1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spans="1:27" ht="16" customHeight="1">
      <c r="A1316" s="12"/>
      <c r="B1316" s="108"/>
      <c r="C1316" s="106"/>
      <c r="D1316" s="100" t="s">
        <v>61</v>
      </c>
      <c r="E1316" s="17">
        <v>2016</v>
      </c>
      <c r="F1316" s="18">
        <v>1591</v>
      </c>
      <c r="G1316" s="27"/>
      <c r="H1316" s="1"/>
      <c r="I1316" s="1"/>
      <c r="J1316" s="1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spans="1:27" ht="16" customHeight="1">
      <c r="A1317" s="12"/>
      <c r="B1317" s="108"/>
      <c r="C1317" s="106"/>
      <c r="D1317" s="100" t="s">
        <v>61</v>
      </c>
      <c r="E1317" s="17">
        <v>2017</v>
      </c>
      <c r="F1317" s="18">
        <v>318</v>
      </c>
      <c r="G1317" s="27"/>
      <c r="H1317" s="1"/>
      <c r="I1317" s="1"/>
      <c r="J1317" s="1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spans="1:27" ht="16" customHeight="1">
      <c r="A1318" s="12"/>
      <c r="B1318" s="109" t="s">
        <v>723</v>
      </c>
      <c r="C1318" s="107" t="s">
        <v>726</v>
      </c>
      <c r="D1318" s="100" t="s">
        <v>18</v>
      </c>
      <c r="E1318" s="17">
        <v>3270</v>
      </c>
      <c r="F1318" s="18">
        <v>955</v>
      </c>
      <c r="G1318" s="27"/>
      <c r="H1318" s="1"/>
      <c r="I1318" s="1"/>
      <c r="J1318" s="1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spans="1:27" ht="16" customHeight="1">
      <c r="A1319" s="12"/>
      <c r="B1319" s="108"/>
      <c r="C1319" s="106"/>
      <c r="D1319" s="100" t="s">
        <v>26</v>
      </c>
      <c r="E1319" s="17">
        <v>3271</v>
      </c>
      <c r="F1319" s="18">
        <v>764</v>
      </c>
      <c r="G1319" s="27"/>
      <c r="H1319" s="1"/>
      <c r="I1319" s="1"/>
      <c r="J1319" s="1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spans="1:27" ht="16" customHeight="1">
      <c r="A1320" s="12"/>
      <c r="B1320" s="108"/>
      <c r="C1320" s="106"/>
      <c r="D1320" s="100" t="s">
        <v>14</v>
      </c>
      <c r="E1320" s="17">
        <v>3272</v>
      </c>
      <c r="F1320" s="18">
        <v>573</v>
      </c>
      <c r="G1320" s="27"/>
      <c r="H1320" s="1"/>
      <c r="I1320" s="1"/>
      <c r="J1320" s="1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spans="1:27" ht="16" customHeight="1">
      <c r="A1321" s="12"/>
      <c r="B1321" s="108"/>
      <c r="C1321" s="106"/>
      <c r="D1321" s="100" t="s">
        <v>29</v>
      </c>
      <c r="E1321" s="17">
        <v>3273</v>
      </c>
      <c r="F1321" s="18">
        <v>764</v>
      </c>
      <c r="G1321" s="27"/>
      <c r="H1321" s="1"/>
      <c r="I1321" s="1"/>
      <c r="J1321" s="1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spans="1:27" ht="16" customHeight="1">
      <c r="A1322" s="12"/>
      <c r="B1322" s="108"/>
      <c r="C1322" s="106"/>
      <c r="D1322" s="100" t="s">
        <v>60</v>
      </c>
      <c r="E1322" s="17">
        <v>3274</v>
      </c>
      <c r="F1322" s="18">
        <v>955</v>
      </c>
      <c r="G1322" s="27"/>
      <c r="H1322" s="1"/>
      <c r="I1322" s="1"/>
      <c r="J1322" s="1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spans="1:27" ht="16" customHeight="1">
      <c r="A1323" s="12"/>
      <c r="B1323" s="108"/>
      <c r="C1323" s="106"/>
      <c r="D1323" s="100" t="s">
        <v>61</v>
      </c>
      <c r="E1323" s="17">
        <v>3275</v>
      </c>
      <c r="F1323" s="18">
        <v>955</v>
      </c>
      <c r="G1323" s="27"/>
      <c r="H1323" s="1"/>
      <c r="I1323" s="1"/>
      <c r="J1323" s="1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spans="1:27" ht="16" customHeight="1">
      <c r="A1324" s="12"/>
      <c r="B1324" s="108"/>
      <c r="C1324" s="106"/>
      <c r="D1324" s="100" t="s">
        <v>94</v>
      </c>
      <c r="E1324" s="17">
        <v>3276</v>
      </c>
      <c r="F1324" s="18">
        <v>573</v>
      </c>
      <c r="G1324" s="27"/>
      <c r="H1324" s="1"/>
      <c r="I1324" s="1"/>
      <c r="J1324" s="1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spans="1:27" ht="16" customHeight="1">
      <c r="A1325" s="12"/>
      <c r="B1325" s="108"/>
      <c r="C1325" s="106"/>
      <c r="D1325" s="100" t="s">
        <v>200</v>
      </c>
      <c r="E1325" s="17">
        <v>3277</v>
      </c>
      <c r="F1325" s="18">
        <v>1591</v>
      </c>
      <c r="G1325" s="27"/>
      <c r="H1325" s="1"/>
      <c r="I1325" s="1"/>
      <c r="J1325" s="1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spans="1:27" ht="16" customHeight="1">
      <c r="A1326" s="12"/>
      <c r="B1326" s="108"/>
      <c r="C1326" s="106"/>
      <c r="D1326" s="100" t="s">
        <v>727</v>
      </c>
      <c r="E1326" s="17">
        <v>3285</v>
      </c>
      <c r="F1326" s="18">
        <v>509</v>
      </c>
      <c r="G1326" s="27"/>
      <c r="H1326" s="1"/>
      <c r="I1326" s="1"/>
      <c r="J1326" s="1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spans="1:27" ht="16" customHeight="1">
      <c r="A1327" s="12"/>
      <c r="B1327" s="108"/>
      <c r="C1327" s="106"/>
      <c r="D1327" s="100" t="s">
        <v>728</v>
      </c>
      <c r="E1327" s="17">
        <v>3278</v>
      </c>
      <c r="F1327" s="18">
        <v>318</v>
      </c>
      <c r="G1327" s="27"/>
      <c r="H1327" s="1"/>
      <c r="I1327" s="1"/>
      <c r="J1327" s="1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spans="1:27" ht="16" customHeight="1">
      <c r="A1328" s="12"/>
      <c r="B1328" s="108"/>
      <c r="C1328" s="106"/>
      <c r="D1328" s="100" t="s">
        <v>729</v>
      </c>
      <c r="E1328" s="17">
        <v>3280</v>
      </c>
      <c r="F1328" s="18">
        <v>255</v>
      </c>
      <c r="G1328" s="27"/>
      <c r="H1328" s="1"/>
      <c r="I1328" s="1"/>
      <c r="J1328" s="1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spans="1:27" ht="16" customHeight="1">
      <c r="A1329" s="12"/>
      <c r="B1329" s="108"/>
      <c r="C1329" s="106"/>
      <c r="D1329" s="100" t="s">
        <v>730</v>
      </c>
      <c r="E1329" s="17">
        <v>3281</v>
      </c>
      <c r="F1329" s="18">
        <v>255</v>
      </c>
      <c r="G1329" s="27"/>
      <c r="H1329" s="1"/>
      <c r="I1329" s="1"/>
      <c r="J1329" s="1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spans="1:27" ht="16" customHeight="1">
      <c r="A1330" s="12"/>
      <c r="B1330" s="108"/>
      <c r="C1330" s="106"/>
      <c r="D1330" s="100" t="s">
        <v>731</v>
      </c>
      <c r="E1330" s="17">
        <v>3282</v>
      </c>
      <c r="F1330" s="18">
        <v>255</v>
      </c>
      <c r="G1330" s="27"/>
      <c r="H1330" s="1"/>
      <c r="I1330" s="1"/>
      <c r="J1330" s="1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spans="1:27" ht="16" customHeight="1">
      <c r="A1331" s="12"/>
      <c r="B1331" s="108"/>
      <c r="C1331" s="106"/>
      <c r="D1331" s="100" t="s">
        <v>732</v>
      </c>
      <c r="E1331" s="17">
        <v>3283</v>
      </c>
      <c r="F1331" s="18">
        <v>191</v>
      </c>
      <c r="G1331" s="27"/>
      <c r="H1331" s="1"/>
      <c r="I1331" s="1"/>
      <c r="J1331" s="1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spans="1:27" ht="16" customHeight="1">
      <c r="A1332" s="12"/>
      <c r="B1332" s="108"/>
      <c r="C1332" s="106"/>
      <c r="D1332" s="100" t="s">
        <v>733</v>
      </c>
      <c r="E1332" s="17">
        <v>3284</v>
      </c>
      <c r="F1332" s="18">
        <v>318</v>
      </c>
      <c r="G1332" s="27"/>
      <c r="H1332" s="1"/>
      <c r="I1332" s="1"/>
      <c r="J1332" s="1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spans="1:27" ht="16" customHeight="1">
      <c r="A1333" s="12"/>
      <c r="B1333" s="108" t="s">
        <v>723</v>
      </c>
      <c r="C1333" s="106" t="s">
        <v>734</v>
      </c>
      <c r="D1333" s="100"/>
      <c r="E1333" s="17"/>
      <c r="F1333" s="18"/>
      <c r="G1333" s="27"/>
      <c r="H1333" s="1"/>
      <c r="I1333" s="1"/>
      <c r="J1333" s="1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spans="1:27" ht="16" customHeight="1">
      <c r="A1334" s="12"/>
      <c r="B1334" s="108"/>
      <c r="C1334" s="106"/>
      <c r="D1334" s="100" t="s">
        <v>735</v>
      </c>
      <c r="E1334" s="17">
        <v>3350</v>
      </c>
      <c r="F1334" s="18">
        <v>1273</v>
      </c>
      <c r="G1334" s="27"/>
      <c r="H1334" s="1"/>
      <c r="I1334" s="1"/>
      <c r="J1334" s="1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spans="1:27" ht="16" customHeight="1">
      <c r="A1335" s="12"/>
      <c r="B1335" s="108"/>
      <c r="C1335" s="106"/>
      <c r="D1335" s="100" t="s">
        <v>736</v>
      </c>
      <c r="E1335" s="17">
        <v>3351</v>
      </c>
      <c r="F1335" s="18">
        <v>1273</v>
      </c>
      <c r="G1335" s="27"/>
      <c r="H1335" s="1"/>
      <c r="I1335" s="1"/>
      <c r="J1335" s="1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spans="1:27" ht="16" customHeight="1">
      <c r="A1336" s="12"/>
      <c r="B1336" s="108"/>
      <c r="C1336" s="106"/>
      <c r="D1336" s="100" t="s">
        <v>14</v>
      </c>
      <c r="E1336" s="17">
        <v>3352</v>
      </c>
      <c r="F1336" s="18">
        <v>955</v>
      </c>
      <c r="G1336" s="27"/>
      <c r="H1336" s="1"/>
      <c r="I1336" s="1"/>
      <c r="J1336" s="1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spans="1:27" ht="16" customHeight="1">
      <c r="A1337" s="12"/>
      <c r="B1337" s="108"/>
      <c r="C1337" s="106"/>
      <c r="D1337" s="100" t="s">
        <v>737</v>
      </c>
      <c r="E1337" s="17">
        <v>3353</v>
      </c>
      <c r="F1337" s="18">
        <v>1591</v>
      </c>
      <c r="G1337" s="27"/>
      <c r="H1337" s="1"/>
      <c r="I1337" s="1"/>
      <c r="J1337" s="1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spans="1:27" ht="16" customHeight="1">
      <c r="A1338" s="12"/>
      <c r="B1338" s="108"/>
      <c r="C1338" s="106"/>
      <c r="D1338" s="100" t="s">
        <v>738</v>
      </c>
      <c r="E1338" s="17">
        <v>3354</v>
      </c>
      <c r="F1338" s="18">
        <v>1591</v>
      </c>
      <c r="G1338" s="27"/>
      <c r="H1338" s="1"/>
      <c r="I1338" s="1"/>
      <c r="J1338" s="1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spans="1:27" ht="16" customHeight="1">
      <c r="A1339" s="12"/>
      <c r="B1339" s="108"/>
      <c r="C1339" s="106"/>
      <c r="D1339" s="100" t="s">
        <v>739</v>
      </c>
      <c r="E1339" s="17">
        <v>3355</v>
      </c>
      <c r="F1339" s="18">
        <v>286</v>
      </c>
      <c r="G1339" s="27"/>
      <c r="H1339" s="1"/>
      <c r="I1339" s="1"/>
      <c r="J1339" s="1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spans="1:27" ht="16" customHeight="1">
      <c r="A1340" s="12"/>
      <c r="B1340" s="108"/>
      <c r="C1340" s="106"/>
      <c r="D1340" s="100" t="s">
        <v>27</v>
      </c>
      <c r="E1340" s="17">
        <v>3356</v>
      </c>
      <c r="F1340" s="18">
        <v>509</v>
      </c>
      <c r="G1340" s="27"/>
      <c r="H1340" s="1"/>
      <c r="I1340" s="1"/>
      <c r="J1340" s="1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spans="1:27" ht="16" customHeight="1">
      <c r="A1341" s="12"/>
      <c r="B1341" s="108"/>
      <c r="C1341" s="106"/>
      <c r="D1341" s="100" t="s">
        <v>20</v>
      </c>
      <c r="E1341" s="17">
        <v>3357</v>
      </c>
      <c r="F1341" s="18">
        <v>955</v>
      </c>
      <c r="G1341" s="27"/>
      <c r="H1341" s="1"/>
      <c r="I1341" s="1"/>
      <c r="J1341" s="1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spans="1:27" ht="16" customHeight="1">
      <c r="A1342" s="12"/>
      <c r="B1342" s="108"/>
      <c r="C1342" s="106"/>
      <c r="D1342" s="100" t="s">
        <v>740</v>
      </c>
      <c r="E1342" s="13">
        <v>3358</v>
      </c>
      <c r="F1342" s="18">
        <v>382</v>
      </c>
      <c r="G1342" s="27"/>
      <c r="H1342" s="1"/>
      <c r="I1342" s="1"/>
      <c r="J1342" s="1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spans="1:27" ht="16" customHeight="1">
      <c r="A1343" s="12"/>
      <c r="B1343" s="108"/>
      <c r="C1343" s="106"/>
      <c r="D1343" s="100"/>
      <c r="E1343" s="17"/>
      <c r="F1343" s="18"/>
      <c r="G1343" s="27"/>
      <c r="H1343" s="1"/>
      <c r="I1343" s="1"/>
      <c r="J1343" s="1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spans="1:27" ht="16" customHeight="1">
      <c r="A1344" s="12"/>
      <c r="B1344" s="108" t="s">
        <v>723</v>
      </c>
      <c r="C1344" s="106" t="s">
        <v>365</v>
      </c>
      <c r="D1344" s="100"/>
      <c r="E1344" s="17"/>
      <c r="F1344" s="18"/>
      <c r="G1344" s="27"/>
      <c r="H1344" s="1"/>
      <c r="I1344" s="1"/>
      <c r="J1344" s="1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spans="1:27" ht="16" customHeight="1">
      <c r="A1345" s="12"/>
      <c r="B1345" s="108"/>
      <c r="C1345" s="106"/>
      <c r="D1345" s="100" t="s">
        <v>735</v>
      </c>
      <c r="E1345" s="17">
        <v>3500</v>
      </c>
      <c r="F1345" s="18">
        <v>1273</v>
      </c>
      <c r="G1345" s="27"/>
      <c r="H1345" s="1"/>
      <c r="I1345" s="1"/>
      <c r="J1345" s="1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spans="1:27" ht="16" customHeight="1">
      <c r="A1346" s="12"/>
      <c r="B1346" s="108"/>
      <c r="C1346" s="106"/>
      <c r="D1346" s="100" t="s">
        <v>736</v>
      </c>
      <c r="E1346" s="17">
        <v>3502</v>
      </c>
      <c r="F1346" s="18">
        <v>1273</v>
      </c>
      <c r="G1346" s="27"/>
      <c r="H1346" s="1"/>
      <c r="I1346" s="1"/>
      <c r="J1346" s="1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spans="1:27" ht="16" customHeight="1">
      <c r="A1347" s="12"/>
      <c r="B1347" s="108"/>
      <c r="C1347" s="106"/>
      <c r="D1347" s="100" t="s">
        <v>14</v>
      </c>
      <c r="E1347" s="17">
        <v>3503</v>
      </c>
      <c r="F1347" s="18">
        <v>955</v>
      </c>
      <c r="G1347" s="27"/>
      <c r="H1347" s="1"/>
      <c r="I1347" s="1"/>
      <c r="J1347" s="1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spans="1:27" ht="16" customHeight="1">
      <c r="A1348" s="12"/>
      <c r="B1348" s="108"/>
      <c r="C1348" s="106"/>
      <c r="D1348" s="100" t="s">
        <v>741</v>
      </c>
      <c r="E1348" s="17">
        <v>3504</v>
      </c>
      <c r="F1348" s="18">
        <v>1591</v>
      </c>
      <c r="G1348" s="27"/>
      <c r="H1348" s="1"/>
      <c r="I1348" s="1"/>
      <c r="J1348" s="1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spans="1:27" ht="16" customHeight="1">
      <c r="A1349" s="12"/>
      <c r="B1349" s="108"/>
      <c r="C1349" s="106"/>
      <c r="D1349" s="100" t="s">
        <v>742</v>
      </c>
      <c r="E1349" s="17">
        <v>3505</v>
      </c>
      <c r="F1349" s="18">
        <v>1591</v>
      </c>
      <c r="G1349" s="27"/>
      <c r="H1349" s="1"/>
      <c r="I1349" s="1"/>
      <c r="J1349" s="1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spans="1:27" ht="16" customHeight="1">
      <c r="A1350" s="12"/>
      <c r="B1350" s="108"/>
      <c r="C1350" s="106"/>
      <c r="D1350" s="100" t="s">
        <v>396</v>
      </c>
      <c r="E1350" s="17">
        <v>3509</v>
      </c>
      <c r="F1350" s="18">
        <v>955</v>
      </c>
      <c r="G1350" s="27"/>
      <c r="H1350" s="1"/>
      <c r="I1350" s="1"/>
      <c r="J1350" s="1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spans="1:27" ht="16" customHeight="1">
      <c r="A1351" s="12"/>
      <c r="B1351" s="108"/>
      <c r="C1351" s="106"/>
      <c r="D1351" s="100" t="s">
        <v>65</v>
      </c>
      <c r="E1351" s="17">
        <v>3507</v>
      </c>
      <c r="F1351" s="18">
        <v>1145</v>
      </c>
      <c r="G1351" s="27"/>
      <c r="H1351" s="1"/>
      <c r="I1351" s="1"/>
      <c r="J1351" s="1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spans="1:27" ht="16" customHeight="1">
      <c r="A1352" s="12"/>
      <c r="B1352" s="108"/>
      <c r="C1352" s="106"/>
      <c r="D1352" s="100" t="s">
        <v>212</v>
      </c>
      <c r="E1352" s="17">
        <v>3508</v>
      </c>
      <c r="F1352" s="18">
        <v>764</v>
      </c>
      <c r="G1352" s="27"/>
      <c r="H1352" s="1"/>
      <c r="I1352" s="1"/>
      <c r="J1352" s="1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spans="1:27" ht="16" customHeight="1">
      <c r="A1353" s="12"/>
      <c r="B1353" s="109" t="s">
        <v>743</v>
      </c>
      <c r="C1353" s="107" t="s">
        <v>744</v>
      </c>
      <c r="D1353" s="100"/>
      <c r="E1353" s="13"/>
      <c r="F1353" s="18">
        <v>0</v>
      </c>
      <c r="G1353" s="27"/>
      <c r="H1353" s="1"/>
      <c r="I1353" s="1"/>
      <c r="J1353" s="1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spans="1:27" ht="16" customHeight="1">
      <c r="A1354" s="12"/>
      <c r="B1354" s="108"/>
      <c r="C1354" s="119" t="s">
        <v>745</v>
      </c>
      <c r="D1354" s="100" t="s">
        <v>18</v>
      </c>
      <c r="E1354" s="17">
        <v>4020</v>
      </c>
      <c r="F1354" s="18">
        <v>955</v>
      </c>
      <c r="G1354" s="27"/>
      <c r="H1354" s="1"/>
      <c r="I1354" s="1"/>
      <c r="J1354" s="1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spans="1:27" ht="16" customHeight="1">
      <c r="A1355" s="12"/>
      <c r="B1355" s="108"/>
      <c r="C1355" s="106"/>
      <c r="D1355" s="100" t="s">
        <v>746</v>
      </c>
      <c r="E1355" s="17">
        <v>4021</v>
      </c>
      <c r="F1355" s="18">
        <v>318</v>
      </c>
      <c r="G1355" s="27"/>
      <c r="H1355" s="1"/>
      <c r="I1355" s="1"/>
      <c r="J1355" s="1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spans="1:27" ht="16" customHeight="1">
      <c r="A1356" s="12"/>
      <c r="B1356" s="108"/>
      <c r="C1356" s="106"/>
      <c r="D1356" s="100" t="s">
        <v>747</v>
      </c>
      <c r="E1356" s="17">
        <v>4022</v>
      </c>
      <c r="F1356" s="18">
        <v>573</v>
      </c>
      <c r="G1356" s="27"/>
      <c r="H1356" s="1"/>
      <c r="I1356" s="1"/>
      <c r="J1356" s="1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spans="1:27" ht="16" customHeight="1">
      <c r="A1357" s="12"/>
      <c r="B1357" s="108"/>
      <c r="C1357" s="106"/>
      <c r="D1357" s="100" t="s">
        <v>60</v>
      </c>
      <c r="E1357" s="17">
        <v>4023</v>
      </c>
      <c r="F1357" s="18">
        <v>955</v>
      </c>
      <c r="G1357" s="27"/>
      <c r="H1357" s="1"/>
      <c r="I1357" s="1"/>
      <c r="J1357" s="1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spans="1:27" ht="16" customHeight="1">
      <c r="A1358" s="12"/>
      <c r="B1358" s="108"/>
      <c r="C1358" s="106"/>
      <c r="D1358" s="100" t="s">
        <v>61</v>
      </c>
      <c r="E1358" s="17">
        <v>4024</v>
      </c>
      <c r="F1358" s="18">
        <v>955</v>
      </c>
      <c r="G1358" s="27"/>
      <c r="H1358" s="1"/>
      <c r="I1358" s="1"/>
      <c r="J1358" s="1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spans="1:27" ht="16" customHeight="1">
      <c r="A1359" s="12"/>
      <c r="B1359" s="108"/>
      <c r="C1359" s="106"/>
      <c r="D1359" s="100" t="s">
        <v>29</v>
      </c>
      <c r="E1359" s="17">
        <v>4025</v>
      </c>
      <c r="F1359" s="18">
        <v>764</v>
      </c>
      <c r="G1359" s="27"/>
      <c r="H1359" s="1"/>
      <c r="I1359" s="1"/>
      <c r="J1359" s="1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spans="1:27" ht="26" customHeight="1">
      <c r="A1360" s="12"/>
      <c r="B1360" s="108"/>
      <c r="C1360" s="106"/>
      <c r="D1360" s="100" t="s">
        <v>748</v>
      </c>
      <c r="E1360" s="17">
        <v>4026</v>
      </c>
      <c r="F1360" s="18">
        <v>255</v>
      </c>
      <c r="G1360" s="27"/>
      <c r="H1360" s="1"/>
      <c r="I1360" s="1"/>
      <c r="J1360" s="1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spans="1:27" ht="16" customHeight="1">
      <c r="A1361" s="12"/>
      <c r="B1361" s="108"/>
      <c r="C1361" s="106"/>
      <c r="D1361" s="100" t="s">
        <v>731</v>
      </c>
      <c r="E1361" s="17">
        <v>4027</v>
      </c>
      <c r="F1361" s="18">
        <v>255</v>
      </c>
      <c r="G1361" s="27"/>
      <c r="H1361" s="1"/>
      <c r="I1361" s="1"/>
      <c r="J1361" s="1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spans="1:27" ht="16" customHeight="1">
      <c r="A1362" s="12"/>
      <c r="B1362" s="108"/>
      <c r="C1362" s="106"/>
      <c r="D1362" s="100" t="s">
        <v>200</v>
      </c>
      <c r="E1362" s="17">
        <v>4028</v>
      </c>
      <c r="F1362" s="18">
        <v>1591</v>
      </c>
      <c r="G1362" s="27"/>
      <c r="H1362" s="1"/>
      <c r="I1362" s="1"/>
      <c r="J1362" s="1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spans="1:27" ht="16" customHeight="1">
      <c r="A1363" s="12"/>
      <c r="B1363" s="108"/>
      <c r="C1363" s="106"/>
      <c r="D1363" s="100" t="s">
        <v>566</v>
      </c>
      <c r="E1363" s="17">
        <v>4029</v>
      </c>
      <c r="F1363" s="18">
        <v>509</v>
      </c>
      <c r="G1363" s="27"/>
      <c r="H1363" s="1"/>
      <c r="I1363" s="1"/>
      <c r="J1363" s="1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spans="1:27" ht="16" customHeight="1">
      <c r="A1364" s="12"/>
      <c r="B1364" s="108"/>
      <c r="C1364" s="106"/>
      <c r="D1364" s="100" t="s">
        <v>65</v>
      </c>
      <c r="E1364" s="17">
        <v>4030</v>
      </c>
      <c r="F1364" s="18">
        <v>1145</v>
      </c>
      <c r="G1364" s="27"/>
      <c r="H1364" s="1"/>
      <c r="I1364" s="1"/>
      <c r="J1364" s="1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spans="1:27" ht="16" customHeight="1">
      <c r="A1365" s="12"/>
      <c r="B1365" s="108"/>
      <c r="C1365" s="106"/>
      <c r="D1365" s="100" t="s">
        <v>212</v>
      </c>
      <c r="E1365" s="17">
        <v>4031</v>
      </c>
      <c r="F1365" s="18">
        <v>764</v>
      </c>
      <c r="G1365" s="27"/>
      <c r="H1365" s="1"/>
      <c r="I1365" s="1"/>
      <c r="J1365" s="1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spans="1:27" ht="16" customHeight="1">
      <c r="A1366" s="12"/>
      <c r="B1366" s="108"/>
      <c r="C1366" s="106"/>
      <c r="D1366" s="100" t="s">
        <v>107</v>
      </c>
      <c r="E1366" s="17">
        <v>4032</v>
      </c>
      <c r="F1366" s="18">
        <v>955</v>
      </c>
      <c r="G1366" s="27"/>
      <c r="H1366" s="1"/>
      <c r="I1366" s="1"/>
      <c r="J1366" s="1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spans="1:27" ht="16" customHeight="1">
      <c r="A1367" s="12"/>
      <c r="B1367" s="109" t="s">
        <v>749</v>
      </c>
      <c r="C1367" s="107" t="s">
        <v>68</v>
      </c>
      <c r="D1367" s="100" t="s">
        <v>12</v>
      </c>
      <c r="E1367" s="17">
        <v>734</v>
      </c>
      <c r="F1367" s="18">
        <v>318</v>
      </c>
      <c r="G1367" s="27"/>
      <c r="H1367" s="1"/>
      <c r="I1367" s="1"/>
      <c r="J1367" s="1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spans="1:27" ht="16" customHeight="1">
      <c r="A1368" s="12"/>
      <c r="B1368" s="108"/>
      <c r="C1368" s="107" t="s">
        <v>750</v>
      </c>
      <c r="D1368" s="100" t="s">
        <v>402</v>
      </c>
      <c r="E1368" s="17">
        <v>735</v>
      </c>
      <c r="F1368" s="18">
        <v>318</v>
      </c>
      <c r="G1368" s="27"/>
      <c r="H1368" s="1"/>
      <c r="I1368" s="1"/>
      <c r="J1368" s="1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spans="1:27" ht="16" customHeight="1">
      <c r="A1369" s="12"/>
      <c r="B1369" s="108"/>
      <c r="C1369" s="106"/>
      <c r="D1369" s="100" t="s">
        <v>14</v>
      </c>
      <c r="E1369" s="17">
        <v>736</v>
      </c>
      <c r="F1369" s="18">
        <v>509</v>
      </c>
      <c r="G1369" s="27"/>
      <c r="H1369" s="1"/>
      <c r="I1369" s="1"/>
      <c r="J1369" s="1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spans="1:27" ht="16" customHeight="1">
      <c r="A1370" s="12"/>
      <c r="B1370" s="108"/>
      <c r="C1370" s="106"/>
      <c r="D1370" s="100" t="s">
        <v>22</v>
      </c>
      <c r="E1370" s="17">
        <v>737</v>
      </c>
      <c r="F1370" s="18">
        <v>191</v>
      </c>
      <c r="G1370" s="27"/>
      <c r="H1370" s="1"/>
      <c r="I1370" s="1"/>
      <c r="J1370" s="1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 spans="1:27" ht="16" customHeight="1">
      <c r="A1371" s="12"/>
      <c r="B1371" s="108"/>
      <c r="C1371" s="107" t="s">
        <v>102</v>
      </c>
      <c r="D1371" s="100" t="s">
        <v>22</v>
      </c>
      <c r="E1371" s="17">
        <v>1026</v>
      </c>
      <c r="F1371" s="18">
        <v>191</v>
      </c>
      <c r="G1371" s="27"/>
      <c r="H1371" s="1"/>
      <c r="I1371" s="1"/>
      <c r="J1371" s="1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 spans="1:27" ht="16" customHeight="1">
      <c r="A1372" s="12"/>
      <c r="B1372" s="109" t="s">
        <v>749</v>
      </c>
      <c r="C1372" s="107" t="s">
        <v>751</v>
      </c>
      <c r="D1372" s="100" t="s">
        <v>18</v>
      </c>
      <c r="E1372" s="17">
        <v>1130</v>
      </c>
      <c r="F1372" s="18">
        <v>720</v>
      </c>
      <c r="G1372" s="27"/>
      <c r="H1372" s="1"/>
      <c r="I1372" s="1"/>
      <c r="J1372" s="1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 spans="1:27" ht="16" customHeight="1">
      <c r="A1373" s="12"/>
      <c r="B1373" s="108"/>
      <c r="C1373" s="107" t="s">
        <v>752</v>
      </c>
      <c r="D1373" s="100" t="s">
        <v>20</v>
      </c>
      <c r="E1373" s="17">
        <v>1131</v>
      </c>
      <c r="F1373" s="18">
        <v>720</v>
      </c>
      <c r="G1373" s="27"/>
      <c r="H1373" s="1"/>
      <c r="I1373" s="1"/>
      <c r="J1373" s="1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 spans="1:27" ht="16" customHeight="1">
      <c r="A1374" s="12"/>
      <c r="B1374" s="108"/>
      <c r="C1374" s="106"/>
      <c r="D1374" s="100" t="s">
        <v>14</v>
      </c>
      <c r="E1374" s="17">
        <v>1132</v>
      </c>
      <c r="F1374" s="18">
        <v>509</v>
      </c>
      <c r="G1374" s="27"/>
      <c r="H1374" s="1"/>
      <c r="I1374" s="1"/>
      <c r="J1374" s="1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 spans="1:27" ht="16" customHeight="1">
      <c r="A1375" s="12"/>
      <c r="B1375" s="109" t="s">
        <v>749</v>
      </c>
      <c r="C1375" s="107" t="s">
        <v>753</v>
      </c>
      <c r="D1375" s="100" t="s">
        <v>18</v>
      </c>
      <c r="E1375" s="17">
        <v>1170</v>
      </c>
      <c r="F1375" s="18">
        <v>720</v>
      </c>
      <c r="G1375" s="27"/>
      <c r="H1375" s="1"/>
      <c r="I1375" s="1"/>
      <c r="J1375" s="1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 spans="1:27" ht="16" customHeight="1">
      <c r="A1376" s="12"/>
      <c r="B1376" s="108"/>
      <c r="C1376" s="106"/>
      <c r="D1376" s="100" t="s">
        <v>259</v>
      </c>
      <c r="E1376" s="17">
        <v>1171</v>
      </c>
      <c r="F1376" s="18">
        <v>159</v>
      </c>
      <c r="G1376" s="27"/>
      <c r="H1376" s="1"/>
      <c r="I1376" s="1"/>
      <c r="J1376" s="1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 spans="1:27" ht="16" customHeight="1">
      <c r="A1377" s="12"/>
      <c r="B1377" s="109" t="s">
        <v>749</v>
      </c>
      <c r="C1377" s="106"/>
      <c r="D1377" s="100" t="s">
        <v>18</v>
      </c>
      <c r="E1377" s="17">
        <v>1251</v>
      </c>
      <c r="F1377" s="18">
        <v>720</v>
      </c>
      <c r="G1377" s="27"/>
      <c r="H1377" s="1"/>
      <c r="I1377" s="1"/>
      <c r="J1377" s="1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 spans="1:27" ht="16" customHeight="1">
      <c r="A1378" s="12"/>
      <c r="B1378" s="108"/>
      <c r="C1378" s="106"/>
      <c r="D1378" s="100" t="s">
        <v>20</v>
      </c>
      <c r="E1378" s="17">
        <v>1252</v>
      </c>
      <c r="F1378" s="18">
        <v>720</v>
      </c>
      <c r="G1378" s="27"/>
      <c r="H1378" s="1"/>
      <c r="I1378" s="1"/>
      <c r="J1378" s="1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 spans="1:27" ht="16" customHeight="1">
      <c r="A1379" s="12"/>
      <c r="B1379" s="108"/>
      <c r="C1379" s="107" t="s">
        <v>754</v>
      </c>
      <c r="D1379" s="100" t="s">
        <v>14</v>
      </c>
      <c r="E1379" s="17">
        <v>1253</v>
      </c>
      <c r="F1379" s="18">
        <v>509</v>
      </c>
      <c r="G1379" s="27"/>
      <c r="H1379" s="1"/>
      <c r="I1379" s="1"/>
      <c r="J1379" s="1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 spans="1:27" ht="16" customHeight="1">
      <c r="A1380" s="12"/>
      <c r="B1380" s="109" t="s">
        <v>755</v>
      </c>
      <c r="C1380" s="107" t="s">
        <v>756</v>
      </c>
      <c r="D1380" s="100" t="s">
        <v>18</v>
      </c>
      <c r="E1380" s="17">
        <v>285</v>
      </c>
      <c r="F1380" s="18">
        <v>720</v>
      </c>
      <c r="G1380" s="27"/>
      <c r="H1380" s="1"/>
      <c r="I1380" s="1"/>
      <c r="J1380" s="1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 spans="1:27" ht="16" customHeight="1">
      <c r="A1381" s="12"/>
      <c r="B1381" s="108"/>
      <c r="C1381" s="107" t="s">
        <v>757</v>
      </c>
      <c r="D1381" s="100" t="s">
        <v>12</v>
      </c>
      <c r="E1381" s="17">
        <v>545</v>
      </c>
      <c r="F1381" s="18">
        <v>414</v>
      </c>
      <c r="G1381" s="27"/>
      <c r="H1381" s="1"/>
      <c r="I1381" s="1"/>
      <c r="J1381" s="1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 spans="1:27" ht="21.75" customHeight="1">
      <c r="A1382" s="12"/>
      <c r="B1382" s="108"/>
      <c r="C1382" s="107" t="s">
        <v>758</v>
      </c>
      <c r="D1382" s="100" t="s">
        <v>18</v>
      </c>
      <c r="E1382" s="17">
        <v>499</v>
      </c>
      <c r="F1382" s="18">
        <v>720</v>
      </c>
      <c r="G1382" s="27"/>
      <c r="H1382" s="1"/>
      <c r="I1382" s="1"/>
      <c r="J1382" s="1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 spans="1:27" ht="16" customHeight="1">
      <c r="A1383" s="12"/>
      <c r="B1383" s="108"/>
      <c r="C1383" s="107" t="s">
        <v>759</v>
      </c>
      <c r="D1383" s="100" t="s">
        <v>12</v>
      </c>
      <c r="E1383" s="17">
        <v>500</v>
      </c>
      <c r="F1383" s="18">
        <v>382</v>
      </c>
      <c r="G1383" s="27"/>
      <c r="H1383" s="1"/>
      <c r="I1383" s="1"/>
      <c r="J1383" s="1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 spans="1:27" ht="16" customHeight="1">
      <c r="A1384" s="12"/>
      <c r="B1384" s="108"/>
      <c r="C1384" s="107" t="s">
        <v>222</v>
      </c>
      <c r="D1384" s="100" t="s">
        <v>402</v>
      </c>
      <c r="E1384" s="17">
        <v>501</v>
      </c>
      <c r="F1384" s="18">
        <v>382</v>
      </c>
      <c r="G1384" s="27"/>
      <c r="H1384" s="1"/>
      <c r="I1384" s="1"/>
      <c r="J1384" s="1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 spans="1:27" ht="21" customHeight="1">
      <c r="A1385" s="12"/>
      <c r="B1385" s="108"/>
      <c r="C1385" s="106"/>
      <c r="D1385" s="100" t="s">
        <v>14</v>
      </c>
      <c r="E1385" s="17">
        <v>502</v>
      </c>
      <c r="F1385" s="18">
        <v>509</v>
      </c>
      <c r="G1385" s="27"/>
      <c r="H1385" s="1"/>
      <c r="I1385" s="1"/>
      <c r="J1385" s="1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 spans="1:27" ht="16" customHeight="1">
      <c r="A1386" s="12"/>
      <c r="B1386" s="108"/>
      <c r="C1386" s="106"/>
      <c r="D1386" s="100" t="s">
        <v>22</v>
      </c>
      <c r="E1386" s="17">
        <v>503</v>
      </c>
      <c r="F1386" s="18">
        <v>445</v>
      </c>
      <c r="G1386" s="27"/>
      <c r="H1386" s="1"/>
      <c r="I1386" s="1"/>
      <c r="J1386" s="1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 spans="1:27" ht="16" customHeight="1">
      <c r="A1387" s="12"/>
      <c r="B1387" s="108"/>
      <c r="C1387" s="106"/>
      <c r="D1387" s="100" t="s">
        <v>60</v>
      </c>
      <c r="E1387" s="17">
        <v>504</v>
      </c>
      <c r="F1387" s="18">
        <v>318</v>
      </c>
      <c r="G1387" s="27"/>
      <c r="H1387" s="1"/>
      <c r="I1387" s="1"/>
      <c r="J1387" s="1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 spans="1:27" ht="16" customHeight="1">
      <c r="A1388" s="12"/>
      <c r="B1388" s="108"/>
      <c r="C1388" s="106"/>
      <c r="D1388" s="100" t="s">
        <v>61</v>
      </c>
      <c r="E1388" s="17">
        <v>505</v>
      </c>
      <c r="F1388" s="18">
        <v>318</v>
      </c>
      <c r="G1388" s="27"/>
      <c r="H1388" s="1"/>
      <c r="I1388" s="1"/>
      <c r="J1388" s="1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 spans="1:27" ht="16" customHeight="1">
      <c r="A1389" s="12"/>
      <c r="B1389" s="108"/>
      <c r="C1389" s="107" t="s">
        <v>760</v>
      </c>
      <c r="D1389" s="100" t="s">
        <v>12</v>
      </c>
      <c r="E1389" s="17">
        <v>506</v>
      </c>
      <c r="F1389" s="18">
        <v>382</v>
      </c>
      <c r="G1389" s="27"/>
      <c r="H1389" s="1"/>
      <c r="I1389" s="1"/>
      <c r="J1389" s="1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 spans="1:27" ht="16" customHeight="1">
      <c r="A1390" s="12"/>
      <c r="B1390" s="108"/>
      <c r="C1390" s="107" t="s">
        <v>222</v>
      </c>
      <c r="D1390" s="100" t="s">
        <v>402</v>
      </c>
      <c r="E1390" s="17">
        <v>507</v>
      </c>
      <c r="F1390" s="18">
        <v>382</v>
      </c>
      <c r="G1390" s="27"/>
      <c r="H1390" s="1"/>
      <c r="I1390" s="1"/>
      <c r="J1390" s="1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 spans="1:27" ht="16" customHeight="1">
      <c r="A1391" s="12"/>
      <c r="B1391" s="108"/>
      <c r="C1391" s="106"/>
      <c r="D1391" s="100" t="s">
        <v>14</v>
      </c>
      <c r="E1391" s="17">
        <v>508</v>
      </c>
      <c r="F1391" s="18">
        <v>509</v>
      </c>
      <c r="G1391" s="27"/>
      <c r="H1391" s="1"/>
      <c r="I1391" s="1"/>
      <c r="J1391" s="1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 spans="1:27" ht="27" customHeight="1">
      <c r="A1392" s="12"/>
      <c r="B1392" s="108"/>
      <c r="C1392" s="106"/>
      <c r="D1392" s="100" t="s">
        <v>22</v>
      </c>
      <c r="E1392" s="17">
        <v>509</v>
      </c>
      <c r="F1392" s="18">
        <v>573</v>
      </c>
      <c r="G1392" s="27"/>
      <c r="H1392" s="1"/>
      <c r="I1392" s="1"/>
      <c r="J1392" s="1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 spans="1:27" ht="16" customHeight="1">
      <c r="A1393" s="12"/>
      <c r="B1393" s="108"/>
      <c r="C1393" s="107" t="s">
        <v>761</v>
      </c>
      <c r="D1393" s="100" t="s">
        <v>18</v>
      </c>
      <c r="E1393" s="17">
        <v>807</v>
      </c>
      <c r="F1393" s="18">
        <v>720</v>
      </c>
      <c r="G1393" s="27"/>
      <c r="H1393" s="1"/>
      <c r="I1393" s="1"/>
      <c r="J1393" s="1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 spans="1:27" ht="16" customHeight="1">
      <c r="A1394" s="12"/>
      <c r="B1394" s="108"/>
      <c r="C1394" s="106"/>
      <c r="D1394" s="100" t="s">
        <v>20</v>
      </c>
      <c r="E1394" s="17">
        <v>808</v>
      </c>
      <c r="F1394" s="18">
        <v>720</v>
      </c>
      <c r="G1394" s="27"/>
      <c r="H1394" s="1"/>
      <c r="I1394" s="1"/>
      <c r="J1394" s="1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 spans="1:27" ht="17.5" customHeight="1">
      <c r="A1395" s="12"/>
      <c r="B1395" s="108"/>
      <c r="C1395" s="106"/>
      <c r="D1395" s="100" t="s">
        <v>14</v>
      </c>
      <c r="E1395" s="17">
        <v>508</v>
      </c>
      <c r="F1395" s="18">
        <v>382</v>
      </c>
      <c r="G1395" s="27"/>
      <c r="H1395" s="1"/>
      <c r="I1395" s="1"/>
      <c r="J1395" s="1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 spans="1:27" ht="27" customHeight="1">
      <c r="A1396" s="127"/>
      <c r="B1396" s="128"/>
      <c r="C1396" s="128"/>
      <c r="D1396" s="128"/>
      <c r="E1396" s="128"/>
      <c r="F1396" s="128"/>
      <c r="G1396" s="129"/>
      <c r="H1396" s="1"/>
      <c r="I1396" s="1"/>
      <c r="J1396" s="1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 spans="1:27" ht="17.5" customHeight="1">
      <c r="A1397" s="12"/>
      <c r="B1397" s="108"/>
      <c r="C1397" s="106"/>
      <c r="D1397" s="100" t="s">
        <v>340</v>
      </c>
      <c r="E1397" s="17">
        <v>810</v>
      </c>
      <c r="F1397" s="18">
        <v>223</v>
      </c>
      <c r="G1397" s="27"/>
      <c r="H1397" s="1"/>
      <c r="I1397" s="1"/>
      <c r="J1397" s="1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 spans="1:27" ht="16" customHeight="1">
      <c r="A1398" s="12"/>
      <c r="B1398" s="108"/>
      <c r="C1398" s="107" t="s">
        <v>762</v>
      </c>
      <c r="D1398" s="100" t="s">
        <v>26</v>
      </c>
      <c r="E1398" s="17">
        <v>695</v>
      </c>
      <c r="F1398" s="18">
        <v>382</v>
      </c>
      <c r="G1398" s="27"/>
      <c r="H1398" s="1"/>
      <c r="I1398" s="1"/>
      <c r="J1398" s="1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 spans="1:27" ht="16" customHeight="1">
      <c r="A1399" s="12"/>
      <c r="B1399" s="108"/>
      <c r="C1399" s="106"/>
      <c r="D1399" s="100" t="s">
        <v>29</v>
      </c>
      <c r="E1399" s="17">
        <v>696</v>
      </c>
      <c r="F1399" s="18">
        <v>382</v>
      </c>
      <c r="G1399" s="27"/>
      <c r="H1399" s="1"/>
      <c r="I1399" s="1"/>
      <c r="J1399" s="1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 spans="1:27" ht="16" customHeight="1">
      <c r="A1400" s="12"/>
      <c r="B1400" s="108"/>
      <c r="C1400" s="106"/>
      <c r="D1400" s="100" t="s">
        <v>14</v>
      </c>
      <c r="E1400" s="17">
        <v>620</v>
      </c>
      <c r="F1400" s="18">
        <v>509</v>
      </c>
      <c r="G1400" s="27"/>
      <c r="H1400" s="1"/>
      <c r="I1400" s="1"/>
      <c r="J1400" s="1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 spans="1:27" ht="17.5" customHeight="1">
      <c r="A1401" s="12"/>
      <c r="B1401" s="108"/>
      <c r="C1401" s="107" t="s">
        <v>83</v>
      </c>
      <c r="D1401" s="100" t="s">
        <v>26</v>
      </c>
      <c r="E1401" s="17">
        <v>890</v>
      </c>
      <c r="F1401" s="18">
        <v>382</v>
      </c>
      <c r="G1401" s="27"/>
      <c r="H1401" s="1"/>
      <c r="I1401" s="1"/>
      <c r="J1401" s="1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 spans="1:27" ht="16" customHeight="1">
      <c r="A1402" s="12"/>
      <c r="B1402" s="108"/>
      <c r="C1402" s="106"/>
      <c r="D1402" s="100" t="s">
        <v>402</v>
      </c>
      <c r="E1402" s="17">
        <v>891</v>
      </c>
      <c r="F1402" s="18">
        <v>382</v>
      </c>
      <c r="G1402" s="27"/>
      <c r="H1402" s="1"/>
      <c r="I1402" s="1"/>
      <c r="J1402" s="1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 spans="1:27" ht="16" customHeight="1">
      <c r="A1403" s="12"/>
      <c r="B1403" s="108"/>
      <c r="C1403" s="106"/>
      <c r="D1403" s="100" t="s">
        <v>14</v>
      </c>
      <c r="E1403" s="17">
        <v>892</v>
      </c>
      <c r="F1403" s="18">
        <v>509</v>
      </c>
      <c r="G1403" s="27"/>
      <c r="H1403" s="1"/>
      <c r="I1403" s="1"/>
      <c r="J1403" s="1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 spans="1:27" ht="16" customHeight="1">
      <c r="A1404" s="12"/>
      <c r="B1404" s="109" t="s">
        <v>763</v>
      </c>
      <c r="C1404" s="107" t="s">
        <v>760</v>
      </c>
      <c r="D1404" s="100" t="s">
        <v>12</v>
      </c>
      <c r="E1404" s="17">
        <v>697</v>
      </c>
      <c r="F1404" s="18">
        <v>382</v>
      </c>
      <c r="G1404" s="27"/>
      <c r="H1404" s="1"/>
      <c r="I1404" s="1"/>
      <c r="J1404" s="1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 spans="1:27" ht="16" customHeight="1">
      <c r="A1405" s="12"/>
      <c r="B1405" s="108"/>
      <c r="C1405" s="107" t="s">
        <v>126</v>
      </c>
      <c r="D1405" s="100" t="s">
        <v>29</v>
      </c>
      <c r="E1405" s="17">
        <v>698</v>
      </c>
      <c r="F1405" s="18">
        <v>382</v>
      </c>
      <c r="G1405" s="27"/>
      <c r="H1405" s="1"/>
      <c r="I1405" s="1"/>
      <c r="J1405" s="1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 spans="1:27" ht="16" customHeight="1">
      <c r="A1406" s="12"/>
      <c r="B1406" s="108"/>
      <c r="C1406" s="106"/>
      <c r="D1406" s="100" t="s">
        <v>14</v>
      </c>
      <c r="E1406" s="17">
        <v>699</v>
      </c>
      <c r="F1406" s="18">
        <v>509</v>
      </c>
      <c r="G1406" s="27"/>
      <c r="H1406" s="1"/>
      <c r="I1406" s="1"/>
      <c r="J1406" s="1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 spans="1:27" ht="27" customHeight="1">
      <c r="A1407" s="12"/>
      <c r="B1407" s="109" t="s">
        <v>763</v>
      </c>
      <c r="C1407" s="107" t="s">
        <v>762</v>
      </c>
      <c r="D1407" s="100" t="s">
        <v>26</v>
      </c>
      <c r="E1407" s="17">
        <v>700</v>
      </c>
      <c r="F1407" s="18">
        <v>382</v>
      </c>
      <c r="G1407" s="27"/>
      <c r="H1407" s="1"/>
      <c r="I1407" s="1"/>
      <c r="J1407" s="1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 spans="1:27" ht="16" customHeight="1">
      <c r="A1408" s="12"/>
      <c r="B1408" s="108"/>
      <c r="C1408" s="107" t="s">
        <v>126</v>
      </c>
      <c r="D1408" s="100" t="s">
        <v>29</v>
      </c>
      <c r="E1408" s="17">
        <v>701</v>
      </c>
      <c r="F1408" s="18">
        <v>382</v>
      </c>
      <c r="G1408" s="27"/>
      <c r="H1408" s="1"/>
      <c r="I1408" s="1"/>
      <c r="J1408" s="1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 spans="1:27" ht="16" customHeight="1">
      <c r="A1409" s="12"/>
      <c r="B1409" s="108"/>
      <c r="C1409" s="106"/>
      <c r="D1409" s="100" t="s">
        <v>14</v>
      </c>
      <c r="E1409" s="17">
        <v>702</v>
      </c>
      <c r="F1409" s="18">
        <v>509</v>
      </c>
      <c r="G1409" s="27"/>
      <c r="H1409" s="1"/>
      <c r="I1409" s="1"/>
      <c r="J1409" s="1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 spans="1:27" ht="16" customHeight="1">
      <c r="A1410" s="12"/>
      <c r="B1410" s="108"/>
      <c r="C1410" s="107" t="s">
        <v>764</v>
      </c>
      <c r="D1410" s="100"/>
      <c r="E1410" s="17">
        <v>726</v>
      </c>
      <c r="F1410" s="18">
        <v>159</v>
      </c>
      <c r="G1410" s="27"/>
      <c r="H1410" s="1"/>
      <c r="I1410" s="1"/>
      <c r="J1410" s="1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 spans="1:27" ht="17.5" customHeight="1">
      <c r="A1411" s="12"/>
      <c r="B1411" s="109" t="s">
        <v>765</v>
      </c>
      <c r="C1411" s="107" t="s">
        <v>766</v>
      </c>
      <c r="D1411" s="100" t="s">
        <v>18</v>
      </c>
      <c r="E1411" s="17">
        <v>510</v>
      </c>
      <c r="F1411" s="18">
        <v>720</v>
      </c>
      <c r="G1411" s="27"/>
      <c r="H1411" s="1"/>
      <c r="I1411" s="1"/>
      <c r="J1411" s="1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 spans="1:27" ht="15.5" customHeight="1">
      <c r="A1412" s="136"/>
      <c r="B1412" s="143"/>
      <c r="C1412" s="144"/>
      <c r="D1412" s="139" t="s">
        <v>20</v>
      </c>
      <c r="E1412" s="140">
        <v>511</v>
      </c>
      <c r="F1412" s="141">
        <v>720</v>
      </c>
      <c r="G1412" s="142"/>
      <c r="H1412" s="1"/>
      <c r="I1412" s="1"/>
      <c r="J1412" s="1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 spans="1:27" ht="16" customHeight="1">
      <c r="A1413" s="12"/>
      <c r="B1413" s="108"/>
      <c r="C1413" s="106"/>
      <c r="D1413" s="100" t="s">
        <v>14</v>
      </c>
      <c r="E1413" s="17">
        <v>512</v>
      </c>
      <c r="F1413" s="18">
        <v>382</v>
      </c>
      <c r="G1413" s="27"/>
      <c r="H1413" s="1"/>
      <c r="I1413" s="1"/>
      <c r="J1413" s="1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 spans="1:27" ht="16" customHeight="1">
      <c r="A1414" s="12"/>
      <c r="B1414" s="108"/>
      <c r="C1414" s="106"/>
      <c r="D1414" s="100" t="s">
        <v>22</v>
      </c>
      <c r="E1414" s="17">
        <v>513</v>
      </c>
      <c r="F1414" s="18">
        <v>318</v>
      </c>
      <c r="G1414" s="27"/>
      <c r="H1414" s="1"/>
      <c r="I1414" s="1"/>
      <c r="J1414" s="1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 spans="1:27" ht="16" customHeight="1">
      <c r="A1415" s="12"/>
      <c r="B1415" s="108"/>
      <c r="C1415" s="107" t="s">
        <v>767</v>
      </c>
      <c r="D1415" s="100" t="s">
        <v>12</v>
      </c>
      <c r="E1415" s="17">
        <v>514</v>
      </c>
      <c r="F1415" s="18">
        <v>382</v>
      </c>
      <c r="G1415" s="27"/>
      <c r="H1415" s="1"/>
      <c r="I1415" s="1"/>
      <c r="J1415" s="1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 spans="1:27" ht="16" customHeight="1">
      <c r="A1416" s="12"/>
      <c r="B1416" s="108"/>
      <c r="C1416" s="106"/>
      <c r="D1416" s="100" t="s">
        <v>82</v>
      </c>
      <c r="E1416" s="17">
        <v>515</v>
      </c>
      <c r="F1416" s="18">
        <v>382</v>
      </c>
      <c r="G1416" s="27"/>
      <c r="H1416" s="1"/>
      <c r="I1416" s="1"/>
      <c r="J1416" s="1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 spans="1:27" ht="16" customHeight="1">
      <c r="A1417" s="12"/>
      <c r="B1417" s="108"/>
      <c r="C1417" s="106"/>
      <c r="D1417" s="100" t="s">
        <v>14</v>
      </c>
      <c r="E1417" s="17">
        <v>516</v>
      </c>
      <c r="F1417" s="18">
        <v>445</v>
      </c>
      <c r="G1417" s="27"/>
      <c r="H1417" s="1"/>
      <c r="I1417" s="1"/>
      <c r="J1417" s="1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 spans="1:27" ht="16" customHeight="1">
      <c r="A1418" s="12"/>
      <c r="B1418" s="108"/>
      <c r="C1418" s="106"/>
      <c r="D1418" s="100" t="s">
        <v>22</v>
      </c>
      <c r="E1418" s="17">
        <v>517</v>
      </c>
      <c r="F1418" s="18">
        <v>382</v>
      </c>
      <c r="G1418" s="27"/>
      <c r="H1418" s="1"/>
      <c r="I1418" s="1"/>
      <c r="J1418" s="1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 spans="1:27" ht="26" customHeight="1">
      <c r="A1419" s="12"/>
      <c r="B1419" s="108"/>
      <c r="C1419" s="107" t="s">
        <v>768</v>
      </c>
      <c r="D1419" s="100" t="s">
        <v>18</v>
      </c>
      <c r="E1419" s="17">
        <v>518</v>
      </c>
      <c r="F1419" s="18">
        <v>720</v>
      </c>
      <c r="G1419" s="27"/>
      <c r="H1419" s="1"/>
      <c r="I1419" s="1"/>
      <c r="J1419" s="1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 spans="1:27" ht="16" customHeight="1">
      <c r="A1420" s="12"/>
      <c r="B1420" s="108"/>
      <c r="C1420" s="107" t="s">
        <v>766</v>
      </c>
      <c r="D1420" s="100" t="s">
        <v>20</v>
      </c>
      <c r="E1420" s="17">
        <v>511</v>
      </c>
      <c r="F1420" s="18">
        <v>720</v>
      </c>
      <c r="G1420" s="27"/>
      <c r="H1420" s="1"/>
      <c r="I1420" s="1"/>
      <c r="J1420" s="1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 spans="1:27" ht="16" customHeight="1">
      <c r="A1421" s="12"/>
      <c r="B1421" s="108"/>
      <c r="C1421" s="106"/>
      <c r="D1421" s="100" t="s">
        <v>82</v>
      </c>
      <c r="E1421" s="17">
        <v>519</v>
      </c>
      <c r="F1421" s="18">
        <v>382</v>
      </c>
      <c r="G1421" s="27"/>
      <c r="H1421" s="1"/>
      <c r="I1421" s="1"/>
      <c r="J1421" s="1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 spans="1:27" ht="16" customHeight="1">
      <c r="A1422" s="12"/>
      <c r="B1422" s="108"/>
      <c r="C1422" s="106"/>
      <c r="D1422" s="100" t="s">
        <v>14</v>
      </c>
      <c r="E1422" s="17">
        <v>516</v>
      </c>
      <c r="F1422" s="18">
        <v>445</v>
      </c>
      <c r="G1422" s="27"/>
      <c r="H1422" s="1"/>
      <c r="I1422" s="1"/>
      <c r="J1422" s="1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 spans="1:27" ht="16" customHeight="1">
      <c r="A1423" s="12"/>
      <c r="B1423" s="108"/>
      <c r="C1423" s="106"/>
      <c r="D1423" s="100" t="s">
        <v>22</v>
      </c>
      <c r="E1423" s="17">
        <v>517</v>
      </c>
      <c r="F1423" s="18">
        <v>382</v>
      </c>
      <c r="G1423" s="27"/>
      <c r="H1423" s="1"/>
      <c r="I1423" s="1"/>
      <c r="J1423" s="1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 spans="1:27" ht="16" customHeight="1">
      <c r="A1424" s="12"/>
      <c r="B1424" s="108"/>
      <c r="C1424" s="107" t="s">
        <v>297</v>
      </c>
      <c r="D1424" s="100" t="s">
        <v>18</v>
      </c>
      <c r="E1424" s="17">
        <v>520</v>
      </c>
      <c r="F1424" s="18">
        <v>720</v>
      </c>
      <c r="G1424" s="27"/>
      <c r="H1424" s="1"/>
      <c r="I1424" s="1"/>
      <c r="J1424" s="1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 spans="1:27" ht="16" customHeight="1">
      <c r="A1425" s="12"/>
      <c r="B1425" s="108"/>
      <c r="C1425" s="106"/>
      <c r="D1425" s="100" t="s">
        <v>20</v>
      </c>
      <c r="E1425" s="17">
        <v>521</v>
      </c>
      <c r="F1425" s="18">
        <v>720</v>
      </c>
      <c r="G1425" s="27"/>
      <c r="H1425" s="1"/>
      <c r="I1425" s="1"/>
      <c r="J1425" s="1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 spans="1:27" ht="16" customHeight="1">
      <c r="A1426" s="12"/>
      <c r="B1426" s="108"/>
      <c r="C1426" s="106"/>
      <c r="D1426" s="100" t="s">
        <v>14</v>
      </c>
      <c r="E1426" s="17">
        <v>522</v>
      </c>
      <c r="F1426" s="18">
        <v>445</v>
      </c>
      <c r="G1426" s="27"/>
      <c r="H1426" s="1"/>
      <c r="I1426" s="1"/>
      <c r="J1426" s="1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 spans="1:27" ht="16" customHeight="1">
      <c r="A1427" s="12"/>
      <c r="B1427" s="108"/>
      <c r="C1427" s="107" t="s">
        <v>760</v>
      </c>
      <c r="D1427" s="100" t="s">
        <v>22</v>
      </c>
      <c r="E1427" s="17">
        <v>694</v>
      </c>
      <c r="F1427" s="18">
        <v>286</v>
      </c>
      <c r="G1427" s="27"/>
      <c r="H1427" s="1"/>
      <c r="I1427" s="1"/>
      <c r="J1427" s="1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 spans="1:27" ht="16" customHeight="1">
      <c r="A1428" s="12"/>
      <c r="B1428" s="116" t="s">
        <v>769</v>
      </c>
      <c r="C1428" s="106"/>
      <c r="D1428" s="100" t="s">
        <v>770</v>
      </c>
      <c r="E1428" s="17">
        <v>585</v>
      </c>
      <c r="F1428" s="18">
        <v>414</v>
      </c>
      <c r="G1428" s="27"/>
      <c r="H1428" s="1"/>
      <c r="I1428" s="1"/>
      <c r="J1428" s="1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 spans="1:27" ht="16" customHeight="1">
      <c r="A1429" s="12"/>
      <c r="B1429" s="108"/>
      <c r="C1429" s="106"/>
      <c r="D1429" s="100" t="s">
        <v>29</v>
      </c>
      <c r="E1429" s="17">
        <v>586</v>
      </c>
      <c r="F1429" s="18">
        <v>414</v>
      </c>
      <c r="G1429" s="27"/>
      <c r="H1429" s="1"/>
      <c r="I1429" s="1"/>
      <c r="J1429" s="1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 spans="1:27" ht="16" customHeight="1">
      <c r="A1430" s="12"/>
      <c r="B1430" s="108"/>
      <c r="C1430" s="106"/>
      <c r="D1430" s="100" t="s">
        <v>14</v>
      </c>
      <c r="E1430" s="17">
        <v>587</v>
      </c>
      <c r="F1430" s="18">
        <v>509</v>
      </c>
      <c r="G1430" s="27"/>
      <c r="H1430" s="1"/>
      <c r="I1430" s="1"/>
      <c r="J1430" s="1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 spans="1:27" ht="16" customHeight="1">
      <c r="A1431" s="12"/>
      <c r="B1431" s="109" t="s">
        <v>771</v>
      </c>
      <c r="C1431" s="107" t="s">
        <v>772</v>
      </c>
      <c r="D1431" s="100" t="s">
        <v>26</v>
      </c>
      <c r="E1431" s="17">
        <v>621</v>
      </c>
      <c r="F1431" s="18">
        <v>477</v>
      </c>
      <c r="G1431" s="27"/>
      <c r="H1431" s="1"/>
      <c r="I1431" s="1"/>
      <c r="J1431" s="1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 spans="1:27" ht="16" customHeight="1">
      <c r="A1432" s="12"/>
      <c r="B1432" s="108"/>
      <c r="C1432" s="106"/>
      <c r="D1432" s="100" t="s">
        <v>14</v>
      </c>
      <c r="E1432" s="17">
        <v>622</v>
      </c>
      <c r="F1432" s="18">
        <v>573</v>
      </c>
      <c r="G1432" s="27"/>
      <c r="H1432" s="1"/>
      <c r="I1432" s="1"/>
      <c r="J1432" s="1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 spans="1:27" ht="16" customHeight="1">
      <c r="A1433" s="12"/>
      <c r="B1433" s="109" t="s">
        <v>773</v>
      </c>
      <c r="C1433" s="107" t="s">
        <v>68</v>
      </c>
      <c r="D1433" s="100" t="s">
        <v>26</v>
      </c>
      <c r="E1433" s="17">
        <v>589</v>
      </c>
      <c r="F1433" s="18">
        <v>318</v>
      </c>
      <c r="G1433" s="27"/>
      <c r="H1433" s="1"/>
      <c r="I1433" s="1"/>
      <c r="J1433" s="1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 spans="1:27" ht="16" customHeight="1">
      <c r="A1434" s="12"/>
      <c r="B1434" s="109" t="s">
        <v>774</v>
      </c>
      <c r="C1434" s="107" t="s">
        <v>126</v>
      </c>
      <c r="D1434" s="100" t="s">
        <v>29</v>
      </c>
      <c r="E1434" s="17">
        <v>590</v>
      </c>
      <c r="F1434" s="18">
        <v>318</v>
      </c>
      <c r="G1434" s="27"/>
      <c r="H1434" s="1"/>
      <c r="I1434" s="1"/>
      <c r="J1434" s="1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 spans="1:27" ht="16" customHeight="1">
      <c r="A1435" s="12"/>
      <c r="B1435" s="108"/>
      <c r="C1435" s="106"/>
      <c r="D1435" s="100" t="s">
        <v>14</v>
      </c>
      <c r="E1435" s="17">
        <v>591</v>
      </c>
      <c r="F1435" s="18">
        <v>445</v>
      </c>
      <c r="G1435" s="27"/>
      <c r="H1435" s="1"/>
      <c r="I1435" s="1"/>
      <c r="J1435" s="1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 spans="1:27" ht="16" customHeight="1">
      <c r="A1436" s="12"/>
      <c r="B1436" s="109" t="s">
        <v>775</v>
      </c>
      <c r="C1436" s="107" t="s">
        <v>776</v>
      </c>
      <c r="D1436" s="100" t="s">
        <v>26</v>
      </c>
      <c r="E1436" s="17">
        <v>1278</v>
      </c>
      <c r="F1436" s="18">
        <v>382</v>
      </c>
      <c r="G1436" s="27"/>
      <c r="H1436" s="1"/>
      <c r="I1436" s="1"/>
      <c r="J1436" s="1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 spans="1:27" ht="16" customHeight="1">
      <c r="A1437" s="12"/>
      <c r="B1437" s="108"/>
      <c r="C1437" s="106"/>
      <c r="D1437" s="100" t="s">
        <v>29</v>
      </c>
      <c r="E1437" s="17">
        <v>1279</v>
      </c>
      <c r="F1437" s="18">
        <v>382</v>
      </c>
      <c r="G1437" s="27"/>
      <c r="H1437" s="1"/>
      <c r="I1437" s="1"/>
      <c r="J1437" s="1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 spans="1:27" ht="16" customHeight="1">
      <c r="A1438" s="12"/>
      <c r="B1438" s="108"/>
      <c r="C1438" s="106"/>
      <c r="D1438" s="100" t="s">
        <v>14</v>
      </c>
      <c r="E1438" s="17">
        <v>1280</v>
      </c>
      <c r="F1438" s="18">
        <v>509</v>
      </c>
      <c r="G1438" s="27"/>
      <c r="H1438" s="1"/>
      <c r="I1438" s="1"/>
      <c r="J1438" s="1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 spans="1:27" ht="16" customHeight="1">
      <c r="A1439" s="12"/>
      <c r="B1439" s="109" t="s">
        <v>777</v>
      </c>
      <c r="C1439" s="107" t="s">
        <v>778</v>
      </c>
      <c r="D1439" s="100" t="s">
        <v>26</v>
      </c>
      <c r="E1439" s="17">
        <v>976</v>
      </c>
      <c r="F1439" s="18">
        <v>414</v>
      </c>
      <c r="G1439" s="27"/>
      <c r="H1439" s="1"/>
      <c r="I1439" s="1"/>
      <c r="J1439" s="1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 spans="1:27" ht="16" customHeight="1">
      <c r="A1440" s="12"/>
      <c r="B1440" s="108"/>
      <c r="C1440" s="107" t="s">
        <v>229</v>
      </c>
      <c r="D1440" s="100" t="s">
        <v>26</v>
      </c>
      <c r="E1440" s="17">
        <v>1315</v>
      </c>
      <c r="F1440" s="18">
        <v>414</v>
      </c>
      <c r="G1440" s="27"/>
      <c r="H1440" s="1"/>
      <c r="I1440" s="1"/>
      <c r="J1440" s="1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 spans="1:27" ht="16" customHeight="1">
      <c r="A1441" s="12"/>
      <c r="B1441" s="108"/>
      <c r="C1441" s="106"/>
      <c r="D1441" s="100" t="s">
        <v>14</v>
      </c>
      <c r="E1441" s="17">
        <v>1028</v>
      </c>
      <c r="F1441" s="18">
        <v>509</v>
      </c>
      <c r="G1441" s="27"/>
      <c r="H1441" s="1"/>
      <c r="I1441" s="1"/>
      <c r="J1441" s="1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 spans="1:27" ht="16" customHeight="1">
      <c r="A1442" s="12"/>
      <c r="B1442" s="109" t="s">
        <v>779</v>
      </c>
      <c r="C1442" s="107" t="s">
        <v>702</v>
      </c>
      <c r="D1442" s="100" t="s">
        <v>12</v>
      </c>
      <c r="E1442" s="17">
        <v>1441</v>
      </c>
      <c r="F1442" s="18">
        <v>573</v>
      </c>
      <c r="G1442" s="27"/>
      <c r="H1442" s="1"/>
      <c r="I1442" s="1"/>
      <c r="J1442" s="1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 spans="1:27" ht="25.5" customHeight="1">
      <c r="A1443" s="12"/>
      <c r="B1443" s="108"/>
      <c r="C1443" s="106"/>
      <c r="D1443" s="100" t="s">
        <v>780</v>
      </c>
      <c r="E1443" s="17" t="s">
        <v>781</v>
      </c>
      <c r="F1443" s="18">
        <v>0</v>
      </c>
      <c r="G1443" s="27"/>
      <c r="H1443" s="1"/>
      <c r="I1443" s="1"/>
      <c r="J1443" s="1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 spans="1:27" ht="16" customHeight="1">
      <c r="A1444" s="12"/>
      <c r="B1444" s="108"/>
      <c r="C1444" s="107" t="s">
        <v>782</v>
      </c>
      <c r="D1444" s="100" t="s">
        <v>82</v>
      </c>
      <c r="E1444" s="17">
        <v>1370</v>
      </c>
      <c r="F1444" s="18">
        <v>445</v>
      </c>
      <c r="G1444" s="27"/>
      <c r="H1444" s="1"/>
      <c r="I1444" s="1"/>
      <c r="J1444" s="1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 spans="1:27" ht="16" customHeight="1">
      <c r="A1445" s="127"/>
      <c r="B1445" s="128"/>
      <c r="C1445" s="128"/>
      <c r="D1445" s="128"/>
      <c r="E1445" s="128"/>
      <c r="F1445" s="128"/>
      <c r="G1445" s="129"/>
      <c r="H1445" s="1"/>
      <c r="I1445" s="1"/>
      <c r="J1445" s="1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 spans="1:27" ht="16" customHeight="1">
      <c r="A1446" s="12"/>
      <c r="B1446" s="109" t="s">
        <v>783</v>
      </c>
      <c r="C1446" s="107" t="s">
        <v>337</v>
      </c>
      <c r="D1446" s="100" t="s">
        <v>18</v>
      </c>
      <c r="E1446" s="17">
        <v>947</v>
      </c>
      <c r="F1446" s="18">
        <v>720</v>
      </c>
      <c r="G1446" s="27"/>
      <c r="H1446" s="1"/>
      <c r="I1446" s="1"/>
      <c r="J1446" s="1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 spans="1:27" ht="16" customHeight="1">
      <c r="A1447" s="12"/>
      <c r="B1447" s="108"/>
      <c r="C1447" s="107" t="s">
        <v>89</v>
      </c>
      <c r="D1447" s="100" t="s">
        <v>20</v>
      </c>
      <c r="E1447" s="17">
        <v>948</v>
      </c>
      <c r="F1447" s="18">
        <v>720</v>
      </c>
      <c r="G1447" s="27"/>
      <c r="H1447" s="1"/>
      <c r="I1447" s="1"/>
      <c r="J1447" s="1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 spans="1:27" ht="30" customHeight="1">
      <c r="A1448" s="12"/>
      <c r="B1448" s="108"/>
      <c r="C1448" s="106"/>
      <c r="D1448" s="100" t="s">
        <v>14</v>
      </c>
      <c r="E1448" s="17">
        <v>949</v>
      </c>
      <c r="F1448" s="18">
        <v>509</v>
      </c>
      <c r="G1448" s="27"/>
      <c r="H1448" s="1"/>
      <c r="I1448" s="1"/>
      <c r="J1448" s="1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 spans="1:27" ht="16" customHeight="1">
      <c r="A1449" s="12"/>
      <c r="B1449" s="108"/>
      <c r="C1449" s="106"/>
      <c r="D1449" s="100" t="s">
        <v>94</v>
      </c>
      <c r="E1449" s="17">
        <v>951</v>
      </c>
      <c r="F1449" s="18">
        <v>255</v>
      </c>
      <c r="G1449" s="27"/>
      <c r="H1449" s="1"/>
      <c r="I1449" s="1"/>
      <c r="J1449" s="1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 spans="1:27" ht="16" customHeight="1">
      <c r="A1450" s="12"/>
      <c r="B1450" s="108"/>
      <c r="C1450" s="106"/>
      <c r="D1450" s="100" t="s">
        <v>259</v>
      </c>
      <c r="E1450" s="17">
        <v>950</v>
      </c>
      <c r="F1450" s="18">
        <v>191</v>
      </c>
      <c r="G1450" s="27"/>
      <c r="H1450" s="1"/>
      <c r="I1450" s="1"/>
      <c r="J1450" s="1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 spans="1:27" ht="16" customHeight="1">
      <c r="A1451" s="12"/>
      <c r="B1451" s="109" t="s">
        <v>783</v>
      </c>
      <c r="C1451" s="107" t="s">
        <v>784</v>
      </c>
      <c r="D1451" s="100" t="s">
        <v>18</v>
      </c>
      <c r="E1451" s="17">
        <v>1361</v>
      </c>
      <c r="F1451" s="18">
        <v>955</v>
      </c>
      <c r="G1451" s="27"/>
      <c r="H1451" s="1"/>
      <c r="I1451" s="1"/>
      <c r="J1451" s="1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 spans="1:27" ht="16" customHeight="1">
      <c r="A1452" s="12"/>
      <c r="B1452" s="108"/>
      <c r="C1452" s="106"/>
      <c r="D1452" s="100" t="s">
        <v>60</v>
      </c>
      <c r="E1452" s="17">
        <v>1362</v>
      </c>
      <c r="F1452" s="18">
        <v>1591</v>
      </c>
      <c r="G1452" s="27"/>
      <c r="H1452" s="1"/>
      <c r="I1452" s="1"/>
      <c r="J1452" s="1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 spans="1:27" ht="16" customHeight="1">
      <c r="A1453" s="12"/>
      <c r="B1453" s="108"/>
      <c r="C1453" s="106"/>
      <c r="D1453" s="100" t="s">
        <v>65</v>
      </c>
      <c r="E1453" s="17">
        <v>1363</v>
      </c>
      <c r="F1453" s="18">
        <v>1273</v>
      </c>
      <c r="G1453" s="27"/>
      <c r="H1453" s="1"/>
      <c r="I1453" s="1"/>
      <c r="J1453" s="1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 spans="1:27" ht="16" customHeight="1">
      <c r="A1454" s="12"/>
      <c r="B1454" s="109" t="s">
        <v>783</v>
      </c>
      <c r="C1454" s="107" t="s">
        <v>784</v>
      </c>
      <c r="D1454" s="100" t="s">
        <v>60</v>
      </c>
      <c r="E1454" s="17">
        <v>1469</v>
      </c>
      <c r="F1454" s="18">
        <v>1591</v>
      </c>
      <c r="G1454" s="27"/>
      <c r="H1454" s="1"/>
      <c r="I1454" s="1"/>
      <c r="J1454" s="1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 spans="1:27" ht="16" customHeight="1">
      <c r="A1455" s="12"/>
      <c r="B1455" s="108"/>
      <c r="C1455" s="107" t="s">
        <v>68</v>
      </c>
      <c r="D1455" s="100" t="s">
        <v>65</v>
      </c>
      <c r="E1455" s="17">
        <v>1470</v>
      </c>
      <c r="F1455" s="18">
        <v>1650</v>
      </c>
      <c r="G1455" s="27"/>
      <c r="H1455" s="1"/>
      <c r="I1455" s="1"/>
      <c r="J1455" s="1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 spans="1:27" ht="16" customHeight="1">
      <c r="A1456" s="12"/>
      <c r="B1456" s="109" t="s">
        <v>785</v>
      </c>
      <c r="C1456" s="106"/>
      <c r="D1456" s="100" t="s">
        <v>26</v>
      </c>
      <c r="E1456" s="17">
        <v>1642</v>
      </c>
      <c r="F1456" s="18">
        <v>895</v>
      </c>
      <c r="G1456" s="27"/>
      <c r="H1456" s="1"/>
      <c r="I1456" s="1"/>
      <c r="J1456" s="1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 spans="1:27" ht="16" customHeight="1">
      <c r="A1457" s="12"/>
      <c r="B1457" s="109" t="s">
        <v>786</v>
      </c>
      <c r="C1457" s="107" t="s">
        <v>83</v>
      </c>
      <c r="D1457" s="100" t="s">
        <v>18</v>
      </c>
      <c r="E1457" s="17">
        <v>1228</v>
      </c>
      <c r="F1457" s="18">
        <v>925</v>
      </c>
      <c r="G1457" s="27"/>
      <c r="H1457" s="1"/>
      <c r="I1457" s="1"/>
      <c r="J1457" s="1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 spans="1:27" ht="16" customHeight="1">
      <c r="A1458" s="12"/>
      <c r="B1458" s="108"/>
      <c r="C1458" s="106"/>
      <c r="D1458" s="100" t="s">
        <v>20</v>
      </c>
      <c r="E1458" s="17">
        <v>1229</v>
      </c>
      <c r="F1458" s="18">
        <v>725</v>
      </c>
      <c r="G1458" s="27"/>
      <c r="H1458" s="1"/>
      <c r="I1458" s="1"/>
      <c r="J1458" s="1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 spans="1:27" ht="16" customHeight="1">
      <c r="A1459" s="12"/>
      <c r="B1459" s="108"/>
      <c r="C1459" s="106"/>
      <c r="D1459" s="100" t="s">
        <v>14</v>
      </c>
      <c r="E1459" s="17">
        <v>1230</v>
      </c>
      <c r="F1459" s="18">
        <v>509</v>
      </c>
      <c r="G1459" s="27"/>
      <c r="H1459" s="1"/>
      <c r="I1459" s="1"/>
      <c r="J1459" s="1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 spans="1:27" ht="16" customHeight="1">
      <c r="A1460" s="12"/>
      <c r="B1460" s="108"/>
      <c r="C1460" s="106"/>
      <c r="D1460" s="100" t="s">
        <v>107</v>
      </c>
      <c r="E1460" s="17" t="s">
        <v>787</v>
      </c>
      <c r="F1460" s="18">
        <v>955</v>
      </c>
      <c r="G1460" s="27"/>
      <c r="H1460" s="1"/>
      <c r="I1460" s="1"/>
      <c r="J1460" s="1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 spans="1:27" ht="15.5" customHeight="1">
      <c r="A1461" s="136"/>
      <c r="B1461" s="137" t="s">
        <v>788</v>
      </c>
      <c r="C1461" s="138" t="s">
        <v>756</v>
      </c>
      <c r="D1461" s="139" t="s">
        <v>12</v>
      </c>
      <c r="E1461" s="140">
        <v>3428</v>
      </c>
      <c r="F1461" s="141">
        <v>955</v>
      </c>
      <c r="G1461" s="142"/>
      <c r="H1461" s="1"/>
      <c r="I1461" s="1"/>
      <c r="J1461" s="1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 spans="1:27" ht="16" customHeight="1">
      <c r="A1462" s="12"/>
      <c r="B1462" s="109" t="s">
        <v>788</v>
      </c>
      <c r="C1462" s="107" t="s">
        <v>789</v>
      </c>
      <c r="D1462" s="100" t="s">
        <v>18</v>
      </c>
      <c r="E1462" s="17">
        <v>2290</v>
      </c>
      <c r="F1462" s="18">
        <v>720</v>
      </c>
      <c r="G1462" s="27"/>
      <c r="H1462" s="1"/>
      <c r="I1462" s="1"/>
      <c r="J1462" s="1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 spans="1:27" ht="30" customHeight="1">
      <c r="A1463" s="12"/>
      <c r="B1463" s="108"/>
      <c r="C1463" s="106"/>
      <c r="D1463" s="100" t="s">
        <v>20</v>
      </c>
      <c r="E1463" s="17">
        <v>2291</v>
      </c>
      <c r="F1463" s="18">
        <v>720</v>
      </c>
      <c r="G1463" s="27"/>
      <c r="H1463" s="1"/>
      <c r="I1463" s="1"/>
      <c r="J1463" s="1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 spans="1:27" ht="16" customHeight="1">
      <c r="A1464" s="12"/>
      <c r="B1464" s="108"/>
      <c r="C1464" s="106"/>
      <c r="D1464" s="100" t="s">
        <v>14</v>
      </c>
      <c r="E1464" s="17" t="s">
        <v>790</v>
      </c>
      <c r="F1464" s="18">
        <v>955</v>
      </c>
      <c r="G1464" s="27"/>
      <c r="H1464" s="1"/>
      <c r="I1464" s="1"/>
      <c r="J1464" s="1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 spans="1:27" ht="16" customHeight="1">
      <c r="A1465" s="12"/>
      <c r="B1465" s="108"/>
      <c r="C1465" s="106"/>
      <c r="D1465" s="100" t="s">
        <v>33</v>
      </c>
      <c r="E1465" s="17">
        <v>2293</v>
      </c>
      <c r="F1465" s="18">
        <v>955</v>
      </c>
      <c r="G1465" s="27"/>
      <c r="H1465" s="1"/>
      <c r="I1465" s="1"/>
      <c r="J1465" s="1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 spans="1:27" ht="16" customHeight="1">
      <c r="A1466" s="12"/>
      <c r="B1466" s="108"/>
      <c r="C1466" s="106"/>
      <c r="D1466" s="100" t="s">
        <v>791</v>
      </c>
      <c r="E1466" s="17">
        <v>2294</v>
      </c>
      <c r="F1466" s="18">
        <v>509</v>
      </c>
      <c r="G1466" s="27"/>
      <c r="H1466" s="1"/>
      <c r="I1466" s="1"/>
      <c r="J1466" s="1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 spans="1:27" ht="16" customHeight="1">
      <c r="A1467" s="12"/>
      <c r="B1467" s="109" t="s">
        <v>788</v>
      </c>
      <c r="C1467" s="107" t="s">
        <v>792</v>
      </c>
      <c r="D1467" s="100" t="s">
        <v>12</v>
      </c>
      <c r="E1467" s="17">
        <v>3191</v>
      </c>
      <c r="F1467" s="18">
        <v>1145</v>
      </c>
      <c r="G1467" s="27"/>
      <c r="H1467" s="1"/>
      <c r="I1467" s="1"/>
      <c r="J1467" s="1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 spans="1:27" ht="16" customHeight="1">
      <c r="A1468" s="12"/>
      <c r="B1468" s="108"/>
      <c r="C1468" s="106"/>
      <c r="D1468" s="100" t="s">
        <v>82</v>
      </c>
      <c r="E1468" s="17">
        <v>3192</v>
      </c>
      <c r="F1468" s="18">
        <v>1145</v>
      </c>
      <c r="G1468" s="27"/>
      <c r="H1468" s="1"/>
      <c r="I1468" s="1"/>
      <c r="J1468" s="1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 spans="1:27" ht="16" customHeight="1">
      <c r="A1469" s="12"/>
      <c r="B1469" s="108"/>
      <c r="C1469" s="106"/>
      <c r="D1469" s="100" t="s">
        <v>14</v>
      </c>
      <c r="E1469" s="17" t="s">
        <v>793</v>
      </c>
      <c r="F1469" s="18">
        <v>955</v>
      </c>
      <c r="G1469" s="27"/>
      <c r="H1469" s="1"/>
      <c r="I1469" s="1"/>
      <c r="J1469" s="1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 spans="1:27" ht="16" customHeight="1">
      <c r="A1470" s="12"/>
      <c r="B1470" s="109" t="s">
        <v>788</v>
      </c>
      <c r="C1470" s="107" t="s">
        <v>794</v>
      </c>
      <c r="D1470" s="100" t="s">
        <v>12</v>
      </c>
      <c r="E1470" s="17">
        <v>3226</v>
      </c>
      <c r="F1470" s="18">
        <v>1145</v>
      </c>
      <c r="G1470" s="27"/>
      <c r="H1470" s="1"/>
      <c r="I1470" s="1"/>
      <c r="J1470" s="1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 spans="1:27" ht="16" customHeight="1">
      <c r="A1471" s="12"/>
      <c r="B1471" s="108"/>
      <c r="C1471" s="106"/>
      <c r="D1471" s="100" t="s">
        <v>82</v>
      </c>
      <c r="E1471" s="17">
        <v>3227</v>
      </c>
      <c r="F1471" s="18">
        <v>1145</v>
      </c>
      <c r="G1471" s="27"/>
      <c r="H1471" s="1"/>
      <c r="I1471" s="1"/>
      <c r="J1471" s="1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 spans="1:27" ht="16" customHeight="1">
      <c r="A1472" s="12"/>
      <c r="B1472" s="108"/>
      <c r="C1472" s="106"/>
      <c r="D1472" s="100" t="s">
        <v>14</v>
      </c>
      <c r="E1472" s="17">
        <v>3228</v>
      </c>
      <c r="F1472" s="18">
        <v>955</v>
      </c>
      <c r="G1472" s="27"/>
      <c r="H1472" s="1"/>
      <c r="I1472" s="1"/>
      <c r="J1472" s="1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 spans="1:27" ht="16" customHeight="1">
      <c r="A1473" s="12"/>
      <c r="B1473" s="109" t="s">
        <v>795</v>
      </c>
      <c r="C1473" s="107" t="s">
        <v>796</v>
      </c>
      <c r="D1473" s="100" t="s">
        <v>12</v>
      </c>
      <c r="E1473" s="17">
        <v>3361</v>
      </c>
      <c r="F1473" s="18">
        <v>955</v>
      </c>
      <c r="G1473" s="27"/>
      <c r="H1473" s="1"/>
      <c r="I1473" s="1"/>
      <c r="J1473" s="1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 spans="1:27" ht="16" customHeight="1">
      <c r="A1474" s="12"/>
      <c r="B1474" s="109" t="s">
        <v>797</v>
      </c>
      <c r="C1474" s="106"/>
      <c r="D1474" s="100" t="s">
        <v>82</v>
      </c>
      <c r="E1474" s="17">
        <v>3362</v>
      </c>
      <c r="F1474" s="18">
        <v>955</v>
      </c>
      <c r="G1474" s="27"/>
      <c r="H1474" s="1"/>
      <c r="I1474" s="1"/>
      <c r="J1474" s="1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 spans="1:27" ht="16" customHeight="1">
      <c r="A1475" s="12"/>
      <c r="B1475" s="108"/>
      <c r="C1475" s="106"/>
      <c r="D1475" s="100" t="s">
        <v>14</v>
      </c>
      <c r="E1475" s="17" t="s">
        <v>798</v>
      </c>
      <c r="F1475" s="18">
        <v>955</v>
      </c>
      <c r="G1475" s="27"/>
      <c r="H1475" s="1"/>
      <c r="I1475" s="1"/>
      <c r="J1475" s="1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 spans="1:27" ht="16" customHeight="1">
      <c r="A1476" s="12"/>
      <c r="B1476" s="108"/>
      <c r="C1476" s="106"/>
      <c r="D1476" s="100" t="s">
        <v>33</v>
      </c>
      <c r="E1476" s="17">
        <v>3364</v>
      </c>
      <c r="F1476" s="18">
        <v>955</v>
      </c>
      <c r="G1476" s="27"/>
      <c r="H1476" s="1"/>
      <c r="I1476" s="1"/>
      <c r="J1476" s="1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 spans="1:27" ht="16" customHeight="1">
      <c r="A1477" s="12"/>
      <c r="B1477" s="109" t="s">
        <v>799</v>
      </c>
      <c r="C1477" s="107" t="s">
        <v>800</v>
      </c>
      <c r="D1477" s="100" t="s">
        <v>26</v>
      </c>
      <c r="E1477" s="17">
        <v>1416</v>
      </c>
      <c r="F1477" s="18">
        <v>1145</v>
      </c>
      <c r="G1477" s="27"/>
      <c r="H1477" s="1"/>
      <c r="I1477" s="1"/>
      <c r="J1477" s="1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 spans="1:27" ht="16" customHeight="1">
      <c r="A1478" s="12"/>
      <c r="B1478" s="108"/>
      <c r="C1478" s="107" t="s">
        <v>801</v>
      </c>
      <c r="D1478" s="100" t="s">
        <v>29</v>
      </c>
      <c r="E1478" s="17">
        <v>1417</v>
      </c>
      <c r="F1478" s="18">
        <v>1145</v>
      </c>
      <c r="G1478" s="27"/>
      <c r="H1478" s="1"/>
      <c r="I1478" s="1"/>
      <c r="J1478" s="1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 spans="1:27" ht="16" customHeight="1">
      <c r="A1479" s="12"/>
      <c r="B1479" s="108"/>
      <c r="C1479" s="106"/>
      <c r="D1479" s="100" t="s">
        <v>14</v>
      </c>
      <c r="E1479" s="17">
        <v>1418</v>
      </c>
      <c r="F1479" s="18">
        <v>1273</v>
      </c>
      <c r="G1479" s="27"/>
      <c r="H1479" s="1"/>
      <c r="I1479" s="1"/>
      <c r="J1479" s="1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 spans="1:27" ht="16" customHeight="1">
      <c r="A1480" s="130"/>
      <c r="B1480" s="131" t="s">
        <v>1831</v>
      </c>
      <c r="C1480" s="131" t="s">
        <v>1832</v>
      </c>
      <c r="D1480" s="131" t="s">
        <v>1833</v>
      </c>
      <c r="E1480" s="131">
        <v>8500</v>
      </c>
    </row>
    <row r="1481" spans="1:27" ht="16" customHeight="1">
      <c r="A1481" s="130"/>
      <c r="B1481" s="131" t="s">
        <v>1831</v>
      </c>
      <c r="C1481" s="131" t="s">
        <v>1834</v>
      </c>
      <c r="D1481" s="131" t="s">
        <v>1835</v>
      </c>
      <c r="E1481" s="131">
        <v>2700</v>
      </c>
    </row>
    <row r="1482" spans="1:27" ht="16" customHeight="1">
      <c r="A1482" s="130"/>
      <c r="B1482" s="131" t="s">
        <v>1831</v>
      </c>
      <c r="C1482" s="131" t="s">
        <v>1836</v>
      </c>
      <c r="D1482" s="131" t="s">
        <v>1837</v>
      </c>
      <c r="E1482" s="131">
        <v>880</v>
      </c>
    </row>
    <row r="1483" spans="1:27" ht="16" customHeight="1">
      <c r="A1483" s="130"/>
      <c r="B1483" s="131" t="s">
        <v>1831</v>
      </c>
      <c r="C1483" s="131" t="s">
        <v>1838</v>
      </c>
      <c r="D1483" s="131" t="s">
        <v>18</v>
      </c>
      <c r="E1483" s="131">
        <v>720</v>
      </c>
    </row>
    <row r="1484" spans="1:27" ht="16" customHeight="1">
      <c r="A1484" s="130"/>
      <c r="B1484" s="131" t="s">
        <v>1831</v>
      </c>
      <c r="C1484" s="131" t="s">
        <v>1839</v>
      </c>
      <c r="D1484" s="131" t="s">
        <v>1779</v>
      </c>
      <c r="E1484" s="131">
        <v>8750</v>
      </c>
    </row>
    <row r="1485" spans="1:27" ht="16" customHeight="1">
      <c r="A1485" s="124" t="s">
        <v>802</v>
      </c>
      <c r="H1485" s="1"/>
      <c r="I1485" s="1"/>
      <c r="J1485" s="1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 spans="1:27" ht="16" customHeight="1">
      <c r="A1486" s="12"/>
      <c r="B1486" s="109" t="s">
        <v>802</v>
      </c>
      <c r="C1486" s="107" t="s">
        <v>229</v>
      </c>
      <c r="D1486" s="100" t="s">
        <v>18</v>
      </c>
      <c r="E1486" s="17">
        <v>588</v>
      </c>
      <c r="F1486" s="18">
        <v>720</v>
      </c>
      <c r="G1486" s="27"/>
      <c r="H1486" s="1"/>
      <c r="I1486" s="1"/>
      <c r="J1486" s="1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 spans="1:27" ht="16" customHeight="1">
      <c r="A1487" s="12"/>
      <c r="B1487" s="109" t="s">
        <v>803</v>
      </c>
      <c r="C1487" s="107" t="s">
        <v>804</v>
      </c>
      <c r="D1487" s="100" t="s">
        <v>26</v>
      </c>
      <c r="E1487" s="17">
        <v>526</v>
      </c>
      <c r="F1487" s="18">
        <v>318</v>
      </c>
      <c r="G1487" s="27"/>
      <c r="H1487" s="1"/>
      <c r="I1487" s="1"/>
      <c r="J1487" s="1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 spans="1:27" ht="16" customHeight="1">
      <c r="A1488" s="12"/>
      <c r="B1488" s="108"/>
      <c r="C1488" s="107" t="s">
        <v>466</v>
      </c>
      <c r="D1488" s="100" t="s">
        <v>26</v>
      </c>
      <c r="E1488" s="17">
        <v>703</v>
      </c>
      <c r="F1488" s="18">
        <v>318</v>
      </c>
      <c r="G1488" s="27"/>
      <c r="H1488" s="1"/>
      <c r="I1488" s="1"/>
      <c r="J1488" s="1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 spans="1:27" ht="16" customHeight="1">
      <c r="A1489" s="12"/>
      <c r="B1489" s="109" t="s">
        <v>805</v>
      </c>
      <c r="C1489" s="107" t="s">
        <v>68</v>
      </c>
      <c r="D1489" s="100" t="s">
        <v>29</v>
      </c>
      <c r="E1489" s="17">
        <v>704</v>
      </c>
      <c r="F1489" s="18">
        <v>318</v>
      </c>
      <c r="G1489" s="27"/>
      <c r="H1489" s="1"/>
      <c r="I1489" s="1"/>
      <c r="J1489" s="1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 spans="1:27" ht="16" customHeight="1">
      <c r="A1490" s="12"/>
      <c r="B1490" s="109" t="s">
        <v>802</v>
      </c>
      <c r="C1490" s="107" t="s">
        <v>102</v>
      </c>
      <c r="D1490" s="100" t="s">
        <v>22</v>
      </c>
      <c r="E1490" s="17">
        <v>527</v>
      </c>
      <c r="F1490" s="18">
        <v>286</v>
      </c>
      <c r="G1490" s="27"/>
      <c r="H1490" s="1"/>
      <c r="I1490" s="1"/>
      <c r="J1490" s="1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 spans="1:27" ht="16" customHeight="1">
      <c r="A1491" s="12"/>
      <c r="B1491" s="109">
        <v>2001</v>
      </c>
      <c r="C1491" s="106"/>
      <c r="D1491" s="100" t="s">
        <v>103</v>
      </c>
      <c r="E1491" s="17">
        <v>708</v>
      </c>
      <c r="F1491" s="18">
        <v>382</v>
      </c>
      <c r="G1491" s="27"/>
      <c r="H1491" s="1"/>
      <c r="I1491" s="1"/>
      <c r="J1491" s="1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 spans="1:27" ht="16" customHeight="1">
      <c r="A1492" s="12"/>
      <c r="B1492" s="116" t="s">
        <v>806</v>
      </c>
      <c r="C1492" s="106"/>
      <c r="D1492" s="100" t="s">
        <v>259</v>
      </c>
      <c r="E1492" s="17">
        <v>3246</v>
      </c>
      <c r="F1492" s="18" t="s">
        <v>807</v>
      </c>
      <c r="G1492" s="27"/>
      <c r="H1492" s="1"/>
      <c r="I1492" s="1"/>
      <c r="J1492" s="1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 spans="1:27" ht="16" customHeight="1">
      <c r="A1493" s="12"/>
      <c r="B1493" s="109" t="s">
        <v>802</v>
      </c>
      <c r="C1493" s="107" t="s">
        <v>102</v>
      </c>
      <c r="D1493" s="100" t="s">
        <v>18</v>
      </c>
      <c r="E1493" s="17">
        <v>799</v>
      </c>
      <c r="F1493" s="18">
        <v>720</v>
      </c>
      <c r="G1493" s="27"/>
      <c r="H1493" s="1"/>
      <c r="I1493" s="1"/>
      <c r="J1493" s="1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 spans="1:27" ht="16" customHeight="1">
      <c r="A1494" s="12"/>
      <c r="B1494" s="109" t="s">
        <v>808</v>
      </c>
      <c r="C1494" s="106"/>
      <c r="D1494" s="100" t="s">
        <v>20</v>
      </c>
      <c r="E1494" s="17">
        <v>800</v>
      </c>
      <c r="F1494" s="18">
        <v>720</v>
      </c>
      <c r="G1494" s="27"/>
      <c r="H1494" s="1"/>
      <c r="I1494" s="1"/>
      <c r="J1494" s="1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 spans="1:27" ht="16" customHeight="1">
      <c r="A1495" s="12"/>
      <c r="B1495" s="108"/>
      <c r="C1495" s="106"/>
      <c r="D1495" s="100" t="s">
        <v>809</v>
      </c>
      <c r="E1495" s="17">
        <v>801</v>
      </c>
      <c r="F1495" s="18">
        <v>445</v>
      </c>
      <c r="G1495" s="27"/>
      <c r="H1495" s="1"/>
      <c r="I1495" s="1"/>
      <c r="J1495" s="1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 spans="1:27" ht="16" customHeight="1">
      <c r="A1496" s="12"/>
      <c r="B1496" s="108"/>
      <c r="C1496" s="106"/>
      <c r="D1496" s="100" t="s">
        <v>60</v>
      </c>
      <c r="E1496" s="17">
        <v>802</v>
      </c>
      <c r="F1496" s="18">
        <v>573</v>
      </c>
      <c r="G1496" s="27"/>
      <c r="H1496" s="1"/>
      <c r="I1496" s="1"/>
      <c r="J1496" s="1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 spans="1:27" ht="16" customHeight="1">
      <c r="A1497" s="12"/>
      <c r="B1497" s="108"/>
      <c r="C1497" s="106"/>
      <c r="D1497" s="100" t="s">
        <v>60</v>
      </c>
      <c r="E1497" s="17">
        <v>803</v>
      </c>
      <c r="F1497" s="18">
        <v>509</v>
      </c>
      <c r="G1497" s="27"/>
      <c r="H1497" s="1"/>
      <c r="I1497" s="1"/>
      <c r="J1497" s="1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 spans="1:27" ht="16" customHeight="1">
      <c r="A1498" s="12"/>
      <c r="B1498" s="109" t="s">
        <v>802</v>
      </c>
      <c r="C1498" s="107" t="s">
        <v>810</v>
      </c>
      <c r="D1498" s="100" t="s">
        <v>18</v>
      </c>
      <c r="E1498" s="17">
        <v>804</v>
      </c>
      <c r="F1498" s="18">
        <v>720</v>
      </c>
      <c r="G1498" s="27"/>
      <c r="H1498" s="1"/>
      <c r="I1498" s="1"/>
      <c r="J1498" s="1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 spans="1:27" ht="16" customHeight="1">
      <c r="A1499" s="12"/>
      <c r="B1499" s="109" t="s">
        <v>808</v>
      </c>
      <c r="C1499" s="107" t="s">
        <v>331</v>
      </c>
      <c r="D1499" s="100" t="s">
        <v>20</v>
      </c>
      <c r="E1499" s="17">
        <v>881</v>
      </c>
      <c r="F1499" s="18">
        <v>720</v>
      </c>
      <c r="G1499" s="27"/>
      <c r="H1499" s="1"/>
      <c r="I1499" s="1"/>
      <c r="J1499" s="1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 spans="1:27" ht="16" customHeight="1">
      <c r="A1500" s="12"/>
      <c r="B1500" s="108"/>
      <c r="C1500" s="107" t="s">
        <v>810</v>
      </c>
      <c r="D1500" s="100" t="s">
        <v>811</v>
      </c>
      <c r="E1500" s="17">
        <v>805</v>
      </c>
      <c r="F1500" s="18">
        <v>573</v>
      </c>
      <c r="G1500" s="27"/>
      <c r="H1500" s="1"/>
      <c r="I1500" s="1"/>
      <c r="J1500" s="1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 spans="1:27" ht="16" customHeight="1">
      <c r="A1501" s="12"/>
      <c r="B1501" s="108"/>
      <c r="C1501" s="107" t="s">
        <v>812</v>
      </c>
      <c r="D1501" s="100" t="s">
        <v>639</v>
      </c>
      <c r="E1501" s="17">
        <v>882</v>
      </c>
      <c r="F1501" s="18">
        <v>509</v>
      </c>
      <c r="G1501" s="27"/>
      <c r="H1501" s="1"/>
      <c r="I1501" s="1"/>
      <c r="J1501" s="1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 spans="1:27" ht="16" customHeight="1">
      <c r="A1502" s="12"/>
      <c r="B1502" s="108"/>
      <c r="C1502" s="106"/>
      <c r="D1502" s="100" t="s">
        <v>813</v>
      </c>
      <c r="E1502" s="17">
        <v>883</v>
      </c>
      <c r="F1502" s="18">
        <v>891</v>
      </c>
      <c r="G1502" s="27"/>
      <c r="H1502" s="1"/>
      <c r="I1502" s="1"/>
      <c r="J1502" s="1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 spans="1:27" ht="16" customHeight="1">
      <c r="A1503" s="12"/>
      <c r="B1503" s="108"/>
      <c r="C1503" s="106"/>
      <c r="D1503" s="100" t="s">
        <v>814</v>
      </c>
      <c r="E1503" s="17">
        <v>884</v>
      </c>
      <c r="F1503" s="18">
        <v>509</v>
      </c>
      <c r="G1503" s="27"/>
      <c r="H1503" s="1"/>
      <c r="I1503" s="1"/>
      <c r="J1503" s="1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 spans="1:27" ht="16" customHeight="1">
      <c r="A1504" s="12"/>
      <c r="B1504" s="108"/>
      <c r="C1504" s="106"/>
      <c r="D1504" s="100" t="s">
        <v>815</v>
      </c>
      <c r="E1504" s="17">
        <v>885</v>
      </c>
      <c r="F1504" s="18">
        <v>573</v>
      </c>
      <c r="G1504" s="27"/>
      <c r="H1504" s="1"/>
      <c r="I1504" s="1"/>
      <c r="J1504" s="1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 spans="1:27" ht="16" customHeight="1">
      <c r="A1505" s="12"/>
      <c r="B1505" s="109" t="s">
        <v>802</v>
      </c>
      <c r="C1505" s="107" t="s">
        <v>810</v>
      </c>
      <c r="D1505" s="100" t="s">
        <v>18</v>
      </c>
      <c r="E1505" s="17">
        <v>1299</v>
      </c>
      <c r="F1505" s="18">
        <v>720</v>
      </c>
      <c r="G1505" s="27"/>
      <c r="H1505" s="1"/>
      <c r="I1505" s="1"/>
      <c r="J1505" s="1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 spans="1:27" ht="16" customHeight="1">
      <c r="A1506" s="12"/>
      <c r="B1506" s="109" t="s">
        <v>816</v>
      </c>
      <c r="C1506" s="107" t="s">
        <v>344</v>
      </c>
      <c r="D1506" s="100" t="s">
        <v>20</v>
      </c>
      <c r="E1506" s="17">
        <v>1305</v>
      </c>
      <c r="F1506" s="18">
        <v>720</v>
      </c>
      <c r="G1506" s="27"/>
      <c r="H1506" s="1"/>
      <c r="I1506" s="1"/>
      <c r="J1506" s="1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 spans="1:27" ht="16" customHeight="1">
      <c r="A1507" s="12"/>
      <c r="B1507" s="108"/>
      <c r="C1507" s="106"/>
      <c r="D1507" s="100" t="s">
        <v>14</v>
      </c>
      <c r="E1507" s="17">
        <v>1300</v>
      </c>
      <c r="F1507" s="18">
        <v>509</v>
      </c>
      <c r="G1507" s="27"/>
      <c r="H1507" s="1"/>
      <c r="I1507" s="1"/>
      <c r="J1507" s="1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 spans="1:27" ht="16" customHeight="1">
      <c r="A1508" s="12"/>
      <c r="B1508" s="108"/>
      <c r="C1508" s="106"/>
      <c r="D1508" s="100" t="s">
        <v>22</v>
      </c>
      <c r="E1508" s="17">
        <v>1301</v>
      </c>
      <c r="F1508" s="18">
        <v>764</v>
      </c>
      <c r="G1508" s="27"/>
      <c r="H1508" s="1"/>
      <c r="I1508" s="1"/>
      <c r="J1508" s="1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 spans="1:27" ht="16" customHeight="1">
      <c r="A1509" s="12"/>
      <c r="B1509" s="108"/>
      <c r="C1509" s="106"/>
      <c r="D1509" s="100" t="s">
        <v>60</v>
      </c>
      <c r="E1509" s="17">
        <v>1302</v>
      </c>
      <c r="F1509" s="18">
        <v>764</v>
      </c>
      <c r="G1509" s="27"/>
      <c r="H1509" s="1"/>
      <c r="I1509" s="1"/>
      <c r="J1509" s="1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 spans="1:27" ht="16" customHeight="1">
      <c r="A1510" s="12"/>
      <c r="B1510" s="108"/>
      <c r="C1510" s="106"/>
      <c r="D1510" s="100" t="s">
        <v>61</v>
      </c>
      <c r="E1510" s="17">
        <v>1303</v>
      </c>
      <c r="F1510" s="18">
        <v>955</v>
      </c>
      <c r="G1510" s="27"/>
      <c r="H1510" s="1"/>
      <c r="I1510" s="1"/>
      <c r="J1510" s="1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 spans="1:27" ht="16" customHeight="1">
      <c r="A1511" s="12"/>
      <c r="B1511" s="108"/>
      <c r="C1511" s="106"/>
      <c r="D1511" s="100" t="s">
        <v>380</v>
      </c>
      <c r="E1511" s="17">
        <v>1304</v>
      </c>
      <c r="F1511" s="18">
        <v>764</v>
      </c>
      <c r="G1511" s="27"/>
      <c r="H1511" s="1"/>
      <c r="I1511" s="1"/>
      <c r="J1511" s="1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 spans="1:27" ht="16" customHeight="1">
      <c r="A1512" s="12"/>
      <c r="B1512" s="108"/>
      <c r="C1512" s="106"/>
      <c r="D1512" s="100" t="s">
        <v>65</v>
      </c>
      <c r="E1512" s="17">
        <v>1313</v>
      </c>
      <c r="F1512" s="18">
        <v>1591</v>
      </c>
      <c r="G1512" s="27"/>
      <c r="H1512" s="1"/>
      <c r="I1512" s="1"/>
      <c r="J1512" s="1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 spans="1:27" ht="16" customHeight="1">
      <c r="A1513" s="12"/>
      <c r="B1513" s="108"/>
      <c r="C1513" s="106"/>
      <c r="D1513" s="100" t="s">
        <v>817</v>
      </c>
      <c r="E1513" s="17">
        <v>1316</v>
      </c>
      <c r="F1513" s="18">
        <v>159</v>
      </c>
      <c r="G1513" s="27"/>
      <c r="H1513" s="1"/>
      <c r="I1513" s="1"/>
      <c r="J1513" s="1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 spans="1:27" ht="16" customHeight="1">
      <c r="A1514" s="12"/>
      <c r="B1514" s="108"/>
      <c r="C1514" s="106"/>
      <c r="D1514" s="100" t="s">
        <v>22</v>
      </c>
      <c r="E1514" s="17">
        <v>1318</v>
      </c>
      <c r="F1514" s="18">
        <v>1145</v>
      </c>
      <c r="G1514" s="27"/>
      <c r="H1514" s="1"/>
      <c r="I1514" s="1"/>
      <c r="J1514" s="1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 spans="1:27" ht="16" customHeight="1">
      <c r="A1515" s="12"/>
      <c r="B1515" s="108"/>
      <c r="C1515" s="106"/>
      <c r="D1515" s="100" t="s">
        <v>213</v>
      </c>
      <c r="E1515" s="17">
        <v>1319</v>
      </c>
      <c r="F1515" s="18">
        <v>573</v>
      </c>
      <c r="G1515" s="27"/>
      <c r="H1515" s="1"/>
      <c r="I1515" s="1"/>
      <c r="J1515" s="1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 spans="1:27" ht="16" customHeight="1">
      <c r="A1516" s="12"/>
      <c r="B1516" s="109" t="s">
        <v>818</v>
      </c>
      <c r="C1516" s="106"/>
      <c r="D1516" s="100" t="s">
        <v>29</v>
      </c>
      <c r="E1516" s="17" t="s">
        <v>819</v>
      </c>
      <c r="F1516" s="18">
        <v>955</v>
      </c>
      <c r="G1516" s="27"/>
      <c r="H1516" s="1"/>
      <c r="I1516" s="1"/>
      <c r="J1516" s="1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 spans="1:27" ht="16" customHeight="1">
      <c r="A1517" s="12"/>
      <c r="B1517" s="109" t="s">
        <v>802</v>
      </c>
      <c r="C1517" s="107" t="s">
        <v>820</v>
      </c>
      <c r="D1517" s="100" t="s">
        <v>60</v>
      </c>
      <c r="E1517" s="17">
        <v>1054</v>
      </c>
      <c r="F1517" s="18">
        <v>955</v>
      </c>
      <c r="G1517" s="27"/>
      <c r="H1517" s="1"/>
      <c r="I1517" s="1"/>
      <c r="J1517" s="1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 spans="1:27" ht="16" customHeight="1">
      <c r="A1518" s="12"/>
      <c r="B1518" s="109" t="s">
        <v>821</v>
      </c>
      <c r="C1518" s="106"/>
      <c r="D1518" s="100" t="s">
        <v>14</v>
      </c>
      <c r="E1518" s="17">
        <v>1055</v>
      </c>
      <c r="F1518" s="18">
        <v>509</v>
      </c>
      <c r="G1518" s="27"/>
      <c r="H1518" s="1"/>
      <c r="I1518" s="1"/>
      <c r="J1518" s="1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 spans="1:27" ht="16" customHeight="1">
      <c r="A1519" s="12"/>
      <c r="B1519" s="108"/>
      <c r="C1519" s="106"/>
      <c r="D1519" s="100" t="s">
        <v>22</v>
      </c>
      <c r="E1519" s="17">
        <v>1052</v>
      </c>
      <c r="F1519" s="18">
        <v>509</v>
      </c>
      <c r="G1519" s="27"/>
      <c r="H1519" s="1"/>
      <c r="I1519" s="1"/>
      <c r="J1519" s="1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 spans="1:27" ht="16" customHeight="1">
      <c r="A1520" s="12"/>
      <c r="B1520" s="108"/>
      <c r="C1520" s="106"/>
      <c r="D1520" s="100" t="s">
        <v>29</v>
      </c>
      <c r="E1520" s="17">
        <v>1056</v>
      </c>
      <c r="F1520" s="18">
        <v>318</v>
      </c>
      <c r="G1520" s="27"/>
      <c r="H1520" s="1"/>
      <c r="I1520" s="1"/>
      <c r="J1520" s="1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 spans="1:27" ht="16" customHeight="1">
      <c r="A1521" s="12"/>
      <c r="B1521" s="108"/>
      <c r="C1521" s="106"/>
      <c r="D1521" s="100" t="s">
        <v>822</v>
      </c>
      <c r="E1521" s="17">
        <v>1263</v>
      </c>
      <c r="F1521" s="18">
        <v>127</v>
      </c>
      <c r="G1521" s="27"/>
      <c r="H1521" s="1"/>
      <c r="I1521" s="1"/>
      <c r="J1521" s="1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 spans="1:27" ht="16" customHeight="1">
      <c r="A1522" s="12"/>
      <c r="B1522" s="108"/>
      <c r="C1522" s="106"/>
      <c r="D1522" s="100" t="s">
        <v>823</v>
      </c>
      <c r="E1522" s="17">
        <v>1264</v>
      </c>
      <c r="F1522" s="18">
        <v>191</v>
      </c>
      <c r="G1522" s="27"/>
      <c r="H1522" s="1"/>
      <c r="I1522" s="1"/>
      <c r="J1522" s="1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 spans="1:27" ht="16" customHeight="1">
      <c r="A1523" s="12"/>
      <c r="B1523" s="108"/>
      <c r="C1523" s="107" t="s">
        <v>824</v>
      </c>
      <c r="D1523" s="100" t="s">
        <v>29</v>
      </c>
      <c r="E1523" s="17">
        <v>1057</v>
      </c>
      <c r="F1523" s="18">
        <v>318</v>
      </c>
      <c r="G1523" s="27"/>
      <c r="H1523" s="1"/>
      <c r="I1523" s="1"/>
      <c r="J1523" s="1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 spans="1:27" ht="16" customHeight="1">
      <c r="A1524" s="12"/>
      <c r="B1524" s="108"/>
      <c r="C1524" s="107" t="s">
        <v>428</v>
      </c>
      <c r="D1524" s="100" t="s">
        <v>12</v>
      </c>
      <c r="E1524" s="17">
        <v>1613</v>
      </c>
      <c r="F1524" s="18">
        <v>0</v>
      </c>
      <c r="G1524" s="27"/>
      <c r="H1524" s="1"/>
      <c r="I1524" s="1"/>
      <c r="J1524" s="1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 spans="1:27" ht="26" customHeight="1">
      <c r="A1525" s="12"/>
      <c r="B1525" s="108"/>
      <c r="C1525" s="107" t="s">
        <v>428</v>
      </c>
      <c r="D1525" s="100" t="s">
        <v>22</v>
      </c>
      <c r="E1525" s="17">
        <v>1210</v>
      </c>
      <c r="F1525" s="18">
        <v>1145</v>
      </c>
      <c r="G1525" s="27"/>
      <c r="H1525" s="1"/>
      <c r="I1525" s="1"/>
      <c r="J1525" s="1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 spans="1:27" ht="16" customHeight="1">
      <c r="A1526" s="12"/>
      <c r="B1526" s="110" t="s">
        <v>825</v>
      </c>
      <c r="C1526" s="107" t="s">
        <v>826</v>
      </c>
      <c r="D1526" s="100" t="s">
        <v>60</v>
      </c>
      <c r="E1526" s="17">
        <v>3304</v>
      </c>
      <c r="F1526" s="18" t="s">
        <v>807</v>
      </c>
      <c r="G1526" s="27"/>
      <c r="H1526" s="1"/>
      <c r="I1526" s="1"/>
      <c r="J1526" s="1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 spans="1:27" ht="16" customHeight="1">
      <c r="A1527" s="12"/>
      <c r="B1527" s="108"/>
      <c r="C1527" s="107" t="s">
        <v>344</v>
      </c>
      <c r="D1527" s="100" t="s">
        <v>61</v>
      </c>
      <c r="E1527" s="17">
        <v>3305</v>
      </c>
      <c r="F1527" s="18" t="s">
        <v>807</v>
      </c>
      <c r="G1527" s="27"/>
      <c r="H1527" s="1"/>
      <c r="I1527" s="1"/>
      <c r="J1527" s="1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 spans="1:27" ht="16" customHeight="1">
      <c r="A1528" s="12"/>
      <c r="B1528" s="108"/>
      <c r="C1528" s="106"/>
      <c r="D1528" s="100" t="s">
        <v>26</v>
      </c>
      <c r="E1528" s="17">
        <v>3306</v>
      </c>
      <c r="F1528" s="18" t="s">
        <v>807</v>
      </c>
      <c r="G1528" s="27"/>
      <c r="H1528" s="1"/>
      <c r="I1528" s="1"/>
      <c r="J1528" s="1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 spans="1:27" ht="16" customHeight="1">
      <c r="A1529" s="12"/>
      <c r="B1529" s="108"/>
      <c r="C1529" s="106"/>
      <c r="D1529" s="100" t="s">
        <v>27</v>
      </c>
      <c r="E1529" s="17">
        <v>3307</v>
      </c>
      <c r="F1529" s="18" t="s">
        <v>807</v>
      </c>
      <c r="G1529" s="27"/>
      <c r="H1529" s="1"/>
      <c r="I1529" s="1"/>
      <c r="J1529" s="1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 spans="1:27" ht="16" customHeight="1">
      <c r="A1530" s="12"/>
      <c r="B1530" s="108"/>
      <c r="C1530" s="106"/>
      <c r="D1530" s="100" t="s">
        <v>748</v>
      </c>
      <c r="E1530" s="17">
        <v>3308</v>
      </c>
      <c r="F1530" s="18" t="s">
        <v>807</v>
      </c>
      <c r="G1530" s="27"/>
      <c r="H1530" s="1"/>
      <c r="I1530" s="1"/>
      <c r="J1530" s="1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 spans="1:27" ht="16" customHeight="1">
      <c r="A1531" s="12"/>
      <c r="B1531" s="108"/>
      <c r="C1531" s="106"/>
      <c r="D1531" s="100" t="s">
        <v>827</v>
      </c>
      <c r="E1531" s="17">
        <v>3309</v>
      </c>
      <c r="F1531" s="18" t="s">
        <v>807</v>
      </c>
      <c r="G1531" s="27"/>
      <c r="H1531" s="1"/>
      <c r="I1531" s="1"/>
      <c r="J1531" s="1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 spans="1:27" ht="16" customHeight="1">
      <c r="A1532" s="12"/>
      <c r="B1532" s="108"/>
      <c r="C1532" s="106"/>
      <c r="D1532" s="100" t="s">
        <v>33</v>
      </c>
      <c r="E1532" s="17">
        <v>3310</v>
      </c>
      <c r="F1532" s="18" t="s">
        <v>807</v>
      </c>
      <c r="G1532" s="27"/>
      <c r="H1532" s="1"/>
      <c r="I1532" s="1"/>
      <c r="J1532" s="1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 spans="1:27" ht="16" customHeight="1">
      <c r="A1533" s="12"/>
      <c r="B1533" s="108"/>
      <c r="C1533" s="106"/>
      <c r="D1533" s="100" t="s">
        <v>212</v>
      </c>
      <c r="E1533" s="17">
        <v>3576</v>
      </c>
      <c r="F1533" s="18" t="s">
        <v>807</v>
      </c>
      <c r="G1533" s="27"/>
      <c r="H1533" s="1"/>
      <c r="I1533" s="1"/>
      <c r="J1533" s="1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 spans="1:27" ht="16" customHeight="1">
      <c r="A1534" s="124" t="s">
        <v>828</v>
      </c>
      <c r="H1534" s="1"/>
      <c r="I1534" s="1"/>
      <c r="J1534" s="1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 spans="1:27" ht="16" customHeight="1">
      <c r="A1535" s="12"/>
      <c r="B1535" s="109" t="s">
        <v>829</v>
      </c>
      <c r="C1535" s="107" t="s">
        <v>830</v>
      </c>
      <c r="D1535" s="100" t="s">
        <v>18</v>
      </c>
      <c r="E1535" s="17">
        <v>1477</v>
      </c>
      <c r="F1535" s="18">
        <v>16500</v>
      </c>
      <c r="G1535" s="27"/>
      <c r="H1535" s="1"/>
      <c r="I1535" s="1"/>
      <c r="J1535" s="1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 spans="1:27" ht="16" customHeight="1">
      <c r="A1536" s="12"/>
      <c r="B1536" s="108"/>
      <c r="C1536" s="107" t="s">
        <v>344</v>
      </c>
      <c r="D1536" s="100" t="s">
        <v>831</v>
      </c>
      <c r="E1536" s="17">
        <v>1478</v>
      </c>
      <c r="F1536" s="18"/>
      <c r="G1536" s="27"/>
      <c r="H1536" s="1"/>
      <c r="I1536" s="1"/>
      <c r="J1536" s="1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 spans="1:27" ht="16" customHeight="1">
      <c r="A1537" s="12"/>
      <c r="B1537" s="108"/>
      <c r="C1537" s="106" t="s">
        <v>832</v>
      </c>
      <c r="D1537" s="100" t="s">
        <v>833</v>
      </c>
      <c r="E1537" s="17">
        <v>1479</v>
      </c>
      <c r="F1537" s="18"/>
      <c r="G1537" s="27"/>
      <c r="H1537" s="1"/>
      <c r="I1537" s="1"/>
      <c r="J1537" s="1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 spans="1:27" ht="16" customHeight="1">
      <c r="A1538" s="12"/>
      <c r="B1538" s="108"/>
      <c r="C1538" s="106"/>
      <c r="D1538" s="100" t="s">
        <v>12</v>
      </c>
      <c r="E1538" s="17">
        <v>1480</v>
      </c>
      <c r="F1538" s="18"/>
      <c r="G1538" s="27"/>
      <c r="H1538" s="1"/>
      <c r="I1538" s="1"/>
      <c r="J1538" s="1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 spans="1:27" ht="16" customHeight="1">
      <c r="A1539" s="12"/>
      <c r="B1539" s="108"/>
      <c r="C1539" s="106"/>
      <c r="D1539" s="100" t="s">
        <v>26</v>
      </c>
      <c r="E1539" s="17">
        <v>1481</v>
      </c>
      <c r="F1539" s="18"/>
      <c r="G1539" s="27"/>
      <c r="H1539" s="1"/>
      <c r="I1539" s="1"/>
      <c r="J1539" s="1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 spans="1:27" ht="16" customHeight="1">
      <c r="A1540" s="12"/>
      <c r="B1540" s="108"/>
      <c r="C1540" s="106"/>
      <c r="D1540" s="100" t="s">
        <v>20</v>
      </c>
      <c r="E1540" s="17">
        <v>1482</v>
      </c>
      <c r="F1540" s="18"/>
      <c r="G1540" s="27"/>
      <c r="H1540" s="1"/>
      <c r="I1540" s="1"/>
      <c r="J1540" s="1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 spans="1:27" ht="16" customHeight="1">
      <c r="A1541" s="12"/>
      <c r="B1541" s="108"/>
      <c r="C1541" s="106"/>
      <c r="D1541" s="100" t="s">
        <v>834</v>
      </c>
      <c r="E1541" s="17">
        <v>1483</v>
      </c>
      <c r="F1541" s="18"/>
      <c r="G1541" s="27"/>
      <c r="H1541" s="1"/>
      <c r="I1541" s="1"/>
      <c r="J1541" s="1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 spans="1:27" ht="16" customHeight="1">
      <c r="A1542" s="12"/>
      <c r="B1542" s="108"/>
      <c r="C1542" s="106"/>
      <c r="D1542" s="100" t="s">
        <v>63</v>
      </c>
      <c r="E1542" s="17">
        <v>1484</v>
      </c>
      <c r="F1542" s="18"/>
      <c r="G1542" s="27"/>
      <c r="H1542" s="1"/>
      <c r="I1542" s="1"/>
      <c r="J1542" s="1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 spans="1:27" ht="16" customHeight="1">
      <c r="A1543" s="12"/>
      <c r="B1543" s="108"/>
      <c r="C1543" s="106"/>
      <c r="D1543" s="100" t="s">
        <v>835</v>
      </c>
      <c r="E1543" s="17">
        <v>1485</v>
      </c>
      <c r="F1543" s="18"/>
      <c r="G1543" s="27"/>
      <c r="H1543" s="1"/>
      <c r="I1543" s="1"/>
      <c r="J1543" s="1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 spans="1:27" ht="16" customHeight="1">
      <c r="A1544" s="12"/>
      <c r="B1544" s="108"/>
      <c r="C1544" s="106"/>
      <c r="D1544" s="100" t="s">
        <v>14</v>
      </c>
      <c r="E1544" s="17">
        <v>1486</v>
      </c>
      <c r="F1544" s="18"/>
      <c r="G1544" s="27"/>
      <c r="H1544" s="1"/>
      <c r="I1544" s="1"/>
      <c r="J1544" s="1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 spans="1:27" ht="26" customHeight="1">
      <c r="A1545" s="12"/>
      <c r="B1545" s="108"/>
      <c r="C1545" s="106"/>
      <c r="D1545" s="100" t="s">
        <v>836</v>
      </c>
      <c r="E1545" s="17">
        <v>1487</v>
      </c>
      <c r="F1545" s="18"/>
      <c r="G1545" s="27"/>
      <c r="H1545" s="1"/>
      <c r="I1545" s="1"/>
      <c r="J1545" s="1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 spans="1:27" ht="16" customHeight="1">
      <c r="A1546" s="12"/>
      <c r="B1546" s="108"/>
      <c r="C1546" s="106"/>
      <c r="D1546" s="100" t="s">
        <v>837</v>
      </c>
      <c r="E1546" s="17">
        <v>1488</v>
      </c>
      <c r="F1546" s="18"/>
      <c r="G1546" s="27"/>
      <c r="H1546" s="1"/>
      <c r="I1546" s="1"/>
      <c r="J1546" s="1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 spans="1:27" ht="16" customHeight="1">
      <c r="A1547" s="12"/>
      <c r="B1547" s="108"/>
      <c r="C1547" s="106"/>
      <c r="D1547" s="100" t="s">
        <v>838</v>
      </c>
      <c r="E1547" s="17">
        <v>1489</v>
      </c>
      <c r="F1547" s="18"/>
      <c r="G1547" s="27"/>
      <c r="H1547" s="1"/>
      <c r="I1547" s="1"/>
      <c r="J1547" s="1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 spans="1:27" ht="16" customHeight="1">
      <c r="A1548" s="12"/>
      <c r="B1548" s="108"/>
      <c r="C1548" s="106"/>
      <c r="D1548" s="100" t="s">
        <v>259</v>
      </c>
      <c r="E1548" s="17">
        <v>1490</v>
      </c>
      <c r="F1548" s="18"/>
      <c r="G1548" s="27"/>
      <c r="H1548" s="1"/>
      <c r="I1548" s="1"/>
      <c r="J1548" s="1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 spans="1:27" ht="16" customHeight="1">
      <c r="A1549" s="12"/>
      <c r="B1549" s="108"/>
      <c r="C1549" s="106"/>
      <c r="D1549" s="100" t="s">
        <v>839</v>
      </c>
      <c r="E1549" s="17">
        <v>1491</v>
      </c>
      <c r="F1549" s="18"/>
      <c r="G1549" s="27"/>
      <c r="H1549" s="1"/>
      <c r="I1549" s="1"/>
      <c r="J1549" s="1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 spans="1:27" ht="16" customHeight="1">
      <c r="A1550" s="12"/>
      <c r="B1550" s="108"/>
      <c r="C1550" s="106"/>
      <c r="D1550" s="100" t="s">
        <v>840</v>
      </c>
      <c r="E1550" s="17">
        <v>1492</v>
      </c>
      <c r="F1550" s="18"/>
      <c r="G1550" s="27"/>
      <c r="H1550" s="1"/>
      <c r="I1550" s="1"/>
      <c r="J1550" s="1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 spans="1:27" ht="16" customHeight="1">
      <c r="A1551" s="12"/>
      <c r="B1551" s="108"/>
      <c r="C1551" s="106"/>
      <c r="D1551" s="100" t="s">
        <v>841</v>
      </c>
      <c r="E1551" s="17">
        <v>1493</v>
      </c>
      <c r="F1551" s="18"/>
      <c r="G1551" s="27"/>
      <c r="H1551" s="1"/>
      <c r="I1551" s="1"/>
      <c r="J1551" s="1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 spans="1:27" ht="18" customHeight="1">
      <c r="A1552" s="12"/>
      <c r="B1552" s="108"/>
      <c r="C1552" s="106"/>
      <c r="D1552" s="100" t="s">
        <v>842</v>
      </c>
      <c r="E1552" s="17">
        <v>1494</v>
      </c>
      <c r="F1552" s="18"/>
      <c r="G1552" s="27"/>
      <c r="H1552" s="1"/>
      <c r="I1552" s="1"/>
      <c r="J1552" s="1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 spans="1:27" ht="16" customHeight="1">
      <c r="A1553" s="12"/>
      <c r="B1553" s="109" t="s">
        <v>829</v>
      </c>
      <c r="C1553" s="107" t="s">
        <v>843</v>
      </c>
      <c r="D1553" s="100" t="s">
        <v>18</v>
      </c>
      <c r="E1553" s="17">
        <v>1753</v>
      </c>
      <c r="F1553" s="18">
        <v>7900</v>
      </c>
      <c r="G1553" s="27"/>
      <c r="H1553" s="1"/>
      <c r="I1553" s="1"/>
      <c r="J1553" s="1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 spans="1:27" ht="16" customHeight="1">
      <c r="A1554" s="12"/>
      <c r="B1554" s="108"/>
      <c r="C1554" s="106" t="s">
        <v>832</v>
      </c>
      <c r="D1554" s="100" t="s">
        <v>20</v>
      </c>
      <c r="E1554" s="17">
        <v>1754</v>
      </c>
      <c r="F1554" s="18"/>
      <c r="G1554" s="27"/>
      <c r="H1554" s="1"/>
      <c r="I1554" s="1"/>
      <c r="J1554" s="1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 spans="1:27" ht="16" customHeight="1">
      <c r="A1555" s="12"/>
      <c r="B1555" s="108"/>
      <c r="C1555" s="106"/>
      <c r="D1555" s="100" t="s">
        <v>14</v>
      </c>
      <c r="E1555" s="17">
        <v>1755</v>
      </c>
      <c r="F1555" s="18"/>
      <c r="G1555" s="27"/>
      <c r="H1555" s="1"/>
      <c r="I1555" s="1"/>
      <c r="J1555" s="1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 spans="1:27" ht="16" customHeight="1">
      <c r="A1556" s="12"/>
      <c r="B1556" s="108"/>
      <c r="C1556" s="106"/>
      <c r="D1556" s="100" t="s">
        <v>836</v>
      </c>
      <c r="E1556" s="17">
        <v>1756</v>
      </c>
      <c r="F1556" s="18"/>
      <c r="G1556" s="27"/>
      <c r="H1556" s="1"/>
      <c r="I1556" s="1"/>
      <c r="J1556" s="1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 spans="1:27" ht="16" customHeight="1">
      <c r="A1557" s="12"/>
      <c r="B1557" s="108"/>
      <c r="C1557" s="106"/>
      <c r="D1557" s="100" t="s">
        <v>837</v>
      </c>
      <c r="E1557" s="17">
        <v>1757</v>
      </c>
      <c r="F1557" s="18"/>
      <c r="G1557" s="27"/>
      <c r="H1557" s="1"/>
      <c r="I1557" s="1"/>
      <c r="J1557" s="1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 spans="1:27" ht="16" customHeight="1">
      <c r="A1558" s="12"/>
      <c r="B1558" s="108"/>
      <c r="C1558" s="106"/>
      <c r="D1558" s="100" t="s">
        <v>844</v>
      </c>
      <c r="E1558" s="17">
        <v>1758</v>
      </c>
      <c r="F1558" s="18"/>
      <c r="G1558" s="27"/>
      <c r="H1558" s="1"/>
      <c r="I1558" s="1"/>
      <c r="J1558" s="1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 spans="1:27" ht="26" customHeight="1">
      <c r="A1559" s="12"/>
      <c r="B1559" s="109">
        <v>981</v>
      </c>
      <c r="C1559" s="107" t="s">
        <v>845</v>
      </c>
      <c r="D1559" s="100" t="s">
        <v>12</v>
      </c>
      <c r="E1559" s="17">
        <v>3429</v>
      </c>
      <c r="F1559" s="18">
        <v>1295</v>
      </c>
      <c r="G1559" s="27"/>
      <c r="H1559" s="1"/>
      <c r="I1559" s="1"/>
      <c r="J1559" s="1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 spans="1:27" ht="16" customHeight="1">
      <c r="A1560" s="12"/>
      <c r="B1560" s="109" t="s">
        <v>846</v>
      </c>
      <c r="C1560" s="107" t="s">
        <v>847</v>
      </c>
      <c r="D1560" s="100" t="s">
        <v>638</v>
      </c>
      <c r="E1560" s="17">
        <v>2023</v>
      </c>
      <c r="F1560" s="18">
        <v>1395</v>
      </c>
      <c r="G1560" s="27"/>
      <c r="H1560" s="1"/>
      <c r="I1560" s="1"/>
      <c r="J1560" s="1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 spans="1:27" ht="16" customHeight="1">
      <c r="A1561" s="12"/>
      <c r="B1561" s="108"/>
      <c r="C1561" s="106"/>
      <c r="D1561" s="100" t="s">
        <v>848</v>
      </c>
      <c r="E1561" s="17">
        <v>2024</v>
      </c>
      <c r="F1561" s="18">
        <v>1795</v>
      </c>
      <c r="G1561" s="27"/>
      <c r="H1561" s="1"/>
      <c r="I1561" s="1"/>
      <c r="J1561" s="1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 spans="1:27" ht="16" customHeight="1">
      <c r="A1562" s="12"/>
      <c r="B1562" s="108"/>
      <c r="C1562" s="106"/>
      <c r="D1562" s="100" t="s">
        <v>639</v>
      </c>
      <c r="E1562" s="17">
        <v>2025</v>
      </c>
      <c r="F1562" s="18">
        <v>995</v>
      </c>
      <c r="G1562" s="27"/>
      <c r="H1562" s="1"/>
      <c r="I1562" s="1"/>
      <c r="J1562" s="1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 spans="1:27" ht="16" customHeight="1">
      <c r="A1563" s="12"/>
      <c r="B1563" s="108"/>
      <c r="C1563" s="106"/>
      <c r="D1563" s="100"/>
      <c r="E1563" s="13"/>
      <c r="F1563" s="18">
        <v>0</v>
      </c>
      <c r="G1563" s="27"/>
      <c r="H1563" s="1"/>
      <c r="I1563" s="1"/>
      <c r="J1563" s="1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 spans="1:27" ht="16" customHeight="1">
      <c r="A1564" s="12"/>
      <c r="B1564" s="109" t="s">
        <v>849</v>
      </c>
      <c r="C1564" s="107" t="s">
        <v>850</v>
      </c>
      <c r="D1564" s="100" t="s">
        <v>18</v>
      </c>
      <c r="E1564" s="17">
        <v>2308</v>
      </c>
      <c r="F1564" s="18">
        <v>4136</v>
      </c>
      <c r="G1564" s="27"/>
      <c r="H1564" s="1"/>
      <c r="I1564" s="1"/>
      <c r="J1564" s="1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 spans="1:27" ht="16" customHeight="1">
      <c r="A1565" s="12"/>
      <c r="B1565" s="108"/>
      <c r="C1565" s="106"/>
      <c r="D1565" s="100" t="s">
        <v>638</v>
      </c>
      <c r="E1565" s="17">
        <v>2309</v>
      </c>
      <c r="F1565" s="18">
        <v>1195</v>
      </c>
      <c r="G1565" s="27"/>
      <c r="H1565" s="1"/>
      <c r="I1565" s="1"/>
      <c r="J1565" s="1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 spans="1:27" ht="16" customHeight="1">
      <c r="A1566" s="12"/>
      <c r="B1566" s="108"/>
      <c r="C1566" s="106"/>
      <c r="D1566" s="100" t="s">
        <v>29</v>
      </c>
      <c r="E1566" s="17">
        <v>2255</v>
      </c>
      <c r="F1566" s="18">
        <v>995</v>
      </c>
      <c r="G1566" s="27"/>
      <c r="H1566" s="1"/>
      <c r="I1566" s="1"/>
      <c r="J1566" s="1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 spans="1:27" ht="16" customHeight="1">
      <c r="A1567" s="12"/>
      <c r="B1567" s="109">
        <v>981</v>
      </c>
      <c r="C1567" s="107" t="s">
        <v>850</v>
      </c>
      <c r="D1567" s="100" t="s">
        <v>18</v>
      </c>
      <c r="E1567" s="17">
        <v>3164</v>
      </c>
      <c r="F1567" s="18">
        <v>4136</v>
      </c>
      <c r="G1567" s="27"/>
      <c r="H1567" s="1"/>
      <c r="I1567" s="1"/>
      <c r="J1567" s="1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 spans="1:27" ht="16" customHeight="1">
      <c r="A1568" s="127"/>
      <c r="B1568" s="128"/>
      <c r="C1568" s="128"/>
      <c r="D1568" s="128"/>
      <c r="E1568" s="128"/>
      <c r="F1568" s="128"/>
      <c r="G1568" s="129"/>
      <c r="H1568" s="1"/>
      <c r="I1568" s="1"/>
      <c r="J1568" s="1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 spans="1:27" ht="16" customHeight="1">
      <c r="A1569" s="12"/>
      <c r="B1569" s="108"/>
      <c r="C1569" s="106"/>
      <c r="D1569" s="100" t="s">
        <v>852</v>
      </c>
      <c r="E1569" s="17">
        <v>3168</v>
      </c>
      <c r="F1569" s="18">
        <v>445</v>
      </c>
      <c r="G1569" s="27"/>
      <c r="H1569" s="1"/>
      <c r="I1569" s="1"/>
      <c r="J1569" s="1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 spans="1:27" ht="16" customHeight="1">
      <c r="A1570" s="12"/>
      <c r="B1570" s="108"/>
      <c r="C1570" s="106"/>
      <c r="D1570" s="100" t="s">
        <v>853</v>
      </c>
      <c r="E1570" s="17">
        <v>3169</v>
      </c>
      <c r="F1570" s="18">
        <v>645</v>
      </c>
      <c r="G1570" s="27"/>
      <c r="H1570" s="1"/>
      <c r="I1570" s="1"/>
      <c r="J1570" s="1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 spans="1:27" ht="27" customHeight="1">
      <c r="A1571" s="12"/>
      <c r="B1571" s="108"/>
      <c r="C1571" s="106"/>
      <c r="D1571" s="100" t="s">
        <v>854</v>
      </c>
      <c r="E1571" s="17">
        <v>3166</v>
      </c>
      <c r="F1571" s="18">
        <v>1395</v>
      </c>
      <c r="G1571" s="27"/>
      <c r="H1571" s="1"/>
      <c r="I1571" s="1"/>
      <c r="J1571" s="1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 spans="1:27" ht="16" customHeight="1">
      <c r="A1572" s="12"/>
      <c r="B1572" s="108"/>
      <c r="C1572" s="106"/>
      <c r="D1572" s="100"/>
      <c r="E1572" s="13"/>
      <c r="F1572" s="18" t="s">
        <v>807</v>
      </c>
      <c r="G1572" s="27"/>
      <c r="H1572" s="1"/>
      <c r="I1572" s="1"/>
      <c r="J1572" s="1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 spans="1:27" ht="30" customHeight="1">
      <c r="A1573" s="12"/>
      <c r="B1573" s="109">
        <v>981</v>
      </c>
      <c r="C1573" s="107" t="s">
        <v>208</v>
      </c>
      <c r="D1573" s="100" t="s">
        <v>65</v>
      </c>
      <c r="E1573" s="17">
        <v>3163</v>
      </c>
      <c r="F1573" s="18">
        <v>3495</v>
      </c>
      <c r="G1573" s="27"/>
      <c r="H1573" s="1"/>
      <c r="I1573" s="1"/>
      <c r="J1573" s="1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 spans="1:27" ht="16" customHeight="1">
      <c r="A1574" s="12"/>
      <c r="B1574" s="108"/>
      <c r="C1574" s="106"/>
      <c r="D1574" s="100" t="s">
        <v>530</v>
      </c>
      <c r="E1574" s="17">
        <v>3162</v>
      </c>
      <c r="F1574" s="18">
        <v>2495</v>
      </c>
      <c r="G1574" s="27"/>
      <c r="H1574" s="1"/>
      <c r="I1574" s="1"/>
      <c r="J1574" s="1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 spans="1:27" ht="16" customHeight="1">
      <c r="A1575" s="12"/>
      <c r="B1575" s="108"/>
      <c r="C1575" s="106"/>
      <c r="D1575" s="100" t="s">
        <v>712</v>
      </c>
      <c r="E1575" s="17">
        <v>3167</v>
      </c>
      <c r="F1575" s="18">
        <v>295</v>
      </c>
      <c r="G1575" s="27"/>
      <c r="H1575" s="1"/>
      <c r="I1575" s="1"/>
      <c r="J1575" s="1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 spans="1:27" ht="16" customHeight="1">
      <c r="A1576" s="12"/>
      <c r="B1576" s="109">
        <v>981</v>
      </c>
      <c r="C1576" s="107" t="s">
        <v>855</v>
      </c>
      <c r="D1576" s="100" t="s">
        <v>53</v>
      </c>
      <c r="E1576" s="17">
        <v>3232</v>
      </c>
      <c r="F1576" s="18">
        <v>995</v>
      </c>
      <c r="G1576" s="27"/>
      <c r="H1576" s="1"/>
      <c r="I1576" s="1"/>
      <c r="J1576" s="1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 spans="1:27" ht="16" customHeight="1">
      <c r="A1577" s="12"/>
      <c r="B1577" s="109">
        <v>981</v>
      </c>
      <c r="C1577" s="107" t="s">
        <v>856</v>
      </c>
      <c r="D1577" s="100" t="s">
        <v>18</v>
      </c>
      <c r="E1577" s="17">
        <v>3199</v>
      </c>
      <c r="F1577" s="18">
        <v>4136</v>
      </c>
      <c r="G1577" s="27"/>
      <c r="H1577" s="1"/>
      <c r="I1577" s="1"/>
      <c r="J1577" s="1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 spans="1:27" ht="26" customHeight="1">
      <c r="A1578" s="12"/>
      <c r="B1578" s="109">
        <v>981</v>
      </c>
      <c r="C1578" s="107" t="s">
        <v>857</v>
      </c>
      <c r="D1578" s="100" t="s">
        <v>18</v>
      </c>
      <c r="E1578" s="17">
        <v>3201</v>
      </c>
      <c r="F1578" s="18">
        <v>4136</v>
      </c>
      <c r="G1578" s="27"/>
      <c r="H1578" s="1"/>
      <c r="I1578" s="1"/>
      <c r="J1578" s="1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 spans="1:27" ht="16" customHeight="1">
      <c r="A1579" s="12"/>
      <c r="B1579" s="108"/>
      <c r="C1579" s="106"/>
      <c r="D1579" s="100" t="s">
        <v>811</v>
      </c>
      <c r="E1579" s="17">
        <v>0</v>
      </c>
      <c r="F1579" s="18">
        <v>995</v>
      </c>
      <c r="G1579" s="27"/>
      <c r="H1579" s="1"/>
      <c r="I1579" s="1"/>
      <c r="J1579" s="1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 spans="1:27" ht="16" customHeight="1">
      <c r="A1580" s="12"/>
      <c r="B1580" s="108"/>
      <c r="C1580" s="106"/>
      <c r="D1580" s="100" t="s">
        <v>858</v>
      </c>
      <c r="E1580" s="17" t="s">
        <v>859</v>
      </c>
      <c r="F1580" s="18">
        <v>995</v>
      </c>
      <c r="G1580" s="27"/>
      <c r="H1580" s="1"/>
      <c r="I1580" s="1"/>
      <c r="J1580" s="1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 spans="1:27" ht="16" customHeight="1">
      <c r="A1581" s="12"/>
      <c r="B1581" s="108"/>
      <c r="C1581" s="106"/>
      <c r="D1581" s="100" t="s">
        <v>20</v>
      </c>
      <c r="E1581" s="17">
        <v>3202</v>
      </c>
      <c r="F1581" s="18">
        <v>1095</v>
      </c>
      <c r="G1581" s="27"/>
      <c r="H1581" s="1"/>
      <c r="I1581" s="1"/>
      <c r="J1581" s="1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 spans="1:27" ht="16" customHeight="1">
      <c r="A1582" s="12"/>
      <c r="B1582" s="108"/>
      <c r="C1582" s="106"/>
      <c r="D1582" s="100" t="s">
        <v>860</v>
      </c>
      <c r="E1582" s="17">
        <v>3200</v>
      </c>
      <c r="F1582" s="18">
        <v>3695</v>
      </c>
      <c r="G1582" s="27"/>
      <c r="H1582" s="1"/>
      <c r="I1582" s="1"/>
      <c r="J1582" s="1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 spans="1:27" ht="16" customHeight="1">
      <c r="A1583" s="12"/>
      <c r="B1583" s="108"/>
      <c r="C1583" s="106"/>
      <c r="D1583" s="100" t="s">
        <v>530</v>
      </c>
      <c r="E1583" s="17">
        <v>3203</v>
      </c>
      <c r="F1583" s="18">
        <v>2495</v>
      </c>
      <c r="G1583" s="27"/>
      <c r="H1583" s="1"/>
      <c r="I1583" s="1"/>
      <c r="J1583" s="1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 spans="1:27" ht="26" customHeight="1">
      <c r="A1584" s="12"/>
      <c r="B1584" s="108"/>
      <c r="C1584" s="106"/>
      <c r="D1584" s="100" t="s">
        <v>712</v>
      </c>
      <c r="E1584" s="17">
        <v>3167</v>
      </c>
      <c r="F1584" s="18">
        <v>295</v>
      </c>
      <c r="G1584" s="27"/>
      <c r="H1584" s="1"/>
      <c r="I1584" s="1"/>
      <c r="J1584" s="1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 spans="1:27" ht="16" customHeight="1">
      <c r="A1585" s="12"/>
      <c r="B1585" s="109">
        <v>996</v>
      </c>
      <c r="C1585" s="107" t="s">
        <v>861</v>
      </c>
      <c r="D1585" s="100" t="s">
        <v>34</v>
      </c>
      <c r="E1585" s="17">
        <v>3195</v>
      </c>
      <c r="F1585" s="18">
        <v>3995</v>
      </c>
      <c r="G1585" s="27"/>
      <c r="H1585" s="1"/>
      <c r="I1585" s="1"/>
      <c r="J1585" s="1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 spans="1:27" ht="16" customHeight="1">
      <c r="A1586" s="12"/>
      <c r="B1586" s="109" t="s">
        <v>862</v>
      </c>
      <c r="C1586" s="107" t="s">
        <v>856</v>
      </c>
      <c r="D1586" s="100" t="s">
        <v>18</v>
      </c>
      <c r="E1586" s="17">
        <v>2295</v>
      </c>
      <c r="F1586" s="18">
        <v>4136</v>
      </c>
      <c r="G1586" s="27"/>
      <c r="H1586" s="1"/>
      <c r="I1586" s="1"/>
      <c r="J1586" s="1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 spans="1:27" ht="16" customHeight="1">
      <c r="A1587" s="12"/>
      <c r="B1587" s="109" t="s">
        <v>863</v>
      </c>
      <c r="C1587" s="107" t="s">
        <v>864</v>
      </c>
      <c r="D1587" s="100" t="s">
        <v>811</v>
      </c>
      <c r="E1587" s="17">
        <v>2296</v>
      </c>
      <c r="F1587" s="18">
        <v>995</v>
      </c>
      <c r="G1587" s="27"/>
      <c r="H1587" s="1"/>
      <c r="I1587" s="1"/>
      <c r="J1587" s="1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 spans="1:27" ht="16" customHeight="1">
      <c r="A1588" s="12"/>
      <c r="B1588" s="108"/>
      <c r="C1588" s="106"/>
      <c r="D1588" s="100" t="s">
        <v>865</v>
      </c>
      <c r="E1588" s="17" t="s">
        <v>859</v>
      </c>
      <c r="F1588" s="18">
        <v>995</v>
      </c>
      <c r="G1588" s="27"/>
      <c r="H1588" s="1"/>
      <c r="I1588" s="1"/>
      <c r="J1588" s="1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 spans="1:27" ht="16" customHeight="1">
      <c r="A1589" s="12"/>
      <c r="B1589" s="109">
        <v>911</v>
      </c>
      <c r="C1589" s="107" t="s">
        <v>866</v>
      </c>
      <c r="D1589" s="100" t="s">
        <v>22</v>
      </c>
      <c r="E1589" s="17">
        <v>2337</v>
      </c>
      <c r="F1589" s="18">
        <v>318</v>
      </c>
      <c r="G1589" s="27"/>
      <c r="H1589" s="1"/>
      <c r="I1589" s="1"/>
      <c r="J1589" s="1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 spans="1:27" ht="26" customHeight="1">
      <c r="A1590" s="12"/>
      <c r="B1590" s="109">
        <v>997</v>
      </c>
      <c r="C1590" s="107" t="s">
        <v>25</v>
      </c>
      <c r="D1590" s="100" t="s">
        <v>18</v>
      </c>
      <c r="E1590" s="17">
        <v>3421</v>
      </c>
      <c r="F1590" s="18">
        <v>764</v>
      </c>
      <c r="G1590" s="27"/>
      <c r="H1590" s="1"/>
      <c r="I1590" s="1"/>
      <c r="J1590" s="1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 spans="1:27" ht="16" customHeight="1">
      <c r="A1591" s="12"/>
      <c r="B1591" s="109">
        <v>2009</v>
      </c>
      <c r="C1591" s="106" t="s">
        <v>669</v>
      </c>
      <c r="D1591" s="100" t="s">
        <v>20</v>
      </c>
      <c r="E1591" s="17">
        <v>3422</v>
      </c>
      <c r="F1591" s="18">
        <v>764</v>
      </c>
      <c r="G1591" s="27"/>
      <c r="H1591" s="1"/>
      <c r="I1591" s="1"/>
      <c r="J1591" s="1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 spans="1:27" ht="15.5" customHeight="1">
      <c r="A1592" s="12"/>
      <c r="B1592" s="108"/>
      <c r="C1592" s="120">
        <v>11995</v>
      </c>
      <c r="D1592" s="100" t="s">
        <v>14</v>
      </c>
      <c r="E1592" s="17">
        <v>3423</v>
      </c>
      <c r="F1592" s="18">
        <v>764</v>
      </c>
      <c r="G1592" s="27"/>
      <c r="H1592" s="1"/>
      <c r="I1592" s="1"/>
      <c r="J1592" s="1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 spans="1:27" ht="16" customHeight="1">
      <c r="A1593" s="12"/>
      <c r="B1593" s="108"/>
      <c r="C1593" s="106" t="s">
        <v>867</v>
      </c>
      <c r="D1593" s="100" t="s">
        <v>868</v>
      </c>
      <c r="E1593" s="17">
        <v>3424</v>
      </c>
      <c r="F1593" s="18">
        <v>3495</v>
      </c>
      <c r="G1593" s="27"/>
      <c r="H1593" s="1"/>
      <c r="I1593" s="1"/>
      <c r="J1593" s="1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 spans="1:27" ht="16" customHeight="1">
      <c r="A1594" s="12"/>
      <c r="B1594" s="108"/>
      <c r="C1594" s="120">
        <v>14995</v>
      </c>
      <c r="D1594" s="100" t="s">
        <v>212</v>
      </c>
      <c r="E1594" s="17">
        <v>3425</v>
      </c>
      <c r="F1594" s="18">
        <v>2495</v>
      </c>
      <c r="G1594" s="27"/>
      <c r="H1594" s="1"/>
      <c r="I1594" s="1"/>
      <c r="J1594" s="1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 spans="1:27" ht="16" customHeight="1">
      <c r="A1595" s="12"/>
      <c r="B1595" s="108"/>
      <c r="C1595" s="106"/>
      <c r="D1595" s="100" t="s">
        <v>869</v>
      </c>
      <c r="E1595" s="17">
        <v>3426</v>
      </c>
      <c r="F1595" s="18">
        <v>3995</v>
      </c>
      <c r="G1595" s="27"/>
      <c r="H1595" s="1"/>
      <c r="I1595" s="1"/>
      <c r="J1595" s="1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 spans="1:27" ht="15.5" customHeight="1">
      <c r="A1596" s="12"/>
      <c r="B1596" s="108"/>
      <c r="C1596" s="107" t="s">
        <v>870</v>
      </c>
      <c r="D1596" s="100" t="s">
        <v>871</v>
      </c>
      <c r="E1596" s="17" t="s">
        <v>872</v>
      </c>
      <c r="F1596" s="18">
        <v>4495</v>
      </c>
      <c r="G1596" s="27"/>
      <c r="H1596" s="1"/>
      <c r="I1596" s="1"/>
      <c r="J1596" s="1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 spans="1:27" ht="15.5" customHeight="1">
      <c r="A1597" s="136"/>
      <c r="B1597" s="143"/>
      <c r="C1597" s="144"/>
      <c r="D1597" s="139" t="s">
        <v>873</v>
      </c>
      <c r="E1597" s="140" t="s">
        <v>874</v>
      </c>
      <c r="F1597" s="141">
        <v>1295</v>
      </c>
      <c r="G1597" s="142"/>
      <c r="H1597" s="1"/>
      <c r="I1597" s="1"/>
      <c r="J1597" s="1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 spans="1:27" ht="16" customHeight="1">
      <c r="A1598" s="12"/>
      <c r="B1598" s="117" t="s">
        <v>875</v>
      </c>
      <c r="C1598" s="107" t="s">
        <v>876</v>
      </c>
      <c r="D1598" s="100" t="s">
        <v>18</v>
      </c>
      <c r="E1598" s="17">
        <v>1322</v>
      </c>
      <c r="F1598" s="18">
        <v>2900</v>
      </c>
      <c r="G1598" s="27"/>
      <c r="H1598" s="1"/>
      <c r="I1598" s="1"/>
      <c r="J1598" s="1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 spans="1:27" ht="16" customHeight="1">
      <c r="A1599" s="12"/>
      <c r="B1599" s="108"/>
      <c r="C1599" s="107" t="s">
        <v>877</v>
      </c>
      <c r="D1599" s="100" t="s">
        <v>20</v>
      </c>
      <c r="E1599" s="17">
        <v>1323</v>
      </c>
      <c r="F1599" s="18">
        <v>2700</v>
      </c>
      <c r="G1599" s="27"/>
      <c r="H1599" s="1"/>
      <c r="I1599" s="1"/>
      <c r="J1599" s="1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 spans="1:27" ht="16" customHeight="1">
      <c r="A1600" s="12"/>
      <c r="B1600" s="108"/>
      <c r="C1600" s="106" t="s">
        <v>878</v>
      </c>
      <c r="D1600" s="100" t="s">
        <v>14</v>
      </c>
      <c r="E1600" s="17">
        <v>1324</v>
      </c>
      <c r="F1600" s="18">
        <v>2800</v>
      </c>
      <c r="G1600" s="27"/>
      <c r="H1600" s="1"/>
      <c r="I1600" s="1"/>
      <c r="J1600" s="1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 spans="1:27" ht="16" customHeight="1">
      <c r="A1601" s="12"/>
      <c r="B1601" s="108"/>
      <c r="C1601" s="118" t="s">
        <v>879</v>
      </c>
      <c r="D1601" s="100" t="s">
        <v>65</v>
      </c>
      <c r="E1601" s="17">
        <v>1329</v>
      </c>
      <c r="F1601" s="18">
        <v>4200</v>
      </c>
      <c r="G1601" s="27"/>
      <c r="H1601" s="1"/>
      <c r="I1601" s="1"/>
      <c r="J1601" s="1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 spans="1:27" ht="16" customHeight="1">
      <c r="A1602" s="12"/>
      <c r="B1602" s="108"/>
      <c r="C1602" s="118">
        <v>-26500</v>
      </c>
      <c r="D1602" s="100" t="s">
        <v>212</v>
      </c>
      <c r="E1602" s="17">
        <v>1330</v>
      </c>
      <c r="F1602" s="18">
        <v>3600</v>
      </c>
      <c r="G1602" s="27"/>
      <c r="H1602" s="1"/>
      <c r="I1602" s="1"/>
      <c r="J1602" s="1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 spans="1:27" ht="30" customHeight="1">
      <c r="A1603" s="12"/>
      <c r="B1603" s="108"/>
      <c r="C1603" s="106" t="s">
        <v>880</v>
      </c>
      <c r="D1603" s="100" t="s">
        <v>60</v>
      </c>
      <c r="E1603" s="17">
        <v>1325</v>
      </c>
      <c r="F1603" s="18">
        <v>4500</v>
      </c>
      <c r="G1603" s="27"/>
      <c r="H1603" s="1"/>
      <c r="I1603" s="1"/>
      <c r="J1603" s="1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 spans="1:27" ht="16" customHeight="1">
      <c r="A1604" s="127"/>
      <c r="B1604" s="128"/>
      <c r="C1604" s="128"/>
      <c r="D1604" s="128"/>
      <c r="E1604" s="128"/>
      <c r="F1604" s="128"/>
      <c r="G1604" s="129"/>
      <c r="H1604" s="1"/>
      <c r="I1604" s="1"/>
      <c r="J1604" s="1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 spans="1:27" ht="16" customHeight="1">
      <c r="A1605" s="12"/>
      <c r="B1605" s="108"/>
      <c r="C1605" s="106"/>
      <c r="D1605" s="100" t="s">
        <v>340</v>
      </c>
      <c r="E1605" s="17">
        <v>1327</v>
      </c>
      <c r="F1605" s="18">
        <v>1200</v>
      </c>
      <c r="G1605" s="27"/>
      <c r="H1605" s="1"/>
      <c r="I1605" s="1"/>
      <c r="J1605" s="1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 spans="1:27" ht="16" customHeight="1">
      <c r="A1606" s="12"/>
      <c r="B1606" s="108"/>
      <c r="C1606" s="106"/>
      <c r="D1606" s="100" t="s">
        <v>26</v>
      </c>
      <c r="E1606" s="17">
        <v>1328</v>
      </c>
      <c r="F1606" s="18">
        <v>1400</v>
      </c>
      <c r="G1606" s="27"/>
      <c r="H1606" s="1"/>
      <c r="I1606" s="1"/>
      <c r="J1606" s="1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 spans="1:27" ht="16" customHeight="1">
      <c r="A1607" s="12"/>
      <c r="B1607" s="108"/>
      <c r="C1607" s="106"/>
      <c r="D1607" s="100" t="s">
        <v>29</v>
      </c>
      <c r="E1607" s="17">
        <v>1343</v>
      </c>
      <c r="F1607" s="18">
        <v>1600</v>
      </c>
      <c r="G1607" s="27"/>
      <c r="H1607" s="1"/>
      <c r="I1607" s="1"/>
      <c r="J1607" s="1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spans="1:27" ht="16" customHeight="1">
      <c r="A1608" s="12"/>
      <c r="B1608" s="108"/>
      <c r="C1608" s="106"/>
      <c r="D1608" s="100" t="s">
        <v>881</v>
      </c>
      <c r="E1608" s="17">
        <v>3218</v>
      </c>
      <c r="F1608" s="18">
        <v>850</v>
      </c>
      <c r="G1608" s="27"/>
      <c r="H1608" s="1"/>
      <c r="I1608" s="1"/>
      <c r="J1608" s="1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spans="1:27" ht="16" customHeight="1">
      <c r="A1609" s="12"/>
      <c r="B1609" s="108"/>
      <c r="C1609" s="106"/>
      <c r="D1609" s="100" t="s">
        <v>882</v>
      </c>
      <c r="E1609" s="17">
        <v>3139</v>
      </c>
      <c r="F1609" s="18">
        <v>1300</v>
      </c>
      <c r="G1609" s="27"/>
      <c r="H1609" s="1"/>
      <c r="I1609" s="1"/>
      <c r="J1609" s="1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spans="1:27" ht="16" customHeight="1">
      <c r="A1610" s="12"/>
      <c r="B1610" s="108"/>
      <c r="C1610" s="106"/>
      <c r="D1610" s="100" t="s">
        <v>671</v>
      </c>
      <c r="E1610" s="17" t="s">
        <v>672</v>
      </c>
      <c r="F1610" s="18">
        <v>2400</v>
      </c>
      <c r="G1610" s="27"/>
      <c r="H1610" s="1"/>
      <c r="I1610" s="1"/>
      <c r="J1610" s="1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spans="1:27" ht="16" customHeight="1">
      <c r="A1611" s="12"/>
      <c r="B1611" s="108"/>
      <c r="C1611" s="106"/>
      <c r="D1611" s="100" t="s">
        <v>883</v>
      </c>
      <c r="E1611" s="17" t="s">
        <v>884</v>
      </c>
      <c r="F1611" s="18">
        <v>950</v>
      </c>
      <c r="G1611" s="27"/>
      <c r="H1611" s="1"/>
      <c r="I1611" s="1"/>
      <c r="J1611" s="1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spans="1:27" ht="16" customHeight="1">
      <c r="A1612" s="12"/>
      <c r="B1612" s="108"/>
      <c r="C1612" s="106"/>
      <c r="D1612" s="100" t="s">
        <v>212</v>
      </c>
      <c r="E1612" s="17">
        <v>3069</v>
      </c>
      <c r="F1612" s="18">
        <v>3600</v>
      </c>
      <c r="G1612" s="27"/>
      <c r="H1612" s="1"/>
      <c r="I1612" s="1"/>
      <c r="J1612" s="1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spans="1:27" ht="16" customHeight="1">
      <c r="A1613" s="12"/>
      <c r="B1613" s="108"/>
      <c r="C1613" s="106"/>
      <c r="D1613" s="100" t="s">
        <v>885</v>
      </c>
      <c r="E1613" s="17" t="s">
        <v>886</v>
      </c>
      <c r="F1613" s="18">
        <v>650</v>
      </c>
      <c r="G1613" s="27"/>
      <c r="H1613" s="1"/>
      <c r="I1613" s="1"/>
      <c r="J1613" s="1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spans="1:27" ht="16" customHeight="1">
      <c r="A1614" s="12"/>
      <c r="B1614" s="108"/>
      <c r="C1614" s="106"/>
      <c r="D1614" s="100" t="s">
        <v>887</v>
      </c>
      <c r="E1614" s="17">
        <v>3142</v>
      </c>
      <c r="F1614" s="18">
        <v>650</v>
      </c>
      <c r="G1614" s="27"/>
      <c r="H1614" s="1"/>
      <c r="I1614" s="1"/>
      <c r="J1614" s="1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spans="1:27" ht="16" customHeight="1">
      <c r="A1615" s="12"/>
      <c r="B1615" s="108"/>
      <c r="C1615" s="106"/>
      <c r="D1615" s="100" t="s">
        <v>671</v>
      </c>
      <c r="E1615" s="17" t="s">
        <v>672</v>
      </c>
      <c r="F1615" s="18">
        <v>2400</v>
      </c>
      <c r="G1615" s="27"/>
      <c r="H1615" s="1"/>
      <c r="I1615" s="1"/>
      <c r="J1615" s="1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spans="1:27" ht="16" customHeight="1">
      <c r="A1616" s="12"/>
      <c r="B1616" s="108"/>
      <c r="C1616" s="106"/>
      <c r="D1616" s="100" t="s">
        <v>888</v>
      </c>
      <c r="E1616" s="17" t="s">
        <v>884</v>
      </c>
      <c r="F1616" s="18">
        <v>950</v>
      </c>
      <c r="G1616" s="27"/>
      <c r="H1616" s="1"/>
      <c r="I1616" s="1"/>
      <c r="J1616" s="1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spans="1:27" ht="16" customHeight="1">
      <c r="A1617" s="12"/>
      <c r="B1617" s="108"/>
      <c r="C1617" s="106"/>
      <c r="D1617" s="100" t="s">
        <v>65</v>
      </c>
      <c r="E1617" s="17">
        <v>3430</v>
      </c>
      <c r="F1617" s="18">
        <v>4200</v>
      </c>
      <c r="G1617" s="27"/>
      <c r="H1617" s="1"/>
      <c r="I1617" s="1"/>
      <c r="J1617" s="1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spans="1:27" ht="16" customHeight="1">
      <c r="A1618" s="12"/>
      <c r="B1618" s="117" t="s">
        <v>875</v>
      </c>
      <c r="C1618" s="107" t="s">
        <v>889</v>
      </c>
      <c r="D1618" s="100" t="s">
        <v>18</v>
      </c>
      <c r="E1618" s="17">
        <v>3030</v>
      </c>
      <c r="F1618" s="18">
        <v>3200</v>
      </c>
      <c r="G1618" s="27"/>
      <c r="H1618" s="1"/>
      <c r="I1618" s="1"/>
      <c r="J1618" s="1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spans="1:27" ht="16" customHeight="1">
      <c r="A1619" s="12"/>
      <c r="B1619" s="110" t="s">
        <v>890</v>
      </c>
      <c r="C1619" s="107" t="s">
        <v>344</v>
      </c>
      <c r="D1619" s="100" t="s">
        <v>26</v>
      </c>
      <c r="E1619" s="17">
        <v>0</v>
      </c>
      <c r="F1619" s="18">
        <v>2400</v>
      </c>
      <c r="G1619" s="27"/>
      <c r="H1619" s="1"/>
      <c r="I1619" s="1"/>
      <c r="J1619" s="1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spans="1:27" ht="16" customHeight="1">
      <c r="A1620" s="12"/>
      <c r="B1620" s="108"/>
      <c r="C1620" s="106" t="s">
        <v>832</v>
      </c>
      <c r="D1620" s="100" t="s">
        <v>60</v>
      </c>
      <c r="E1620" s="17">
        <v>3031</v>
      </c>
      <c r="F1620" s="18">
        <v>3100</v>
      </c>
      <c r="G1620" s="27"/>
      <c r="H1620" s="1"/>
      <c r="I1620" s="1"/>
      <c r="J1620" s="1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spans="1:27" ht="16" customHeight="1">
      <c r="A1621" s="12"/>
      <c r="B1621" s="108"/>
      <c r="C1621" s="118">
        <v>29900</v>
      </c>
      <c r="D1621" s="100" t="s">
        <v>891</v>
      </c>
      <c r="E1621" s="17">
        <v>0</v>
      </c>
      <c r="F1621" s="18">
        <v>1450</v>
      </c>
      <c r="G1621" s="27"/>
      <c r="H1621" s="1"/>
      <c r="I1621" s="1"/>
      <c r="J1621" s="1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spans="1:27" ht="16" customHeight="1">
      <c r="A1622" s="12"/>
      <c r="B1622" s="108"/>
      <c r="C1622" s="106"/>
      <c r="D1622" s="100" t="s">
        <v>20</v>
      </c>
      <c r="E1622" s="17">
        <v>1894</v>
      </c>
      <c r="F1622" s="18">
        <v>3200</v>
      </c>
      <c r="G1622" s="27"/>
      <c r="H1622" s="1"/>
      <c r="I1622" s="1"/>
      <c r="J1622" s="1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spans="1:27" ht="16" customHeight="1">
      <c r="A1623" s="12"/>
      <c r="B1623" s="108"/>
      <c r="C1623" s="106"/>
      <c r="D1623" s="100" t="s">
        <v>27</v>
      </c>
      <c r="E1623" s="17">
        <v>3063</v>
      </c>
      <c r="F1623" s="18">
        <v>2600</v>
      </c>
      <c r="G1623" s="27"/>
      <c r="H1623" s="1"/>
      <c r="I1623" s="1"/>
      <c r="J1623" s="1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spans="1:27" ht="16" customHeight="1">
      <c r="A1624" s="12"/>
      <c r="B1624" s="108"/>
      <c r="C1624" s="106"/>
      <c r="D1624" s="100" t="s">
        <v>65</v>
      </c>
      <c r="E1624" s="17">
        <v>2399</v>
      </c>
      <c r="F1624" s="18">
        <v>4900</v>
      </c>
      <c r="G1624" s="27"/>
      <c r="H1624" s="1"/>
      <c r="I1624" s="1"/>
      <c r="J1624" s="1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spans="1:27" ht="16" customHeight="1">
      <c r="A1625" s="12"/>
      <c r="B1625" s="108"/>
      <c r="C1625" s="106"/>
      <c r="D1625" s="100" t="s">
        <v>60</v>
      </c>
      <c r="E1625" s="17">
        <v>3032</v>
      </c>
      <c r="F1625" s="18">
        <v>3900</v>
      </c>
      <c r="G1625" s="27"/>
      <c r="H1625" s="1"/>
      <c r="I1625" s="1"/>
      <c r="J1625" s="1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spans="1:27" ht="16" customHeight="1">
      <c r="A1626" s="127"/>
      <c r="B1626" s="128"/>
      <c r="C1626" s="128"/>
      <c r="D1626" s="128"/>
      <c r="E1626" s="128"/>
      <c r="F1626" s="128"/>
      <c r="G1626" s="129"/>
      <c r="H1626" s="1"/>
      <c r="I1626" s="1"/>
      <c r="J1626" s="1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spans="1:27" ht="16" customHeight="1">
      <c r="A1627" s="12"/>
      <c r="B1627" s="108"/>
      <c r="C1627" s="106"/>
      <c r="D1627" s="100" t="s">
        <v>892</v>
      </c>
      <c r="E1627" s="17">
        <v>3034</v>
      </c>
      <c r="F1627" s="18">
        <v>5200</v>
      </c>
      <c r="G1627" s="27"/>
      <c r="H1627" s="1"/>
      <c r="I1627" s="1"/>
      <c r="J1627" s="1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spans="1:27" ht="16" customHeight="1">
      <c r="A1628" s="12"/>
      <c r="B1628" s="108"/>
      <c r="C1628" s="106"/>
      <c r="D1628" s="100" t="s">
        <v>29</v>
      </c>
      <c r="E1628" s="17">
        <v>3035</v>
      </c>
      <c r="F1628" s="18">
        <v>2300</v>
      </c>
      <c r="G1628" s="27"/>
      <c r="H1628" s="1"/>
      <c r="I1628" s="1"/>
      <c r="J1628" s="1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spans="1:27" ht="16" customHeight="1">
      <c r="A1629" s="12"/>
      <c r="B1629" s="108"/>
      <c r="C1629" s="106"/>
      <c r="D1629" s="100" t="s">
        <v>22</v>
      </c>
      <c r="E1629" s="17">
        <v>3036</v>
      </c>
      <c r="F1629" s="18">
        <v>3400</v>
      </c>
      <c r="G1629" s="27"/>
      <c r="H1629" s="1"/>
      <c r="I1629" s="1"/>
      <c r="J1629" s="1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spans="1:27" ht="16" customHeight="1">
      <c r="A1630" s="12"/>
      <c r="B1630" s="108"/>
      <c r="C1630" s="106"/>
      <c r="D1630" s="100" t="s">
        <v>33</v>
      </c>
      <c r="E1630" s="17">
        <v>3037</v>
      </c>
      <c r="F1630" s="18">
        <v>2200</v>
      </c>
      <c r="G1630" s="27"/>
      <c r="H1630" s="1"/>
      <c r="I1630" s="1"/>
      <c r="J1630" s="1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spans="1:27" ht="16" customHeight="1">
      <c r="A1631" s="12"/>
      <c r="B1631" s="108"/>
      <c r="C1631" s="106"/>
      <c r="D1631" s="100" t="s">
        <v>53</v>
      </c>
      <c r="E1631" s="17">
        <v>3038</v>
      </c>
      <c r="F1631" s="18">
        <v>2600</v>
      </c>
      <c r="G1631" s="27"/>
      <c r="H1631" s="1"/>
      <c r="I1631" s="1"/>
      <c r="J1631" s="1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spans="1:27" ht="16" customHeight="1">
      <c r="A1632" s="12"/>
      <c r="B1632" s="117" t="s">
        <v>875</v>
      </c>
      <c r="C1632" s="107" t="s">
        <v>893</v>
      </c>
      <c r="D1632" s="100" t="s">
        <v>18</v>
      </c>
      <c r="E1632" s="17">
        <v>1893</v>
      </c>
      <c r="F1632" s="18">
        <v>2900</v>
      </c>
      <c r="G1632" s="27"/>
      <c r="H1632" s="1"/>
      <c r="I1632" s="1"/>
      <c r="J1632" s="1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spans="1:27" ht="15.5" customHeight="1">
      <c r="A1633" s="136"/>
      <c r="B1633" s="143"/>
      <c r="C1633" s="138" t="s">
        <v>344</v>
      </c>
      <c r="D1633" s="139" t="s">
        <v>20</v>
      </c>
      <c r="E1633" s="140">
        <v>1894</v>
      </c>
      <c r="F1633" s="141">
        <v>2700</v>
      </c>
      <c r="G1633" s="142"/>
      <c r="H1633" s="1"/>
      <c r="I1633" s="1"/>
      <c r="J1633" s="1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spans="1:27" ht="16" customHeight="1">
      <c r="A1634" s="12"/>
      <c r="B1634" s="108"/>
      <c r="C1634" s="106" t="s">
        <v>832</v>
      </c>
      <c r="D1634" s="100" t="s">
        <v>14</v>
      </c>
      <c r="E1634" s="17">
        <v>1895</v>
      </c>
      <c r="F1634" s="18">
        <v>2100</v>
      </c>
      <c r="G1634" s="27"/>
      <c r="H1634" s="1"/>
      <c r="I1634" s="1"/>
      <c r="J1634" s="1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spans="1:27" ht="27" customHeight="1">
      <c r="A1635" s="12"/>
      <c r="B1635" s="108"/>
      <c r="C1635" s="118">
        <v>26995</v>
      </c>
      <c r="D1635" s="100" t="s">
        <v>60</v>
      </c>
      <c r="E1635" s="17">
        <v>1902</v>
      </c>
      <c r="F1635" s="18">
        <v>3900</v>
      </c>
      <c r="G1635" s="27"/>
      <c r="H1635" s="1"/>
      <c r="I1635" s="1"/>
      <c r="J1635" s="1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spans="1:27" ht="16" customHeight="1">
      <c r="A1636" s="12"/>
      <c r="B1636" s="108"/>
      <c r="C1636" s="106"/>
      <c r="D1636" s="100" t="s">
        <v>61</v>
      </c>
      <c r="E1636" s="17">
        <v>1903</v>
      </c>
      <c r="F1636" s="18">
        <v>5200</v>
      </c>
      <c r="G1636" s="27"/>
      <c r="H1636" s="1"/>
      <c r="I1636" s="1"/>
      <c r="J1636" s="1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spans="1:27" ht="16" customHeight="1">
      <c r="A1637" s="12"/>
      <c r="B1637" s="108"/>
      <c r="C1637" s="106"/>
      <c r="D1637" s="100" t="s">
        <v>26</v>
      </c>
      <c r="E1637" s="17">
        <v>1900</v>
      </c>
      <c r="F1637" s="18">
        <v>1800</v>
      </c>
      <c r="G1637" s="27"/>
      <c r="H1637" s="1"/>
      <c r="I1637" s="1"/>
      <c r="J1637" s="1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spans="1:27" ht="16" customHeight="1">
      <c r="A1638" s="12"/>
      <c r="B1638" s="108"/>
      <c r="C1638" s="106"/>
      <c r="D1638" s="100" t="s">
        <v>29</v>
      </c>
      <c r="E1638" s="17">
        <v>1901</v>
      </c>
      <c r="F1638" s="18">
        <v>1600</v>
      </c>
      <c r="G1638" s="27"/>
      <c r="H1638" s="1"/>
      <c r="I1638" s="1"/>
      <c r="J1638" s="1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spans="1:27" ht="16" customHeight="1">
      <c r="A1639" s="12"/>
      <c r="B1639" s="108"/>
      <c r="C1639" s="106"/>
      <c r="D1639" s="100" t="s">
        <v>22</v>
      </c>
      <c r="E1639" s="17">
        <v>1896</v>
      </c>
      <c r="F1639" s="18">
        <v>3400</v>
      </c>
      <c r="G1639" s="27"/>
      <c r="H1639" s="1"/>
      <c r="I1639" s="1"/>
      <c r="J1639" s="1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spans="1:27" ht="27" customHeight="1">
      <c r="A1640" s="12"/>
      <c r="B1640" s="108"/>
      <c r="C1640" s="106"/>
      <c r="D1640" s="100" t="s">
        <v>883</v>
      </c>
      <c r="E1640" s="17">
        <v>1897</v>
      </c>
      <c r="F1640" s="18">
        <v>1200</v>
      </c>
      <c r="G1640" s="27"/>
      <c r="H1640" s="1"/>
      <c r="I1640" s="1"/>
      <c r="J1640" s="1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spans="1:27" ht="27" customHeight="1">
      <c r="A1641" s="12"/>
      <c r="B1641" s="108"/>
      <c r="C1641" s="106"/>
      <c r="D1641" s="100" t="s">
        <v>206</v>
      </c>
      <c r="E1641" s="17">
        <v>1898</v>
      </c>
      <c r="F1641" s="18">
        <v>2400</v>
      </c>
      <c r="G1641" s="27"/>
      <c r="H1641" s="1"/>
      <c r="I1641" s="1"/>
      <c r="J1641" s="1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spans="1:27" ht="16" customHeight="1">
      <c r="A1642" s="12"/>
      <c r="B1642" s="108"/>
      <c r="C1642" s="106"/>
      <c r="D1642" s="100" t="s">
        <v>34</v>
      </c>
      <c r="E1642" s="17">
        <v>1899</v>
      </c>
      <c r="F1642" s="18">
        <v>4200</v>
      </c>
      <c r="G1642" s="27"/>
      <c r="H1642" s="1"/>
      <c r="I1642" s="1"/>
      <c r="J1642" s="1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spans="1:27" ht="16" customHeight="1">
      <c r="A1643" s="12"/>
      <c r="B1643" s="108"/>
      <c r="C1643" s="106"/>
      <c r="D1643" s="100" t="s">
        <v>894</v>
      </c>
      <c r="E1643" s="17">
        <v>1904</v>
      </c>
      <c r="F1643" s="18">
        <v>950</v>
      </c>
      <c r="G1643" s="27"/>
      <c r="H1643" s="1"/>
      <c r="I1643" s="1"/>
      <c r="J1643" s="1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spans="1:27" ht="16" customHeight="1">
      <c r="A1644" s="12"/>
      <c r="B1644" s="108"/>
      <c r="C1644" s="106"/>
      <c r="D1644" s="100" t="s">
        <v>895</v>
      </c>
      <c r="E1644" s="17" t="s">
        <v>896</v>
      </c>
      <c r="F1644" s="18">
        <v>650</v>
      </c>
      <c r="G1644" s="27"/>
      <c r="H1644" s="1"/>
      <c r="I1644" s="1"/>
      <c r="J1644" s="1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spans="1:27" ht="16" customHeight="1">
      <c r="A1645" s="12"/>
      <c r="B1645" s="108"/>
      <c r="C1645" s="106"/>
      <c r="D1645" s="100" t="s">
        <v>833</v>
      </c>
      <c r="E1645" s="17">
        <v>1906</v>
      </c>
      <c r="F1645" s="18">
        <v>1200</v>
      </c>
      <c r="G1645" s="27"/>
      <c r="H1645" s="1"/>
      <c r="I1645" s="1"/>
      <c r="J1645" s="1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spans="1:27" ht="16" customHeight="1">
      <c r="A1646" s="12"/>
      <c r="B1646" s="108"/>
      <c r="C1646" s="106"/>
      <c r="D1646" s="100" t="s">
        <v>897</v>
      </c>
      <c r="E1646" s="17" t="s">
        <v>898</v>
      </c>
      <c r="F1646" s="18">
        <v>980</v>
      </c>
      <c r="G1646" s="27"/>
      <c r="H1646" s="1"/>
      <c r="I1646" s="1"/>
      <c r="J1646" s="1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spans="1:27" ht="16" customHeight="1">
      <c r="A1647" s="12"/>
      <c r="B1647" s="108"/>
      <c r="C1647" s="106"/>
      <c r="D1647" s="100" t="s">
        <v>899</v>
      </c>
      <c r="E1647" s="17">
        <v>1908</v>
      </c>
      <c r="F1647" s="18">
        <v>950</v>
      </c>
      <c r="G1647" s="27"/>
      <c r="H1647" s="1"/>
      <c r="I1647" s="1"/>
      <c r="J1647" s="1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spans="1:27" ht="16" customHeight="1">
      <c r="A1648" s="12"/>
      <c r="B1648" s="108"/>
      <c r="C1648" s="106"/>
      <c r="D1648" s="100"/>
      <c r="E1648" s="13"/>
      <c r="F1648" s="18">
        <v>0</v>
      </c>
      <c r="G1648" s="27"/>
      <c r="H1648" s="1"/>
      <c r="I1648" s="1"/>
      <c r="J1648" s="1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spans="1:27" ht="16" customHeight="1">
      <c r="A1649" s="12"/>
      <c r="B1649" s="108"/>
      <c r="C1649" s="106"/>
      <c r="D1649" s="100" t="s">
        <v>18</v>
      </c>
      <c r="E1649" s="17">
        <v>1918</v>
      </c>
      <c r="F1649" s="18">
        <v>2900</v>
      </c>
      <c r="G1649" s="27"/>
      <c r="H1649" s="1"/>
      <c r="I1649" s="1"/>
      <c r="J1649" s="1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spans="1:27" ht="27" customHeight="1">
      <c r="A1650" s="12"/>
      <c r="B1650" s="108"/>
      <c r="C1650" s="106"/>
      <c r="D1650" s="100" t="s">
        <v>900</v>
      </c>
      <c r="E1650" s="13"/>
      <c r="F1650" s="18" t="s">
        <v>807</v>
      </c>
      <c r="G1650" s="27"/>
      <c r="H1650" s="1"/>
      <c r="I1650" s="1"/>
      <c r="J1650" s="1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spans="1:27" ht="16" customHeight="1">
      <c r="A1651" s="12"/>
      <c r="B1651" s="117" t="s">
        <v>875</v>
      </c>
      <c r="C1651" s="107" t="s">
        <v>901</v>
      </c>
      <c r="D1651" s="100" t="s">
        <v>53</v>
      </c>
      <c r="E1651" s="17">
        <v>3194</v>
      </c>
      <c r="F1651" s="18">
        <v>1095</v>
      </c>
      <c r="G1651" s="27"/>
      <c r="H1651" s="1"/>
      <c r="I1651" s="1"/>
      <c r="J1651" s="1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spans="1:27" ht="16" customHeight="1">
      <c r="A1652" s="127"/>
      <c r="B1652" s="128"/>
      <c r="C1652" s="128"/>
      <c r="D1652" s="128"/>
      <c r="E1652" s="128"/>
      <c r="F1652" s="128"/>
      <c r="G1652" s="129"/>
      <c r="H1652" s="1"/>
      <c r="I1652" s="1"/>
      <c r="J1652" s="1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spans="1:27" ht="16" customHeight="1">
      <c r="A1653" s="12"/>
      <c r="B1653" s="108"/>
      <c r="C1653" s="106"/>
      <c r="D1653" s="100" t="s">
        <v>903</v>
      </c>
      <c r="E1653" s="17">
        <v>0</v>
      </c>
      <c r="F1653" s="18">
        <v>1150</v>
      </c>
      <c r="G1653" s="27"/>
      <c r="H1653" s="1"/>
      <c r="I1653" s="1"/>
      <c r="J1653" s="1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spans="1:27" ht="16" customHeight="1">
      <c r="A1654" s="12"/>
      <c r="B1654" s="108"/>
      <c r="C1654" s="106"/>
      <c r="D1654" s="100" t="s">
        <v>858</v>
      </c>
      <c r="E1654" s="17" t="s">
        <v>859</v>
      </c>
      <c r="F1654" s="18">
        <v>1250</v>
      </c>
      <c r="G1654" s="27"/>
      <c r="H1654" s="1"/>
      <c r="I1654" s="1"/>
      <c r="J1654" s="1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spans="1:27" ht="15.5" customHeight="1">
      <c r="A1655" s="136"/>
      <c r="B1655" s="137">
        <v>718</v>
      </c>
      <c r="C1655" s="138" t="s">
        <v>208</v>
      </c>
      <c r="D1655" s="139" t="s">
        <v>20</v>
      </c>
      <c r="E1655" s="140">
        <v>3165</v>
      </c>
      <c r="F1655" s="141">
        <v>4136</v>
      </c>
      <c r="G1655" s="142"/>
      <c r="H1655" s="1"/>
      <c r="I1655" s="1"/>
      <c r="J1655" s="1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spans="1:27" ht="16" customHeight="1">
      <c r="A1656" s="127"/>
      <c r="B1656" s="128"/>
      <c r="C1656" s="128"/>
      <c r="D1656" s="128"/>
      <c r="E1656" s="128"/>
      <c r="F1656" s="128"/>
      <c r="G1656" s="129"/>
      <c r="H1656" s="1"/>
      <c r="I1656" s="1"/>
      <c r="J1656" s="1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spans="1:27" ht="16" customHeight="1">
      <c r="A1657" s="12"/>
      <c r="B1657" s="116" t="s">
        <v>904</v>
      </c>
      <c r="C1657" s="107" t="s">
        <v>893</v>
      </c>
      <c r="D1657" s="100" t="s">
        <v>26</v>
      </c>
      <c r="E1657" s="17">
        <v>3074</v>
      </c>
      <c r="F1657" s="18">
        <v>1495</v>
      </c>
      <c r="G1657" s="27"/>
      <c r="H1657" s="1"/>
      <c r="I1657" s="1"/>
      <c r="J1657" s="1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spans="1:27" ht="16" customHeight="1">
      <c r="A1658" s="12"/>
      <c r="B1658" s="108"/>
      <c r="C1658" s="106"/>
      <c r="D1658" s="100" t="s">
        <v>26</v>
      </c>
      <c r="E1658" s="17" t="s">
        <v>905</v>
      </c>
      <c r="F1658" s="18">
        <v>1495</v>
      </c>
      <c r="G1658" s="27"/>
      <c r="H1658" s="1"/>
      <c r="I1658" s="1"/>
      <c r="J1658" s="1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spans="1:27" ht="16" customHeight="1">
      <c r="A1659" s="127"/>
      <c r="B1659" s="128"/>
      <c r="C1659" s="128"/>
      <c r="D1659" s="128"/>
      <c r="E1659" s="128"/>
      <c r="F1659" s="128"/>
      <c r="G1659" s="129"/>
      <c r="H1659" s="1"/>
      <c r="I1659" s="1"/>
      <c r="J1659" s="1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spans="1:27" ht="16" customHeight="1">
      <c r="A1660" s="12"/>
      <c r="B1660" s="108"/>
      <c r="C1660" s="107" t="s">
        <v>906</v>
      </c>
      <c r="D1660" s="100" t="s">
        <v>200</v>
      </c>
      <c r="E1660" s="17">
        <v>3076</v>
      </c>
      <c r="F1660" s="18">
        <v>6900</v>
      </c>
      <c r="G1660" s="27"/>
      <c r="H1660" s="1"/>
      <c r="I1660" s="1"/>
      <c r="J1660" s="1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spans="1:27" ht="16" customHeight="1">
      <c r="A1661" s="12"/>
      <c r="B1661" s="108"/>
      <c r="C1661" s="106"/>
      <c r="D1661" s="100" t="s">
        <v>907</v>
      </c>
      <c r="E1661" s="17" t="s">
        <v>908</v>
      </c>
      <c r="F1661" s="18">
        <v>2450</v>
      </c>
      <c r="G1661" s="27"/>
      <c r="H1661" s="1"/>
      <c r="I1661" s="1"/>
      <c r="J1661" s="1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spans="1:27" ht="16" customHeight="1">
      <c r="A1662" s="12"/>
      <c r="B1662" s="108"/>
      <c r="C1662" s="106"/>
      <c r="D1662" s="100" t="s">
        <v>909</v>
      </c>
      <c r="E1662" s="17" t="s">
        <v>910</v>
      </c>
      <c r="F1662" s="18">
        <v>1850</v>
      </c>
      <c r="G1662" s="27"/>
      <c r="H1662" s="1"/>
      <c r="I1662" s="1"/>
      <c r="J1662" s="1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spans="1:27" ht="16" customHeight="1">
      <c r="A1663" s="12"/>
      <c r="B1663" s="116" t="s">
        <v>911</v>
      </c>
      <c r="C1663" s="107" t="s">
        <v>68</v>
      </c>
      <c r="D1663" s="100" t="s">
        <v>833</v>
      </c>
      <c r="E1663" s="17">
        <v>3077</v>
      </c>
      <c r="F1663" s="18">
        <v>1150</v>
      </c>
      <c r="G1663" s="27"/>
      <c r="H1663" s="1"/>
      <c r="I1663" s="1"/>
      <c r="J1663" s="1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spans="1:27" ht="16" customHeight="1">
      <c r="A1664" s="12"/>
      <c r="B1664" s="108"/>
      <c r="C1664" s="106"/>
      <c r="D1664" s="100"/>
      <c r="E1664" s="13"/>
      <c r="F1664" s="18" t="s">
        <v>807</v>
      </c>
      <c r="G1664" s="27"/>
      <c r="H1664" s="1"/>
      <c r="I1664" s="1"/>
      <c r="J1664" s="1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spans="1:27" ht="16" customHeight="1">
      <c r="A1665" s="29"/>
      <c r="B1665" s="109" t="s">
        <v>912</v>
      </c>
      <c r="C1665" s="107" t="s">
        <v>208</v>
      </c>
      <c r="D1665" s="100" t="s">
        <v>26</v>
      </c>
      <c r="E1665" s="17">
        <v>3290</v>
      </c>
      <c r="F1665" s="18">
        <v>1495</v>
      </c>
      <c r="G1665" s="27"/>
      <c r="H1665" s="1"/>
      <c r="I1665" s="1"/>
      <c r="J1665" s="1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spans="1:27" ht="16" customHeight="1">
      <c r="A1666" s="12"/>
      <c r="B1666" s="108"/>
      <c r="C1666" s="106"/>
      <c r="D1666" s="100" t="s">
        <v>27</v>
      </c>
      <c r="E1666" s="17">
        <v>3291</v>
      </c>
      <c r="F1666" s="18">
        <v>1150</v>
      </c>
      <c r="G1666" s="27"/>
      <c r="H1666" s="1"/>
      <c r="I1666" s="1"/>
      <c r="J1666" s="1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spans="1:27" ht="16" customHeight="1">
      <c r="A1667" s="12"/>
      <c r="B1667" s="108"/>
      <c r="C1667" s="106"/>
      <c r="D1667" s="100" t="s">
        <v>29</v>
      </c>
      <c r="E1667" s="17" t="s">
        <v>913</v>
      </c>
      <c r="F1667" s="18">
        <v>1695</v>
      </c>
      <c r="G1667" s="27"/>
      <c r="H1667" s="1"/>
      <c r="I1667" s="1"/>
      <c r="J1667" s="1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spans="1:27" ht="16" customHeight="1">
      <c r="A1668" s="12"/>
      <c r="B1668" s="108"/>
      <c r="C1668" s="106"/>
      <c r="D1668" s="100" t="s">
        <v>914</v>
      </c>
      <c r="E1668" s="17">
        <v>3293</v>
      </c>
      <c r="F1668" s="18">
        <v>695</v>
      </c>
      <c r="G1668" s="27"/>
      <c r="H1668" s="1"/>
      <c r="I1668" s="1"/>
      <c r="J1668" s="1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spans="1:27" ht="16" customHeight="1">
      <c r="A1669" s="29"/>
      <c r="B1669" s="109" t="s">
        <v>912</v>
      </c>
      <c r="C1669" s="107" t="s">
        <v>915</v>
      </c>
      <c r="D1669" s="100" t="s">
        <v>156</v>
      </c>
      <c r="E1669" s="17">
        <v>3365</v>
      </c>
      <c r="F1669" s="18">
        <v>895</v>
      </c>
      <c r="G1669" s="27"/>
      <c r="H1669" s="1"/>
      <c r="I1669" s="1"/>
      <c r="J1669" s="1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spans="1:27" ht="16" customHeight="1">
      <c r="A1670" s="124" t="s">
        <v>916</v>
      </c>
      <c r="H1670" s="1"/>
      <c r="I1670" s="1"/>
      <c r="J1670" s="1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spans="1:27" ht="16" customHeight="1">
      <c r="A1671" s="12"/>
      <c r="B1671" s="109" t="s">
        <v>917</v>
      </c>
      <c r="C1671" s="106"/>
      <c r="D1671" s="100" t="s">
        <v>12</v>
      </c>
      <c r="E1671" s="17">
        <v>2038</v>
      </c>
      <c r="F1671" s="18">
        <v>2495</v>
      </c>
      <c r="G1671" s="27"/>
      <c r="H1671" s="1"/>
      <c r="I1671" s="1"/>
      <c r="J1671" s="1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spans="1:27" ht="16" customHeight="1">
      <c r="A1672" s="12"/>
      <c r="B1672" s="108"/>
      <c r="C1672" s="106"/>
      <c r="D1672" s="100" t="s">
        <v>18</v>
      </c>
      <c r="E1672" s="17">
        <v>2039</v>
      </c>
      <c r="F1672" s="18">
        <v>4495</v>
      </c>
      <c r="G1672" s="27"/>
      <c r="H1672" s="1"/>
      <c r="I1672" s="1"/>
      <c r="J1672" s="1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spans="1:27" ht="16" customHeight="1">
      <c r="A1673" s="12"/>
      <c r="B1673" s="108"/>
      <c r="C1673" s="106"/>
      <c r="D1673" s="100" t="s">
        <v>60</v>
      </c>
      <c r="E1673" s="17">
        <v>2040</v>
      </c>
      <c r="F1673" s="18">
        <v>4295</v>
      </c>
      <c r="G1673" s="27"/>
      <c r="H1673" s="1"/>
      <c r="I1673" s="1"/>
      <c r="J1673" s="1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spans="1:27" ht="16" customHeight="1">
      <c r="A1674" s="12"/>
      <c r="B1674" s="109" t="s">
        <v>917</v>
      </c>
      <c r="C1674" s="107" t="s">
        <v>918</v>
      </c>
      <c r="D1674" s="100" t="s">
        <v>200</v>
      </c>
      <c r="E1674" s="13"/>
      <c r="F1674" s="18">
        <v>2795</v>
      </c>
      <c r="G1674" s="27"/>
      <c r="H1674" s="1"/>
      <c r="I1674" s="1"/>
      <c r="J1674" s="1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spans="1:27" ht="16" customHeight="1">
      <c r="A1675" s="12"/>
      <c r="B1675" s="109" t="s">
        <v>919</v>
      </c>
      <c r="C1675" s="106"/>
      <c r="D1675" s="100" t="s">
        <v>531</v>
      </c>
      <c r="E1675" s="13"/>
      <c r="F1675" s="18">
        <v>795</v>
      </c>
      <c r="G1675" s="27"/>
      <c r="H1675" s="1"/>
      <c r="I1675" s="1"/>
      <c r="J1675" s="1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spans="1:27" ht="16" customHeight="1">
      <c r="A1676" s="12"/>
      <c r="B1676" s="108"/>
      <c r="C1676" s="106"/>
      <c r="D1676" s="100" t="s">
        <v>920</v>
      </c>
      <c r="E1676" s="17" t="s">
        <v>921</v>
      </c>
      <c r="F1676" s="18">
        <v>1195</v>
      </c>
      <c r="G1676" s="27"/>
      <c r="H1676" s="1"/>
      <c r="I1676" s="1"/>
      <c r="J1676" s="1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spans="1:27" ht="16" customHeight="1">
      <c r="A1677" s="12"/>
      <c r="B1677" s="109" t="s">
        <v>922</v>
      </c>
      <c r="C1677" s="107" t="s">
        <v>923</v>
      </c>
      <c r="D1677" s="100" t="s">
        <v>924</v>
      </c>
      <c r="E1677" s="17">
        <v>3205</v>
      </c>
      <c r="F1677" s="18">
        <v>3495</v>
      </c>
      <c r="G1677" s="27"/>
      <c r="H1677" s="1"/>
      <c r="I1677" s="1"/>
      <c r="J1677" s="1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spans="1:27" ht="16" customHeight="1">
      <c r="A1678" s="12"/>
      <c r="B1678" s="108"/>
      <c r="C1678" s="106"/>
      <c r="D1678" s="100" t="s">
        <v>200</v>
      </c>
      <c r="E1678" s="17">
        <v>1887</v>
      </c>
      <c r="F1678" s="18">
        <v>2795</v>
      </c>
      <c r="G1678" s="27"/>
      <c r="H1678" s="1"/>
      <c r="I1678" s="1"/>
      <c r="J1678" s="1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spans="1:27" ht="16" customHeight="1">
      <c r="A1679" s="12"/>
      <c r="B1679" s="108"/>
      <c r="C1679" s="106"/>
      <c r="D1679" s="100" t="s">
        <v>909</v>
      </c>
      <c r="E1679" s="17">
        <v>1888</v>
      </c>
      <c r="F1679" s="18">
        <v>1195</v>
      </c>
      <c r="G1679" s="27"/>
      <c r="H1679" s="1"/>
      <c r="I1679" s="1"/>
      <c r="J1679" s="1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spans="1:27" ht="16" customHeight="1">
      <c r="A1680" s="12"/>
      <c r="B1680" s="109" t="s">
        <v>917</v>
      </c>
      <c r="C1680" s="106"/>
      <c r="D1680" s="100" t="s">
        <v>65</v>
      </c>
      <c r="E1680" s="17">
        <v>2438</v>
      </c>
      <c r="F1680" s="18">
        <v>3470</v>
      </c>
      <c r="G1680" s="27"/>
      <c r="H1680" s="1"/>
      <c r="I1680" s="1"/>
      <c r="J1680" s="1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spans="1:27" ht="15.5" customHeight="1">
      <c r="A1681" s="136"/>
      <c r="B1681" s="143"/>
      <c r="C1681" s="144"/>
      <c r="D1681" s="139" t="s">
        <v>925</v>
      </c>
      <c r="E1681" s="140">
        <v>3221</v>
      </c>
      <c r="F1681" s="141">
        <v>1275</v>
      </c>
      <c r="G1681" s="142"/>
      <c r="H1681" s="1"/>
      <c r="I1681" s="1"/>
      <c r="J1681" s="1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spans="1:27" ht="16" customHeight="1">
      <c r="A1682" s="12"/>
      <c r="B1682" s="108"/>
      <c r="C1682" s="106"/>
      <c r="D1682" s="100" t="s">
        <v>18</v>
      </c>
      <c r="E1682" s="17">
        <v>3222</v>
      </c>
      <c r="F1682" s="18">
        <v>4950</v>
      </c>
      <c r="G1682" s="27"/>
      <c r="H1682" s="1"/>
      <c r="I1682" s="1"/>
      <c r="J1682" s="1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spans="1:27" ht="16" customHeight="1">
      <c r="A1683" s="12"/>
      <c r="B1683" s="108"/>
      <c r="C1683" s="106"/>
      <c r="D1683" s="100" t="s">
        <v>20</v>
      </c>
      <c r="E1683" s="17">
        <v>3223</v>
      </c>
      <c r="F1683" s="18">
        <v>4950</v>
      </c>
      <c r="G1683" s="27"/>
      <c r="H1683" s="1"/>
      <c r="I1683" s="1"/>
      <c r="J1683" s="1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spans="1:27" ht="16" customHeight="1">
      <c r="A1684" s="12"/>
      <c r="B1684" s="108"/>
      <c r="C1684" s="106"/>
      <c r="D1684" s="100" t="s">
        <v>200</v>
      </c>
      <c r="E1684" s="17">
        <v>3219</v>
      </c>
      <c r="F1684" s="18">
        <v>3795</v>
      </c>
      <c r="G1684" s="27"/>
      <c r="H1684" s="1"/>
      <c r="I1684" s="1"/>
      <c r="J1684" s="1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spans="1:27" ht="15.5" customHeight="1">
      <c r="A1685" s="136"/>
      <c r="B1685" s="137" t="s">
        <v>926</v>
      </c>
      <c r="C1685" s="138" t="s">
        <v>687</v>
      </c>
      <c r="D1685" s="139" t="s">
        <v>26</v>
      </c>
      <c r="E1685" s="140">
        <v>2357</v>
      </c>
      <c r="F1685" s="141">
        <v>1995</v>
      </c>
      <c r="G1685" s="142"/>
      <c r="H1685" s="1"/>
      <c r="I1685" s="1"/>
      <c r="J1685" s="1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spans="1:27" ht="26" customHeight="1">
      <c r="A1686" s="12"/>
      <c r="B1686" s="108"/>
      <c r="C1686" s="107" t="s">
        <v>687</v>
      </c>
      <c r="D1686" s="100" t="s">
        <v>27</v>
      </c>
      <c r="E1686" s="17">
        <v>2358</v>
      </c>
      <c r="F1686" s="18">
        <v>1295</v>
      </c>
      <c r="G1686" s="27"/>
      <c r="H1686" s="1"/>
      <c r="I1686" s="1"/>
      <c r="J1686" s="1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spans="1:27" ht="16" customHeight="1">
      <c r="A1687" s="12"/>
      <c r="B1687" s="109" t="s">
        <v>926</v>
      </c>
      <c r="C1687" s="106">
        <v>750</v>
      </c>
      <c r="D1687" s="100" t="s">
        <v>18</v>
      </c>
      <c r="E1687" s="13"/>
      <c r="F1687" s="18">
        <v>6950</v>
      </c>
      <c r="G1687" s="27"/>
      <c r="H1687" s="1"/>
      <c r="I1687" s="1"/>
      <c r="J1687" s="1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spans="1:27" ht="15.5" customHeight="1">
      <c r="A1688" s="136"/>
      <c r="B1688" s="143"/>
      <c r="C1688" s="144"/>
      <c r="D1688" s="139" t="s">
        <v>20</v>
      </c>
      <c r="E1688" s="152"/>
      <c r="F1688" s="141">
        <v>6950</v>
      </c>
      <c r="G1688" s="142"/>
      <c r="H1688" s="1"/>
      <c r="I1688" s="1"/>
      <c r="J1688" s="1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spans="1:27" ht="16" customHeight="1">
      <c r="A1689" s="12"/>
      <c r="B1689" s="108"/>
      <c r="C1689" s="106"/>
      <c r="D1689" s="100" t="s">
        <v>200</v>
      </c>
      <c r="E1689" s="17">
        <v>2559</v>
      </c>
      <c r="F1689" s="18">
        <v>4250</v>
      </c>
      <c r="G1689" s="27"/>
      <c r="H1689" s="1"/>
      <c r="I1689" s="1"/>
      <c r="J1689" s="1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spans="1:27" ht="16" customHeight="1">
      <c r="A1690" s="12"/>
      <c r="B1690" s="108"/>
      <c r="C1690" s="106"/>
      <c r="D1690" s="100" t="s">
        <v>909</v>
      </c>
      <c r="E1690" s="13"/>
      <c r="F1690" s="18">
        <v>2495</v>
      </c>
      <c r="G1690" s="27"/>
      <c r="H1690" s="1"/>
      <c r="I1690" s="1"/>
      <c r="J1690" s="1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spans="1:27" ht="16" customHeight="1">
      <c r="A1691" s="12"/>
      <c r="B1691" s="108"/>
      <c r="C1691" s="106"/>
      <c r="D1691" s="100" t="s">
        <v>927</v>
      </c>
      <c r="E1691" s="13"/>
      <c r="F1691" s="18">
        <v>1095</v>
      </c>
      <c r="G1691" s="27"/>
      <c r="H1691" s="1"/>
      <c r="I1691" s="1"/>
      <c r="J1691" s="1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spans="1:27" ht="16" customHeight="1">
      <c r="A1692" s="12"/>
      <c r="B1692" s="108"/>
      <c r="C1692" s="106"/>
      <c r="D1692" s="100" t="s">
        <v>928</v>
      </c>
      <c r="E1692" s="13"/>
      <c r="F1692" s="18">
        <v>2995</v>
      </c>
      <c r="G1692" s="27"/>
      <c r="H1692" s="1"/>
      <c r="I1692" s="1"/>
      <c r="J1692" s="1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spans="1:27" ht="16" customHeight="1">
      <c r="A1693" s="12"/>
      <c r="B1693" s="109" t="s">
        <v>926</v>
      </c>
      <c r="C1693" s="107" t="s">
        <v>929</v>
      </c>
      <c r="D1693" s="100" t="s">
        <v>65</v>
      </c>
      <c r="E1693" s="17">
        <v>3000</v>
      </c>
      <c r="F1693" s="18">
        <v>7950</v>
      </c>
      <c r="G1693" s="27"/>
      <c r="H1693" s="1"/>
      <c r="I1693" s="1"/>
      <c r="J1693" s="1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spans="1:27" ht="16" customHeight="1">
      <c r="A1694" s="12"/>
      <c r="B1694" s="108"/>
      <c r="C1694" s="107" t="s">
        <v>246</v>
      </c>
      <c r="D1694" s="100" t="s">
        <v>26</v>
      </c>
      <c r="E1694" s="17">
        <v>3211</v>
      </c>
      <c r="F1694" s="18">
        <v>2450</v>
      </c>
      <c r="G1694" s="27"/>
      <c r="H1694" s="1"/>
      <c r="I1694" s="1"/>
      <c r="J1694" s="1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spans="1:27" ht="16" customHeight="1">
      <c r="A1695" s="12"/>
      <c r="B1695" s="108"/>
      <c r="C1695" s="107"/>
      <c r="D1695" s="100" t="s">
        <v>27</v>
      </c>
      <c r="E1695" s="13"/>
      <c r="F1695" s="18">
        <v>2950</v>
      </c>
      <c r="G1695" s="27"/>
      <c r="H1695" s="1"/>
      <c r="I1695" s="1"/>
      <c r="J1695" s="1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spans="1:27" ht="16" customHeight="1">
      <c r="A1696" s="12"/>
      <c r="B1696" s="109" t="s">
        <v>926</v>
      </c>
      <c r="C1696" s="107" t="s">
        <v>930</v>
      </c>
      <c r="D1696" s="100" t="s">
        <v>200</v>
      </c>
      <c r="E1696" s="17" t="s">
        <v>931</v>
      </c>
      <c r="F1696" s="18">
        <v>6950</v>
      </c>
      <c r="G1696" s="27"/>
      <c r="H1696" s="1"/>
      <c r="I1696" s="1"/>
      <c r="J1696" s="1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spans="1:27" ht="16" customHeight="1">
      <c r="A1697" s="12"/>
      <c r="B1697" s="108"/>
      <c r="C1697" s="107" t="s">
        <v>246</v>
      </c>
      <c r="D1697" s="100" t="s">
        <v>932</v>
      </c>
      <c r="E1697" s="17" t="s">
        <v>933</v>
      </c>
      <c r="F1697" s="18">
        <v>2495</v>
      </c>
      <c r="G1697" s="27"/>
      <c r="H1697" s="1"/>
      <c r="I1697" s="1"/>
      <c r="J1697" s="1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spans="1:27" ht="16" customHeight="1">
      <c r="A1698" s="12"/>
      <c r="B1698" s="108"/>
      <c r="C1698" s="106"/>
      <c r="D1698" s="100" t="s">
        <v>909</v>
      </c>
      <c r="E1698" s="17">
        <v>3061</v>
      </c>
      <c r="F1698" s="18">
        <v>2495</v>
      </c>
      <c r="G1698" s="27"/>
      <c r="H1698" s="1"/>
      <c r="I1698" s="1"/>
      <c r="J1698" s="1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spans="1:27" ht="16" customHeight="1">
      <c r="A1699" s="12"/>
      <c r="B1699" s="108"/>
      <c r="C1699" s="106"/>
      <c r="D1699" s="100" t="s">
        <v>927</v>
      </c>
      <c r="E1699" s="17">
        <v>3062</v>
      </c>
      <c r="F1699" s="18">
        <v>1295</v>
      </c>
      <c r="G1699" s="27"/>
      <c r="H1699" s="1"/>
      <c r="I1699" s="1"/>
      <c r="J1699" s="1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spans="1:27" ht="16" customHeight="1">
      <c r="A1700" s="12"/>
      <c r="B1700" s="109" t="s">
        <v>934</v>
      </c>
      <c r="C1700" s="107" t="s">
        <v>935</v>
      </c>
      <c r="D1700" s="100" t="s">
        <v>18</v>
      </c>
      <c r="E1700" s="17" t="s">
        <v>936</v>
      </c>
      <c r="F1700" s="18">
        <v>4950</v>
      </c>
      <c r="G1700" s="27"/>
      <c r="H1700" s="1"/>
      <c r="I1700" s="1"/>
      <c r="J1700" s="1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spans="1:27" ht="16" customHeight="1">
      <c r="A1701" s="12"/>
      <c r="B1701" s="108"/>
      <c r="C1701" s="107" t="s">
        <v>937</v>
      </c>
      <c r="D1701" s="100" t="s">
        <v>26</v>
      </c>
      <c r="E1701" s="17" t="s">
        <v>938</v>
      </c>
      <c r="F1701" s="18">
        <v>2495</v>
      </c>
      <c r="G1701" s="27"/>
      <c r="H1701" s="1"/>
      <c r="I1701" s="1"/>
      <c r="J1701" s="1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spans="1:27" ht="15.5" customHeight="1">
      <c r="A1702" s="12"/>
      <c r="B1702" s="108"/>
      <c r="C1702" s="106"/>
      <c r="D1702" s="100" t="s">
        <v>14</v>
      </c>
      <c r="E1702" s="17" t="s">
        <v>939</v>
      </c>
      <c r="F1702" s="18">
        <v>4950</v>
      </c>
      <c r="G1702" s="27"/>
      <c r="H1702" s="1"/>
      <c r="I1702" s="1"/>
      <c r="J1702" s="1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spans="1:27" ht="16">
      <c r="A1703" s="12"/>
      <c r="B1703" s="108"/>
      <c r="C1703" s="106"/>
      <c r="D1703" s="100" t="s">
        <v>940</v>
      </c>
      <c r="E1703" s="17" t="s">
        <v>941</v>
      </c>
      <c r="F1703" s="18">
        <v>1995</v>
      </c>
      <c r="G1703" s="27"/>
      <c r="H1703" s="1"/>
      <c r="I1703" s="1"/>
      <c r="J1703" s="1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spans="1:27" ht="16">
      <c r="A1704" s="12"/>
      <c r="B1704" s="109" t="s">
        <v>934</v>
      </c>
      <c r="C1704" s="107" t="s">
        <v>942</v>
      </c>
      <c r="D1704" s="100" t="s">
        <v>29</v>
      </c>
      <c r="E1704" s="17">
        <v>3288</v>
      </c>
      <c r="F1704" s="18">
        <v>2750</v>
      </c>
      <c r="G1704" s="27"/>
      <c r="H1704" s="1"/>
      <c r="I1704" s="1"/>
      <c r="J1704" s="1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 spans="1:27" ht="16">
      <c r="A1705" s="12"/>
      <c r="B1705" s="109" t="s">
        <v>934</v>
      </c>
      <c r="C1705" s="106"/>
      <c r="D1705" s="100" t="s">
        <v>200</v>
      </c>
      <c r="E1705" s="17">
        <v>3359</v>
      </c>
      <c r="F1705" s="18">
        <v>5950</v>
      </c>
      <c r="G1705" s="27"/>
      <c r="H1705" s="1"/>
      <c r="I1705" s="1"/>
      <c r="J1705" s="1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 spans="1:27" ht="17">
      <c r="A1706" s="124" t="s">
        <v>943</v>
      </c>
      <c r="H1706" s="1"/>
      <c r="I1706" s="1"/>
      <c r="J1706" s="1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spans="1:27" ht="16">
      <c r="A1707" s="12"/>
      <c r="B1707" s="109" t="s">
        <v>944</v>
      </c>
      <c r="C1707" s="107" t="s">
        <v>687</v>
      </c>
      <c r="D1707" s="100" t="s">
        <v>29</v>
      </c>
      <c r="E1707" s="17">
        <v>1114</v>
      </c>
      <c r="F1707" s="18">
        <v>1295</v>
      </c>
      <c r="G1707" s="27"/>
      <c r="H1707" s="1"/>
      <c r="I1707" s="1"/>
      <c r="J1707" s="1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spans="1:27" ht="16">
      <c r="A1708" s="12"/>
      <c r="B1708" s="109" t="s">
        <v>944</v>
      </c>
      <c r="C1708" s="107" t="s">
        <v>687</v>
      </c>
      <c r="D1708" s="100" t="s">
        <v>29</v>
      </c>
      <c r="E1708" s="17" t="s">
        <v>945</v>
      </c>
      <c r="F1708" s="18">
        <v>1295</v>
      </c>
      <c r="G1708" s="27"/>
      <c r="H1708" s="1"/>
      <c r="I1708" s="1"/>
      <c r="J1708" s="1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spans="1:27" ht="16">
      <c r="A1709" s="12"/>
      <c r="B1709" s="109" t="s">
        <v>944</v>
      </c>
      <c r="C1709" s="107" t="s">
        <v>687</v>
      </c>
      <c r="D1709" s="100" t="s">
        <v>946</v>
      </c>
      <c r="E1709" s="17">
        <v>1431</v>
      </c>
      <c r="F1709" s="18">
        <v>895</v>
      </c>
      <c r="G1709" s="27"/>
      <c r="H1709" s="1"/>
      <c r="I1709" s="1"/>
      <c r="J1709" s="1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spans="1:27" ht="16">
      <c r="A1710" s="12"/>
      <c r="B1710" s="109" t="s">
        <v>944</v>
      </c>
      <c r="C1710" s="107" t="s">
        <v>930</v>
      </c>
      <c r="D1710" s="100" t="s">
        <v>26</v>
      </c>
      <c r="E1710" s="17">
        <v>1667</v>
      </c>
      <c r="F1710" s="18">
        <v>1750</v>
      </c>
      <c r="G1710" s="27"/>
      <c r="H1710" s="1"/>
      <c r="I1710" s="1"/>
      <c r="J1710" s="1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spans="1:27" ht="16">
      <c r="A1711" s="12"/>
      <c r="B1711" s="108"/>
      <c r="C1711" s="106"/>
      <c r="D1711" s="100" t="s">
        <v>27</v>
      </c>
      <c r="E1711" s="17">
        <v>1668</v>
      </c>
      <c r="F1711" s="18">
        <v>1095</v>
      </c>
      <c r="G1711" s="27"/>
      <c r="H1711" s="1"/>
      <c r="I1711" s="1"/>
      <c r="J1711" s="1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spans="1:27" ht="16">
      <c r="A1712" s="12"/>
      <c r="B1712" s="108"/>
      <c r="C1712" s="106"/>
      <c r="D1712" s="100" t="s">
        <v>947</v>
      </c>
      <c r="E1712" s="17">
        <v>1669</v>
      </c>
      <c r="F1712" s="18">
        <v>1095</v>
      </c>
      <c r="G1712" s="27"/>
      <c r="H1712" s="1"/>
      <c r="I1712" s="1"/>
      <c r="J1712" s="1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spans="1:27" ht="16">
      <c r="A1713" s="12"/>
      <c r="B1713" s="108"/>
      <c r="C1713" s="106"/>
      <c r="D1713" s="100" t="s">
        <v>948</v>
      </c>
      <c r="E1713" s="17" t="s">
        <v>949</v>
      </c>
      <c r="F1713" s="18">
        <v>745</v>
      </c>
      <c r="G1713" s="27"/>
      <c r="H1713" s="1"/>
      <c r="I1713" s="1"/>
      <c r="J1713" s="1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spans="1:27" ht="16">
      <c r="A1714" s="12"/>
      <c r="B1714" s="108"/>
      <c r="C1714" s="107" t="s">
        <v>607</v>
      </c>
      <c r="D1714" s="100" t="s">
        <v>29</v>
      </c>
      <c r="E1714" s="17" t="s">
        <v>950</v>
      </c>
      <c r="F1714" s="18">
        <v>3182</v>
      </c>
      <c r="G1714" s="27"/>
      <c r="H1714" s="1"/>
      <c r="I1714" s="1"/>
      <c r="J1714" s="1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spans="1:27" ht="16">
      <c r="A1715" s="12"/>
      <c r="B1715" s="109">
        <v>599</v>
      </c>
      <c r="C1715" s="107" t="s">
        <v>687</v>
      </c>
      <c r="D1715" s="100" t="s">
        <v>26</v>
      </c>
      <c r="E1715" s="17">
        <v>2359</v>
      </c>
      <c r="F1715" s="18">
        <v>1591</v>
      </c>
      <c r="G1715" s="27"/>
      <c r="H1715" s="1"/>
      <c r="I1715" s="1"/>
      <c r="J1715" s="1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spans="1:27" ht="16">
      <c r="A1716" s="12"/>
      <c r="B1716" s="108"/>
      <c r="C1716" s="107" t="s">
        <v>687</v>
      </c>
      <c r="D1716" s="100" t="s">
        <v>951</v>
      </c>
      <c r="E1716" s="17">
        <v>2358</v>
      </c>
      <c r="F1716" s="18">
        <v>955</v>
      </c>
      <c r="G1716" s="27"/>
      <c r="H1716" s="1"/>
      <c r="I1716" s="1"/>
      <c r="J1716" s="1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spans="1:27" ht="16">
      <c r="A1717" s="12"/>
      <c r="B1717" s="108"/>
      <c r="C1717" s="107" t="s">
        <v>952</v>
      </c>
      <c r="D1717" s="100" t="s">
        <v>18</v>
      </c>
      <c r="E1717" s="17">
        <v>3145</v>
      </c>
      <c r="F1717" s="18">
        <v>1591</v>
      </c>
      <c r="G1717" s="27"/>
      <c r="H1717" s="1"/>
      <c r="I1717" s="1"/>
      <c r="J1717" s="1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spans="1:27" ht="16">
      <c r="A1718" s="12"/>
      <c r="B1718" s="109">
        <v>488</v>
      </c>
      <c r="C1718" s="107" t="s">
        <v>953</v>
      </c>
      <c r="D1718" s="100" t="s">
        <v>26</v>
      </c>
      <c r="E1718" s="17">
        <v>3213</v>
      </c>
      <c r="F1718" s="18">
        <v>1909</v>
      </c>
      <c r="G1718" s="27"/>
      <c r="H1718" s="1"/>
      <c r="I1718" s="1"/>
      <c r="J1718" s="1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spans="1:27" ht="16">
      <c r="A1719" s="12"/>
      <c r="B1719" s="108"/>
      <c r="C1719" s="106"/>
      <c r="D1719" s="100" t="s">
        <v>951</v>
      </c>
      <c r="E1719" s="17">
        <v>3214</v>
      </c>
      <c r="F1719" s="18">
        <v>1273</v>
      </c>
      <c r="G1719" s="27"/>
      <c r="H1719" s="1"/>
      <c r="I1719" s="1"/>
      <c r="J1719" s="1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spans="1:27" ht="16">
      <c r="A1720" s="12"/>
      <c r="B1720" s="108"/>
      <c r="C1720" s="106"/>
      <c r="D1720" s="100" t="s">
        <v>954</v>
      </c>
      <c r="E1720" s="17">
        <v>3215</v>
      </c>
      <c r="F1720" s="18">
        <v>1591</v>
      </c>
      <c r="G1720" s="27"/>
      <c r="H1720" s="1"/>
      <c r="I1720" s="1"/>
      <c r="J1720" s="1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spans="1:27" ht="16">
      <c r="A1721" s="12"/>
      <c r="B1721" s="108"/>
      <c r="C1721" s="106"/>
      <c r="D1721" s="100" t="s">
        <v>29</v>
      </c>
      <c r="E1721" s="17">
        <v>3216</v>
      </c>
      <c r="F1721" s="18">
        <v>2227</v>
      </c>
      <c r="G1721" s="27"/>
      <c r="H1721" s="1"/>
      <c r="I1721" s="1"/>
      <c r="J1721" s="1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spans="1:27" ht="16">
      <c r="A1722" s="12"/>
      <c r="B1722" s="108"/>
      <c r="C1722" s="106"/>
      <c r="D1722" s="100" t="s">
        <v>955</v>
      </c>
      <c r="E1722" s="17">
        <v>3217</v>
      </c>
      <c r="F1722" s="18">
        <v>636</v>
      </c>
      <c r="G1722" s="27"/>
      <c r="H1722" s="1"/>
      <c r="I1722" s="1"/>
      <c r="J1722" s="1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spans="1:27" ht="16">
      <c r="A1723" s="12"/>
      <c r="B1723" s="108"/>
      <c r="C1723" s="106"/>
      <c r="D1723" s="100" t="s">
        <v>29</v>
      </c>
      <c r="E1723" s="17" t="s">
        <v>956</v>
      </c>
      <c r="F1723" s="18">
        <v>2864</v>
      </c>
      <c r="G1723" s="27"/>
      <c r="H1723" s="1"/>
      <c r="I1723" s="1"/>
      <c r="J1723" s="1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spans="1:27" ht="16">
      <c r="A1724" s="12"/>
      <c r="B1724" s="109" t="s">
        <v>957</v>
      </c>
      <c r="C1724" s="107" t="s">
        <v>68</v>
      </c>
      <c r="D1724" s="100" t="s">
        <v>60</v>
      </c>
      <c r="E1724" s="17">
        <v>2210</v>
      </c>
      <c r="F1724" s="18">
        <v>1273</v>
      </c>
      <c r="G1724" s="27"/>
      <c r="H1724" s="1"/>
      <c r="I1724" s="1"/>
      <c r="J1724" s="1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spans="1:27" ht="16">
      <c r="A1725" s="12"/>
      <c r="B1725" s="108"/>
      <c r="C1725" s="107" t="s">
        <v>958</v>
      </c>
      <c r="D1725" s="100" t="s">
        <v>61</v>
      </c>
      <c r="E1725" s="17">
        <v>2211</v>
      </c>
      <c r="F1725" s="18">
        <v>1909</v>
      </c>
      <c r="G1725" s="27"/>
      <c r="H1725" s="1"/>
      <c r="I1725" s="1"/>
      <c r="J1725" s="1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spans="1:27" ht="16">
      <c r="A1726" s="12"/>
      <c r="B1726" s="108"/>
      <c r="C1726" s="106"/>
      <c r="D1726" s="100" t="s">
        <v>26</v>
      </c>
      <c r="E1726" s="17">
        <v>2212</v>
      </c>
      <c r="F1726" s="18">
        <v>1591</v>
      </c>
      <c r="G1726" s="27"/>
      <c r="H1726" s="1"/>
      <c r="I1726" s="1"/>
      <c r="J1726" s="1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 spans="1:27" ht="16">
      <c r="A1727" s="12"/>
      <c r="B1727" s="108"/>
      <c r="C1727" s="106"/>
      <c r="D1727" s="100" t="s">
        <v>951</v>
      </c>
      <c r="E1727" s="17">
        <v>2213</v>
      </c>
      <c r="F1727" s="18">
        <v>1909</v>
      </c>
      <c r="G1727" s="27"/>
      <c r="H1727" s="1"/>
      <c r="I1727" s="1"/>
      <c r="J1727" s="1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spans="1:27" ht="17">
      <c r="A1728" s="124" t="s">
        <v>959</v>
      </c>
      <c r="H1728" s="1"/>
      <c r="I1728" s="1"/>
      <c r="J1728" s="1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spans="1:27" ht="16">
      <c r="A1729" s="12"/>
      <c r="B1729" s="109" t="s">
        <v>960</v>
      </c>
      <c r="C1729" s="107" t="s">
        <v>68</v>
      </c>
      <c r="D1729" s="100" t="s">
        <v>26</v>
      </c>
      <c r="E1729" s="17">
        <v>2215</v>
      </c>
      <c r="F1729" s="18">
        <v>1273</v>
      </c>
      <c r="G1729" s="27"/>
      <c r="H1729" s="1"/>
      <c r="I1729" s="1"/>
      <c r="J1729" s="1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spans="1:27" ht="16">
      <c r="A1730" s="12"/>
      <c r="B1730" s="108"/>
      <c r="C1730" s="106"/>
      <c r="D1730" s="100" t="s">
        <v>951</v>
      </c>
      <c r="E1730" s="17">
        <v>2216</v>
      </c>
      <c r="F1730" s="18">
        <v>1145</v>
      </c>
      <c r="G1730" s="27"/>
      <c r="H1730" s="1"/>
      <c r="I1730" s="1"/>
      <c r="J1730" s="1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spans="1:27" ht="16">
      <c r="A1731" s="12"/>
      <c r="B1731" s="109" t="s">
        <v>961</v>
      </c>
      <c r="C1731" s="107" t="s">
        <v>962</v>
      </c>
      <c r="D1731" s="100" t="s">
        <v>963</v>
      </c>
      <c r="E1731" s="17">
        <v>2430</v>
      </c>
      <c r="F1731" s="18">
        <v>573</v>
      </c>
      <c r="G1731" s="27"/>
      <c r="H1731" s="1"/>
      <c r="I1731" s="1"/>
      <c r="J1731" s="1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spans="1:27" ht="16">
      <c r="A1732" s="12"/>
      <c r="B1732" s="108"/>
      <c r="C1732" s="106"/>
      <c r="D1732" s="100"/>
      <c r="E1732" s="17">
        <v>2431</v>
      </c>
      <c r="F1732" s="18">
        <v>573</v>
      </c>
      <c r="G1732" s="27"/>
      <c r="H1732" s="1"/>
      <c r="I1732" s="1"/>
      <c r="J1732" s="1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spans="1:27" ht="16">
      <c r="A1733" s="12"/>
      <c r="B1733" s="108"/>
      <c r="C1733" s="106"/>
      <c r="D1733" s="100"/>
      <c r="E1733" s="17">
        <v>2432</v>
      </c>
      <c r="F1733" s="18">
        <v>573</v>
      </c>
      <c r="G1733" s="27"/>
      <c r="H1733" s="1"/>
      <c r="I1733" s="1"/>
      <c r="J1733" s="1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spans="1:27" ht="16">
      <c r="A1734" s="12"/>
      <c r="B1734" s="108"/>
      <c r="C1734" s="106"/>
      <c r="D1734" s="100" t="s">
        <v>964</v>
      </c>
      <c r="E1734" s="17">
        <v>2433</v>
      </c>
      <c r="F1734" s="18">
        <v>573</v>
      </c>
      <c r="G1734" s="27"/>
      <c r="H1734" s="1"/>
      <c r="I1734" s="1"/>
      <c r="J1734" s="1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spans="1:27" ht="16">
      <c r="A1735" s="12"/>
      <c r="B1735" s="108"/>
      <c r="C1735" s="106"/>
      <c r="D1735" s="100"/>
      <c r="E1735" s="17">
        <v>2434</v>
      </c>
      <c r="F1735" s="18">
        <v>573</v>
      </c>
      <c r="G1735" s="27"/>
      <c r="H1735" s="1"/>
      <c r="I1735" s="1"/>
      <c r="J1735" s="1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spans="1:27" ht="16">
      <c r="A1736" s="12"/>
      <c r="B1736" s="109" t="s">
        <v>965</v>
      </c>
      <c r="C1736" s="107" t="s">
        <v>966</v>
      </c>
      <c r="D1736" s="100" t="s">
        <v>29</v>
      </c>
      <c r="E1736" s="17">
        <v>3411</v>
      </c>
      <c r="F1736" s="18">
        <v>955</v>
      </c>
      <c r="G1736" s="27"/>
      <c r="H1736" s="1"/>
      <c r="I1736" s="1"/>
      <c r="J1736" s="1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 spans="1:27" ht="16">
      <c r="A1737" s="12"/>
      <c r="B1737" s="108"/>
      <c r="C1737" s="106"/>
      <c r="D1737" s="100" t="s">
        <v>200</v>
      </c>
      <c r="E1737" s="17">
        <v>3412</v>
      </c>
      <c r="F1737" s="18">
        <v>1591</v>
      </c>
      <c r="G1737" s="27"/>
      <c r="H1737" s="1"/>
      <c r="I1737" s="1"/>
      <c r="J1737" s="1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spans="1:27" ht="16">
      <c r="A1738" s="12"/>
      <c r="B1738" s="109" t="s">
        <v>965</v>
      </c>
      <c r="C1738" s="107" t="s">
        <v>962</v>
      </c>
      <c r="D1738" s="100" t="s">
        <v>963</v>
      </c>
      <c r="E1738" s="17">
        <v>2217</v>
      </c>
      <c r="F1738" s="18">
        <v>573</v>
      </c>
      <c r="G1738" s="27"/>
      <c r="H1738" s="1"/>
      <c r="I1738" s="1"/>
      <c r="J1738" s="1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spans="1:27" ht="16">
      <c r="A1739" s="12"/>
      <c r="B1739" s="108"/>
      <c r="C1739" s="106"/>
      <c r="D1739" s="100" t="s">
        <v>964</v>
      </c>
      <c r="E1739" s="17">
        <v>2218</v>
      </c>
      <c r="F1739" s="18">
        <v>573</v>
      </c>
      <c r="G1739" s="27"/>
      <c r="H1739" s="1"/>
      <c r="I1739" s="1"/>
      <c r="J1739" s="1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spans="1:27" ht="16">
      <c r="A1740" s="12"/>
      <c r="B1740" s="108"/>
      <c r="C1740" s="106"/>
      <c r="D1740" s="100" t="s">
        <v>12</v>
      </c>
      <c r="E1740" s="17">
        <v>2240</v>
      </c>
      <c r="F1740" s="18">
        <v>764</v>
      </c>
      <c r="G1740" s="27"/>
      <c r="H1740" s="1"/>
      <c r="I1740" s="1"/>
      <c r="J1740" s="1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 spans="1:27" ht="16">
      <c r="A1741" s="12"/>
      <c r="B1741" s="108"/>
      <c r="C1741" s="107" t="s">
        <v>246</v>
      </c>
      <c r="D1741" s="100" t="s">
        <v>951</v>
      </c>
      <c r="E1741" s="17">
        <v>2241</v>
      </c>
      <c r="F1741" s="18">
        <v>1591</v>
      </c>
      <c r="G1741" s="27"/>
      <c r="H1741" s="1"/>
      <c r="I1741" s="1"/>
      <c r="J1741" s="1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spans="1:27" ht="16">
      <c r="A1742" s="12"/>
      <c r="B1742" s="108"/>
      <c r="C1742" s="106"/>
      <c r="D1742" s="100" t="s">
        <v>212</v>
      </c>
      <c r="E1742" s="17">
        <v>2242</v>
      </c>
      <c r="F1742" s="18">
        <v>1273</v>
      </c>
      <c r="G1742" s="27"/>
      <c r="H1742" s="1"/>
      <c r="I1742" s="1"/>
      <c r="J1742" s="1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spans="1:27" ht="16">
      <c r="A1743" s="12"/>
      <c r="B1743" s="108"/>
      <c r="C1743" s="107" t="s">
        <v>246</v>
      </c>
      <c r="D1743" s="100" t="s">
        <v>22</v>
      </c>
      <c r="E1743" s="17">
        <v>2243</v>
      </c>
      <c r="F1743" s="18">
        <v>1591</v>
      </c>
      <c r="G1743" s="27"/>
      <c r="H1743" s="1"/>
      <c r="I1743" s="1"/>
      <c r="J1743" s="1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spans="1:27" ht="16">
      <c r="A1744" s="12"/>
      <c r="B1744" s="109" t="s">
        <v>965</v>
      </c>
      <c r="C1744" s="107" t="s">
        <v>68</v>
      </c>
      <c r="D1744" s="100" t="s">
        <v>60</v>
      </c>
      <c r="E1744" s="17">
        <v>2325</v>
      </c>
      <c r="F1744" s="18">
        <v>1591</v>
      </c>
      <c r="G1744" s="27"/>
      <c r="H1744" s="1"/>
      <c r="I1744" s="1"/>
      <c r="J1744" s="1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spans="1:27" ht="16">
      <c r="A1745" s="12"/>
      <c r="B1745" s="109" t="s">
        <v>967</v>
      </c>
      <c r="C1745" s="107" t="s">
        <v>968</v>
      </c>
      <c r="D1745" s="100" t="s">
        <v>20</v>
      </c>
      <c r="E1745" s="17">
        <v>3045</v>
      </c>
      <c r="F1745" s="18">
        <v>1591</v>
      </c>
      <c r="G1745" s="27"/>
      <c r="H1745" s="1"/>
      <c r="I1745" s="1"/>
      <c r="J1745" s="1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 spans="1:27" ht="16">
      <c r="A1746" s="12"/>
      <c r="B1746" s="108"/>
      <c r="C1746" s="106"/>
      <c r="D1746" s="100" t="s">
        <v>29</v>
      </c>
      <c r="E1746" s="17">
        <v>3046</v>
      </c>
      <c r="F1746" s="18">
        <v>1591</v>
      </c>
      <c r="G1746" s="27"/>
      <c r="H1746" s="1"/>
      <c r="I1746" s="1"/>
      <c r="J1746" s="1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spans="1:27" ht="16">
      <c r="A1747" s="12"/>
      <c r="B1747" s="108"/>
      <c r="C1747" s="106"/>
      <c r="D1747" s="100" t="s">
        <v>854</v>
      </c>
      <c r="E1747" s="17">
        <v>3047</v>
      </c>
      <c r="F1747" s="18">
        <v>1591</v>
      </c>
      <c r="G1747" s="27"/>
      <c r="H1747" s="1"/>
      <c r="I1747" s="1"/>
      <c r="J1747" s="1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spans="1:27" ht="16">
      <c r="A1748" s="12"/>
      <c r="B1748" s="108"/>
      <c r="C1748" s="106"/>
      <c r="D1748" s="100" t="s">
        <v>27</v>
      </c>
      <c r="E1748" s="17">
        <v>3048</v>
      </c>
      <c r="F1748" s="18">
        <v>1591</v>
      </c>
      <c r="G1748" s="27"/>
      <c r="H1748" s="1"/>
      <c r="I1748" s="1"/>
      <c r="J1748" s="1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spans="1:27" ht="16">
      <c r="A1749" s="12"/>
      <c r="B1749" s="108"/>
      <c r="C1749" s="106"/>
      <c r="D1749" s="100" t="s">
        <v>53</v>
      </c>
      <c r="E1749" s="17">
        <v>3050</v>
      </c>
      <c r="F1749" s="18">
        <v>1591</v>
      </c>
      <c r="G1749" s="27"/>
      <c r="H1749" s="1"/>
      <c r="I1749" s="1"/>
      <c r="J1749" s="1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 spans="1:27" ht="16">
      <c r="A1750" s="12"/>
      <c r="B1750" s="108"/>
      <c r="C1750" s="106"/>
      <c r="D1750" s="100" t="s">
        <v>969</v>
      </c>
      <c r="E1750" s="17">
        <v>3049</v>
      </c>
      <c r="F1750" s="18">
        <v>1591</v>
      </c>
      <c r="G1750" s="27"/>
      <c r="H1750" s="1"/>
      <c r="I1750" s="1"/>
      <c r="J1750" s="1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spans="1:27" ht="16">
      <c r="A1751" s="12"/>
      <c r="B1751" s="108"/>
      <c r="C1751" s="106"/>
      <c r="D1751" s="100" t="s">
        <v>555</v>
      </c>
      <c r="E1751" s="17">
        <v>3051</v>
      </c>
      <c r="F1751" s="18">
        <v>1591</v>
      </c>
      <c r="G1751" s="27"/>
      <c r="H1751" s="1"/>
      <c r="I1751" s="1"/>
      <c r="J1751" s="1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spans="1:27" ht="16">
      <c r="A1752" s="12"/>
      <c r="B1752" s="109" t="s">
        <v>967</v>
      </c>
      <c r="C1752" s="107" t="s">
        <v>962</v>
      </c>
      <c r="D1752" s="100" t="s">
        <v>963</v>
      </c>
      <c r="E1752" s="17">
        <v>3208</v>
      </c>
      <c r="F1752" s="18">
        <v>573</v>
      </c>
      <c r="G1752" s="27"/>
      <c r="H1752" s="1"/>
      <c r="I1752" s="1"/>
      <c r="J1752" s="1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spans="1:27" ht="16">
      <c r="A1753" s="12"/>
      <c r="B1753" s="108"/>
      <c r="C1753" s="106"/>
      <c r="D1753" s="100" t="s">
        <v>964</v>
      </c>
      <c r="E1753" s="17">
        <v>3209</v>
      </c>
      <c r="F1753" s="18">
        <v>573</v>
      </c>
      <c r="G1753" s="27"/>
      <c r="H1753" s="1"/>
      <c r="I1753" s="1"/>
      <c r="J1753" s="1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 spans="1:27" ht="17">
      <c r="A1754" s="124" t="s">
        <v>959</v>
      </c>
      <c r="H1754" s="1"/>
      <c r="I1754" s="1"/>
      <c r="J1754" s="1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spans="1:27" ht="16">
      <c r="A1755" s="12"/>
      <c r="B1755" s="109" t="s">
        <v>970</v>
      </c>
      <c r="C1755" s="107" t="s">
        <v>971</v>
      </c>
      <c r="D1755" s="100" t="s">
        <v>63</v>
      </c>
      <c r="E1755" s="17">
        <v>3419</v>
      </c>
      <c r="F1755" s="18">
        <v>0</v>
      </c>
      <c r="G1755" s="27"/>
      <c r="H1755" s="1"/>
      <c r="I1755" s="1"/>
      <c r="J1755" s="1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spans="1:27" ht="16">
      <c r="A1756" s="12"/>
      <c r="B1756" s="109" t="s">
        <v>970</v>
      </c>
      <c r="C1756" s="106"/>
      <c r="D1756" s="100" t="s">
        <v>29</v>
      </c>
      <c r="E1756" s="17">
        <v>1013</v>
      </c>
      <c r="F1756" s="18">
        <v>509</v>
      </c>
      <c r="G1756" s="27"/>
      <c r="H1756" s="1"/>
      <c r="I1756" s="1"/>
      <c r="J1756" s="1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 spans="1:27" ht="16">
      <c r="A1757" s="12"/>
      <c r="B1757" s="109" t="s">
        <v>972</v>
      </c>
      <c r="C1757" s="106"/>
      <c r="D1757" s="100" t="s">
        <v>259</v>
      </c>
      <c r="E1757" s="17">
        <v>707</v>
      </c>
      <c r="F1757" s="18">
        <v>445</v>
      </c>
      <c r="G1757" s="27"/>
      <c r="H1757" s="1"/>
      <c r="I1757" s="1"/>
      <c r="J1757" s="1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spans="1:27" ht="17">
      <c r="A1758" s="124" t="s">
        <v>959</v>
      </c>
      <c r="H1758" s="1"/>
      <c r="I1758" s="1"/>
      <c r="J1758" s="1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spans="1:27" ht="28">
      <c r="A1759" s="12"/>
      <c r="B1759" s="116" t="s">
        <v>973</v>
      </c>
      <c r="C1759" s="106"/>
      <c r="D1759" s="100" t="s">
        <v>18</v>
      </c>
      <c r="E1759" s="17">
        <v>3373</v>
      </c>
      <c r="F1759" s="18" t="s">
        <v>807</v>
      </c>
      <c r="G1759" s="27"/>
      <c r="H1759" s="1"/>
      <c r="I1759" s="1"/>
      <c r="J1759" s="1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spans="1:27" ht="16">
      <c r="A1760" s="12"/>
      <c r="B1760" s="116" t="s">
        <v>974</v>
      </c>
      <c r="C1760" s="106"/>
      <c r="D1760" s="100" t="s">
        <v>26</v>
      </c>
      <c r="E1760" s="17">
        <v>3134</v>
      </c>
      <c r="F1760" s="18" t="s">
        <v>807</v>
      </c>
      <c r="G1760" s="27"/>
      <c r="H1760" s="1"/>
      <c r="I1760" s="1"/>
      <c r="J1760" s="1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spans="1:27" ht="17">
      <c r="A1761" s="124" t="s">
        <v>975</v>
      </c>
      <c r="H1761" s="1"/>
      <c r="I1761" s="1"/>
      <c r="J1761" s="1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 spans="1:27" ht="16">
      <c r="A1762" s="12"/>
      <c r="B1762" s="109" t="s">
        <v>976</v>
      </c>
      <c r="C1762" s="107" t="s">
        <v>977</v>
      </c>
      <c r="D1762" s="100" t="s">
        <v>22</v>
      </c>
      <c r="E1762" s="17">
        <v>3286</v>
      </c>
      <c r="F1762" s="18">
        <v>4455</v>
      </c>
      <c r="G1762" s="27"/>
      <c r="H1762" s="1"/>
      <c r="I1762" s="1"/>
      <c r="J1762" s="1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spans="1:27" ht="16">
      <c r="A1763" s="12"/>
      <c r="B1763" s="108"/>
      <c r="C1763" s="107" t="s">
        <v>930</v>
      </c>
      <c r="D1763" s="100" t="s">
        <v>22</v>
      </c>
      <c r="E1763" s="17">
        <v>3314</v>
      </c>
      <c r="F1763" s="18">
        <v>5250</v>
      </c>
      <c r="G1763" s="27"/>
      <c r="H1763" s="1"/>
      <c r="I1763" s="1"/>
      <c r="J1763" s="1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 spans="1:27" ht="16">
      <c r="A1764" s="12"/>
      <c r="B1764" s="109" t="s">
        <v>976</v>
      </c>
      <c r="C1764" s="107" t="s">
        <v>977</v>
      </c>
      <c r="D1764" s="100" t="s">
        <v>27</v>
      </c>
      <c r="E1764" s="17">
        <v>3366</v>
      </c>
      <c r="F1764" s="18">
        <v>2864</v>
      </c>
      <c r="G1764" s="27"/>
      <c r="H1764" s="1"/>
      <c r="I1764" s="1"/>
      <c r="J1764" s="1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 spans="1:27" ht="16">
      <c r="A1765" s="12"/>
      <c r="B1765" s="109" t="s">
        <v>976</v>
      </c>
      <c r="C1765" s="106" t="s">
        <v>607</v>
      </c>
      <c r="D1765" s="100" t="s">
        <v>18</v>
      </c>
      <c r="E1765" s="17">
        <v>3543</v>
      </c>
      <c r="F1765" s="18">
        <v>7950</v>
      </c>
      <c r="G1765" s="27"/>
      <c r="H1765" s="1"/>
      <c r="I1765" s="1"/>
      <c r="J1765" s="1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 spans="1:27" ht="16">
      <c r="A1766" s="12"/>
      <c r="B1766" s="108"/>
      <c r="C1766" s="106"/>
      <c r="D1766" s="100" t="s">
        <v>34</v>
      </c>
      <c r="E1766" s="17">
        <v>3544</v>
      </c>
      <c r="F1766" s="18">
        <v>9500</v>
      </c>
      <c r="G1766" s="27"/>
      <c r="H1766" s="1"/>
      <c r="I1766" s="1"/>
      <c r="J1766" s="1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 spans="1:27" ht="16">
      <c r="A1767" s="12"/>
      <c r="B1767" s="108"/>
      <c r="C1767" s="106"/>
      <c r="D1767" s="100" t="s">
        <v>978</v>
      </c>
      <c r="E1767" s="17">
        <v>3545</v>
      </c>
      <c r="F1767" s="18">
        <v>2227</v>
      </c>
      <c r="G1767" s="27"/>
      <c r="H1767" s="1"/>
      <c r="I1767" s="1"/>
      <c r="J1767" s="1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 spans="1:27" ht="16">
      <c r="A1768" s="12"/>
      <c r="B1768" s="108"/>
      <c r="C1768" s="106"/>
      <c r="D1768" s="100" t="s">
        <v>60</v>
      </c>
      <c r="E1768" s="17">
        <v>3547</v>
      </c>
      <c r="F1768" s="18">
        <v>6360</v>
      </c>
      <c r="G1768" s="27"/>
      <c r="H1768" s="1"/>
      <c r="I1768" s="1"/>
      <c r="J1768" s="1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 spans="1:27" ht="16">
      <c r="A1769" s="12"/>
      <c r="B1769" s="108"/>
      <c r="C1769" s="106"/>
      <c r="D1769" s="100" t="s">
        <v>979</v>
      </c>
      <c r="E1769" s="17">
        <v>354</v>
      </c>
      <c r="F1769" s="18">
        <v>3182</v>
      </c>
      <c r="G1769" s="27"/>
      <c r="H1769" s="1"/>
      <c r="I1769" s="1"/>
      <c r="J1769" s="1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 spans="1:27" ht="16">
      <c r="A1770" s="12"/>
      <c r="B1770" s="109" t="s">
        <v>980</v>
      </c>
      <c r="C1770" s="107"/>
      <c r="D1770" s="100" t="s">
        <v>18</v>
      </c>
      <c r="E1770" s="17">
        <v>2373</v>
      </c>
      <c r="F1770" s="18">
        <v>1145</v>
      </c>
      <c r="G1770" s="27"/>
      <c r="H1770" s="1"/>
      <c r="I1770" s="1"/>
      <c r="J1770" s="1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 spans="1:27" ht="16">
      <c r="A1771" s="12"/>
      <c r="B1771" s="108"/>
      <c r="C1771" s="106"/>
      <c r="D1771" s="100" t="s">
        <v>65</v>
      </c>
      <c r="E1771" s="17">
        <v>2374</v>
      </c>
      <c r="F1771" s="18">
        <v>1591</v>
      </c>
      <c r="G1771" s="27"/>
      <c r="H1771" s="1"/>
      <c r="I1771" s="1"/>
      <c r="J1771" s="1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 spans="1:27" ht="16">
      <c r="A1772" s="12"/>
      <c r="B1772" s="109" t="s">
        <v>575</v>
      </c>
      <c r="C1772" s="107"/>
      <c r="D1772" s="100" t="s">
        <v>981</v>
      </c>
      <c r="E1772" s="17">
        <v>3524</v>
      </c>
      <c r="F1772" s="18" t="s">
        <v>807</v>
      </c>
      <c r="G1772" s="27"/>
      <c r="H1772" s="1"/>
      <c r="I1772" s="1"/>
      <c r="J1772" s="1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spans="1:27" ht="16">
      <c r="A1773" s="12"/>
      <c r="B1773" s="108"/>
      <c r="C1773" s="106"/>
      <c r="D1773" s="100" t="s">
        <v>982</v>
      </c>
      <c r="E1773" s="17">
        <v>3525</v>
      </c>
      <c r="F1773" s="18" t="s">
        <v>807</v>
      </c>
      <c r="G1773" s="27"/>
      <c r="H1773" s="1"/>
      <c r="I1773" s="1"/>
      <c r="J1773" s="1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 spans="1:27" ht="16">
      <c r="A1774" s="12"/>
      <c r="B1774" s="108"/>
      <c r="C1774" s="106"/>
      <c r="D1774" s="100" t="s">
        <v>983</v>
      </c>
      <c r="E1774" s="17">
        <v>3526</v>
      </c>
      <c r="F1774" s="18" t="s">
        <v>807</v>
      </c>
      <c r="G1774" s="27"/>
      <c r="H1774" s="1"/>
      <c r="I1774" s="1"/>
      <c r="J1774" s="1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 spans="1:27" ht="16">
      <c r="A1775" s="12"/>
      <c r="B1775" s="108"/>
      <c r="C1775" s="115"/>
      <c r="D1775" s="112"/>
      <c r="E1775" s="13"/>
      <c r="F1775" s="14"/>
      <c r="G1775" s="30"/>
      <c r="H1775" s="1"/>
      <c r="I1775" s="1"/>
      <c r="J1775" s="1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spans="1:27"/>
    <row r="1777" spans="1:5" ht="19">
      <c r="A1777" s="126" t="s">
        <v>1840</v>
      </c>
    </row>
    <row r="1778" spans="1:5"/>
    <row r="1779" spans="1:5" ht="19">
      <c r="A1779" s="126" t="s">
        <v>1841</v>
      </c>
    </row>
    <row r="1780" spans="1:5"/>
    <row r="1781" spans="1:5">
      <c r="A1781" s="130"/>
      <c r="B1781" s="131" t="s">
        <v>1842</v>
      </c>
      <c r="C1781" s="131" t="s">
        <v>1843</v>
      </c>
      <c r="D1781" s="131" t="s">
        <v>1745</v>
      </c>
      <c r="E1781" s="131">
        <v>1030</v>
      </c>
    </row>
    <row r="1782" spans="1:5">
      <c r="A1782" s="130"/>
      <c r="B1782" s="131" t="s">
        <v>1842</v>
      </c>
      <c r="C1782" s="131" t="s">
        <v>1844</v>
      </c>
      <c r="D1782" s="131" t="s">
        <v>1755</v>
      </c>
      <c r="E1782" s="131">
        <v>745</v>
      </c>
    </row>
    <row r="1783" spans="1:5" ht="19">
      <c r="A1783" s="126" t="s">
        <v>1845</v>
      </c>
    </row>
    <row r="1785" spans="1:5" ht="17">
      <c r="A1785" s="132" t="s">
        <v>1846</v>
      </c>
    </row>
    <row r="1786" spans="1:5">
      <c r="A1786" s="130"/>
      <c r="B1786" s="131" t="s">
        <v>1847</v>
      </c>
      <c r="C1786" s="131" t="s">
        <v>1848</v>
      </c>
      <c r="D1786" s="131" t="s">
        <v>1745</v>
      </c>
      <c r="E1786" s="131">
        <v>550</v>
      </c>
    </row>
    <row r="1787" spans="1:5">
      <c r="A1787" s="130"/>
      <c r="B1787" s="131" t="s">
        <v>1847</v>
      </c>
      <c r="C1787" s="131" t="s">
        <v>1849</v>
      </c>
      <c r="D1787" s="131" t="s">
        <v>1745</v>
      </c>
      <c r="E1787" s="131">
        <v>850</v>
      </c>
    </row>
    <row r="1788" spans="1:5">
      <c r="A1788" s="130"/>
      <c r="B1788" s="131" t="s">
        <v>1847</v>
      </c>
      <c r="C1788" s="131" t="s">
        <v>1850</v>
      </c>
      <c r="D1788" s="131" t="s">
        <v>326</v>
      </c>
      <c r="E1788" s="131">
        <v>1250</v>
      </c>
    </row>
    <row r="1789" spans="1:5">
      <c r="A1789" s="130"/>
      <c r="B1789" s="131" t="s">
        <v>1847</v>
      </c>
      <c r="C1789" s="131" t="s">
        <v>1851</v>
      </c>
      <c r="D1789" s="131" t="s">
        <v>29</v>
      </c>
      <c r="E1789" s="131">
        <v>950</v>
      </c>
    </row>
    <row r="1790" spans="1:5">
      <c r="A1790" s="130"/>
      <c r="B1790" s="131" t="s">
        <v>1847</v>
      </c>
      <c r="C1790" s="131" t="s">
        <v>1852</v>
      </c>
      <c r="D1790" s="131" t="s">
        <v>18</v>
      </c>
      <c r="E1790" s="131">
        <v>1150</v>
      </c>
    </row>
    <row r="1791" spans="1:5">
      <c r="A1791" s="130"/>
      <c r="B1791" s="131" t="s">
        <v>1847</v>
      </c>
      <c r="C1791" s="131" t="s">
        <v>1853</v>
      </c>
      <c r="D1791" s="131" t="s">
        <v>1760</v>
      </c>
      <c r="E1791" s="131">
        <v>1080</v>
      </c>
    </row>
    <row r="1792" spans="1:5">
      <c r="A1792" s="130"/>
      <c r="B1792" s="131" t="s">
        <v>1847</v>
      </c>
      <c r="C1792" s="131" t="s">
        <v>1854</v>
      </c>
      <c r="D1792" s="131" t="s">
        <v>103</v>
      </c>
      <c r="E1792" s="131">
        <v>720</v>
      </c>
    </row>
    <row r="1793" spans="1:5">
      <c r="A1793" s="130"/>
      <c r="B1793" s="131" t="s">
        <v>1847</v>
      </c>
      <c r="C1793" s="131" t="s">
        <v>1855</v>
      </c>
      <c r="D1793" s="131" t="s">
        <v>20</v>
      </c>
      <c r="E1793" s="131">
        <v>1545</v>
      </c>
    </row>
    <row r="1794" spans="1:5">
      <c r="A1794" s="130"/>
      <c r="B1794" s="131" t="s">
        <v>1847</v>
      </c>
      <c r="C1794" s="131" t="s">
        <v>1856</v>
      </c>
      <c r="D1794" s="131" t="s">
        <v>103</v>
      </c>
      <c r="E1794" s="131">
        <v>720</v>
      </c>
    </row>
    <row r="1795" spans="1:5">
      <c r="A1795" s="130"/>
      <c r="B1795" s="131" t="s">
        <v>1847</v>
      </c>
      <c r="C1795" s="131" t="s">
        <v>1857</v>
      </c>
      <c r="D1795" s="131" t="s">
        <v>103</v>
      </c>
      <c r="E1795" s="131">
        <v>720</v>
      </c>
    </row>
    <row r="1796" spans="1:5">
      <c r="A1796" s="130"/>
      <c r="B1796" s="131" t="s">
        <v>1847</v>
      </c>
      <c r="C1796" s="131" t="s">
        <v>1858</v>
      </c>
      <c r="D1796" s="131" t="s">
        <v>103</v>
      </c>
      <c r="E1796" s="131">
        <v>720</v>
      </c>
    </row>
    <row r="1797" spans="1:5">
      <c r="A1797" s="130"/>
      <c r="B1797" s="131" t="s">
        <v>1847</v>
      </c>
      <c r="C1797" s="131" t="s">
        <v>1885</v>
      </c>
      <c r="D1797" s="131" t="s">
        <v>107</v>
      </c>
      <c r="E1797" s="131">
        <v>320</v>
      </c>
    </row>
    <row r="1798" spans="1:5">
      <c r="A1798" s="130"/>
      <c r="B1798" s="131" t="s">
        <v>1847</v>
      </c>
      <c r="C1798" s="131" t="s">
        <v>1884</v>
      </c>
      <c r="D1798" s="131" t="s">
        <v>1860</v>
      </c>
      <c r="E1798" s="131">
        <v>300</v>
      </c>
    </row>
    <row r="1799" spans="1:5">
      <c r="A1799" s="130"/>
      <c r="B1799" s="131" t="s">
        <v>1847</v>
      </c>
      <c r="C1799" s="131" t="s">
        <v>1861</v>
      </c>
      <c r="D1799" s="131" t="s">
        <v>1762</v>
      </c>
      <c r="E1799" s="131">
        <v>1190</v>
      </c>
    </row>
    <row r="1800" spans="1:5">
      <c r="A1800" s="130"/>
      <c r="B1800" s="131" t="s">
        <v>1847</v>
      </c>
      <c r="C1800" s="131" t="s">
        <v>1862</v>
      </c>
      <c r="D1800" s="131" t="s">
        <v>1815</v>
      </c>
      <c r="E1800" s="131">
        <v>425</v>
      </c>
    </row>
    <row r="1801" spans="1:5">
      <c r="A1801" s="130"/>
      <c r="B1801" s="131" t="s">
        <v>1847</v>
      </c>
      <c r="C1801" s="131" t="s">
        <v>1863</v>
      </c>
      <c r="D1801" s="131" t="s">
        <v>1760</v>
      </c>
      <c r="E1801" s="131">
        <v>1080</v>
      </c>
    </row>
    <row r="1802" spans="1:5">
      <c r="A1802" s="130"/>
      <c r="B1802" s="131" t="s">
        <v>1847</v>
      </c>
      <c r="C1802" s="131" t="s">
        <v>1864</v>
      </c>
      <c r="D1802" s="131" t="s">
        <v>1865</v>
      </c>
      <c r="E1802" s="131">
        <v>1190</v>
      </c>
    </row>
    <row r="1803" spans="1:5">
      <c r="A1803" s="130"/>
      <c r="B1803" s="131" t="s">
        <v>1847</v>
      </c>
      <c r="C1803" s="131" t="s">
        <v>1866</v>
      </c>
      <c r="D1803" s="131" t="s">
        <v>746</v>
      </c>
      <c r="E1803" s="131">
        <v>720</v>
      </c>
    </row>
    <row r="1804" spans="1:5">
      <c r="A1804" s="130"/>
      <c r="B1804" s="131" t="s">
        <v>1847</v>
      </c>
      <c r="C1804" s="131" t="s">
        <v>1867</v>
      </c>
      <c r="D1804" s="131" t="s">
        <v>18</v>
      </c>
      <c r="E1804" s="131">
        <v>1620</v>
      </c>
    </row>
    <row r="1805" spans="1:5">
      <c r="A1805" s="130"/>
      <c r="B1805" s="131" t="s">
        <v>1847</v>
      </c>
      <c r="C1805" s="131" t="s">
        <v>1868</v>
      </c>
      <c r="D1805" s="131" t="s">
        <v>1762</v>
      </c>
      <c r="E1805" s="131">
        <v>1190</v>
      </c>
    </row>
    <row r="1806" spans="1:5">
      <c r="A1806" s="130"/>
      <c r="B1806" s="131" t="s">
        <v>1847</v>
      </c>
      <c r="C1806" s="131" t="s">
        <v>1869</v>
      </c>
      <c r="D1806" s="131" t="s">
        <v>1760</v>
      </c>
      <c r="E1806" s="131">
        <v>1080</v>
      </c>
    </row>
    <row r="1807" spans="1:5">
      <c r="A1807" s="130"/>
      <c r="B1807" s="131" t="s">
        <v>1847</v>
      </c>
      <c r="C1807" s="131" t="s">
        <v>1870</v>
      </c>
      <c r="D1807" s="131" t="s">
        <v>29</v>
      </c>
      <c r="E1807" s="131">
        <v>950</v>
      </c>
    </row>
    <row r="1808" spans="1:5">
      <c r="A1808" s="130"/>
      <c r="B1808" s="131" t="s">
        <v>1847</v>
      </c>
      <c r="C1808" s="131" t="s">
        <v>1871</v>
      </c>
      <c r="D1808" s="131" t="s">
        <v>1762</v>
      </c>
      <c r="E1808" s="131">
        <v>1190</v>
      </c>
    </row>
    <row r="1809" spans="1:5">
      <c r="A1809" s="130"/>
      <c r="B1809" s="131" t="s">
        <v>1847</v>
      </c>
      <c r="C1809" s="131" t="s">
        <v>1872</v>
      </c>
      <c r="D1809" s="131" t="s">
        <v>20</v>
      </c>
      <c r="E1809" s="131">
        <v>1545</v>
      </c>
    </row>
    <row r="1810" spans="1:5">
      <c r="A1810" s="130"/>
      <c r="B1810" s="131" t="s">
        <v>1847</v>
      </c>
      <c r="C1810" s="131" t="s">
        <v>1873</v>
      </c>
      <c r="D1810" s="131" t="s">
        <v>1815</v>
      </c>
      <c r="E1810" s="131">
        <v>650</v>
      </c>
    </row>
    <row r="1811" spans="1:5">
      <c r="A1811" s="130"/>
      <c r="B1811" s="131" t="s">
        <v>1847</v>
      </c>
      <c r="C1811" s="131" t="s">
        <v>1874</v>
      </c>
      <c r="D1811" s="131" t="s">
        <v>29</v>
      </c>
      <c r="E1811" s="131">
        <v>1350</v>
      </c>
    </row>
    <row r="1812" spans="1:5">
      <c r="A1812" s="130"/>
      <c r="B1812" s="131" t="s">
        <v>1847</v>
      </c>
      <c r="C1812" s="131" t="s">
        <v>1875</v>
      </c>
      <c r="D1812" s="131" t="s">
        <v>103</v>
      </c>
      <c r="E1812" s="131">
        <v>720</v>
      </c>
    </row>
    <row r="1813" spans="1:5">
      <c r="A1813" s="130"/>
      <c r="B1813" s="131" t="s">
        <v>1847</v>
      </c>
      <c r="C1813" s="131" t="s">
        <v>1876</v>
      </c>
      <c r="D1813" s="131" t="s">
        <v>1760</v>
      </c>
      <c r="E1813" s="131">
        <v>1080</v>
      </c>
    </row>
    <row r="1814" spans="1:5">
      <c r="A1814" s="130"/>
      <c r="B1814" s="131" t="s">
        <v>1847</v>
      </c>
      <c r="C1814" s="131" t="s">
        <v>1877</v>
      </c>
      <c r="D1814" s="131" t="s">
        <v>1770</v>
      </c>
      <c r="E1814" s="131">
        <v>250</v>
      </c>
    </row>
    <row r="1815" spans="1:5">
      <c r="A1815" s="130"/>
      <c r="B1815" s="131" t="s">
        <v>1847</v>
      </c>
      <c r="C1815" s="131" t="s">
        <v>1878</v>
      </c>
      <c r="D1815" s="131" t="s">
        <v>1762</v>
      </c>
      <c r="E1815" s="131">
        <v>1190</v>
      </c>
    </row>
  </sheetData>
  <mergeCells count="20">
    <mergeCell ref="A1688:G1688"/>
    <mergeCell ref="A3:F3"/>
    <mergeCell ref="A10:G10"/>
    <mergeCell ref="A2:F2"/>
    <mergeCell ref="A1655:G1655"/>
    <mergeCell ref="A4:F4"/>
    <mergeCell ref="A45:G45"/>
    <mergeCell ref="A523:G523"/>
    <mergeCell ref="A1:G1"/>
    <mergeCell ref="A1685:G1685"/>
    <mergeCell ref="A1597:G1597"/>
    <mergeCell ref="A1097:G1097"/>
    <mergeCell ref="A7:G7"/>
    <mergeCell ref="A1681:G1681"/>
    <mergeCell ref="A654:G654"/>
    <mergeCell ref="A393:G393"/>
    <mergeCell ref="A1412:G1412"/>
    <mergeCell ref="A235:G235"/>
    <mergeCell ref="A1633:G1633"/>
    <mergeCell ref="A1461:G146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27"/>
  <sheetViews>
    <sheetView workbookViewId="0">
      <selection sqref="A1:F1"/>
    </sheetView>
  </sheetViews>
  <sheetFormatPr baseColWidth="10" defaultColWidth="14.5" defaultRowHeight="15" customHeight="1"/>
  <cols>
    <col min="1" max="1" width="16.5" style="121" customWidth="1"/>
    <col min="2" max="2" width="14.6640625" style="121" customWidth="1"/>
    <col min="3" max="3" width="13" style="121" customWidth="1"/>
    <col min="4" max="4" width="31" style="121" customWidth="1"/>
    <col min="5" max="5" width="13.33203125" style="121" customWidth="1"/>
    <col min="6" max="6" width="8" style="121" customWidth="1"/>
    <col min="7" max="7" width="13.5" style="121" customWidth="1"/>
    <col min="8" max="8" width="17.5" style="121" customWidth="1"/>
    <col min="9" max="9" width="18.1640625" style="121" customWidth="1"/>
    <col min="10" max="10" width="12.1640625" style="121" customWidth="1"/>
    <col min="11" max="11" width="14.5" style="121" customWidth="1"/>
    <col min="12" max="12" width="16.83203125" style="121" customWidth="1"/>
    <col min="13" max="15" width="21.5" style="121" customWidth="1"/>
    <col min="16" max="16" width="17.83203125" style="121" customWidth="1"/>
    <col min="17" max="17" width="15.5" style="121" customWidth="1"/>
    <col min="18" max="23" width="17.83203125" style="121" customWidth="1"/>
    <col min="24" max="24" width="24.5" style="121" customWidth="1"/>
    <col min="25" max="25" width="9.83203125" style="121" customWidth="1"/>
    <col min="26" max="26" width="12.5" style="121" customWidth="1"/>
  </cols>
  <sheetData>
    <row r="1" spans="1:26" ht="42.75" customHeight="1">
      <c r="A1" s="133" t="s">
        <v>1879</v>
      </c>
      <c r="B1" s="135"/>
      <c r="C1" s="135"/>
      <c r="D1" s="135"/>
      <c r="E1" s="135"/>
      <c r="F1" s="135"/>
    </row>
    <row r="2" spans="1:26" ht="15.5" customHeight="1">
      <c r="A2" s="31" t="s">
        <v>984</v>
      </c>
      <c r="B2" s="32"/>
      <c r="C2" s="33"/>
      <c r="D2" s="34"/>
      <c r="E2" s="34"/>
      <c r="F2" s="35"/>
      <c r="G2" s="36"/>
      <c r="H2" s="37"/>
      <c r="I2" s="37"/>
      <c r="J2" s="37"/>
      <c r="K2" s="37"/>
      <c r="L2" s="38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9"/>
      <c r="Y2" s="40"/>
      <c r="Z2" s="1"/>
    </row>
    <row r="3" spans="1:26" ht="15.5" customHeight="1">
      <c r="A3" s="41"/>
      <c r="B3" s="166"/>
      <c r="C3" s="43"/>
      <c r="D3" s="44"/>
      <c r="E3" s="45" t="s">
        <v>985</v>
      </c>
      <c r="F3" s="45" t="s">
        <v>986</v>
      </c>
      <c r="G3" s="46" t="s">
        <v>987</v>
      </c>
      <c r="H3" s="47" t="s">
        <v>988</v>
      </c>
      <c r="I3" s="48" t="s">
        <v>989</v>
      </c>
      <c r="J3" s="48" t="s">
        <v>990</v>
      </c>
      <c r="K3" s="48" t="s">
        <v>991</v>
      </c>
      <c r="L3" s="49" t="s">
        <v>992</v>
      </c>
      <c r="M3" s="48" t="s">
        <v>993</v>
      </c>
      <c r="N3" s="48" t="s">
        <v>994</v>
      </c>
      <c r="O3" s="48" t="s">
        <v>995</v>
      </c>
      <c r="P3" s="48" t="s">
        <v>996</v>
      </c>
      <c r="Q3" s="48" t="s">
        <v>997</v>
      </c>
      <c r="R3" s="48" t="s">
        <v>996</v>
      </c>
      <c r="S3" s="48" t="s">
        <v>996</v>
      </c>
      <c r="T3" s="48" t="s">
        <v>996</v>
      </c>
      <c r="U3" s="48" t="s">
        <v>997</v>
      </c>
      <c r="V3" s="48" t="s">
        <v>997</v>
      </c>
      <c r="W3" s="48" t="s">
        <v>997</v>
      </c>
      <c r="X3" s="39" t="s">
        <v>8</v>
      </c>
      <c r="Y3" s="50"/>
      <c r="Z3" s="1"/>
    </row>
    <row r="4" spans="1:26" ht="16.5" customHeight="1">
      <c r="A4" s="51" t="s">
        <v>998</v>
      </c>
      <c r="B4" s="167"/>
      <c r="C4" s="43"/>
      <c r="D4" s="44"/>
      <c r="E4" s="44"/>
      <c r="F4" s="45"/>
      <c r="G4" s="46"/>
      <c r="H4" s="52"/>
      <c r="I4" s="37"/>
      <c r="J4" s="37"/>
      <c r="K4" s="37"/>
      <c r="L4" s="38"/>
      <c r="M4" s="37" t="s">
        <v>999</v>
      </c>
      <c r="N4" s="37" t="s">
        <v>1000</v>
      </c>
      <c r="O4" s="37" t="s">
        <v>1001</v>
      </c>
      <c r="P4" s="37" t="s">
        <v>1002</v>
      </c>
      <c r="Q4" s="37" t="s">
        <v>1002</v>
      </c>
      <c r="R4" s="37" t="s">
        <v>1003</v>
      </c>
      <c r="S4" s="37" t="s">
        <v>1004</v>
      </c>
      <c r="T4" s="37" t="s">
        <v>1005</v>
      </c>
      <c r="U4" s="37" t="s">
        <v>1003</v>
      </c>
      <c r="V4" s="37" t="s">
        <v>1004</v>
      </c>
      <c r="W4" s="37" t="s">
        <v>1005</v>
      </c>
      <c r="X4" s="39"/>
      <c r="Y4" s="53"/>
      <c r="Z4" s="1"/>
    </row>
    <row r="5" spans="1:26" ht="15.5" customHeight="1">
      <c r="A5" s="54"/>
      <c r="B5" s="167"/>
      <c r="C5" s="33"/>
      <c r="D5" s="55" t="s">
        <v>1006</v>
      </c>
      <c r="E5" s="55" t="s">
        <v>607</v>
      </c>
      <c r="F5" s="56" t="s">
        <v>1007</v>
      </c>
      <c r="G5" s="57" t="s">
        <v>1008</v>
      </c>
      <c r="H5" s="58">
        <v>12000</v>
      </c>
      <c r="I5" s="58">
        <f t="shared" ref="I5:I68" si="0">H4*0.7</f>
        <v>0</v>
      </c>
      <c r="J5" s="58">
        <f t="shared" ref="J5:J68" si="1">I4/33</f>
        <v>0</v>
      </c>
      <c r="K5" s="58">
        <v>950</v>
      </c>
      <c r="L5" s="59">
        <f t="shared" ref="L5:L68" si="2">K4-50</f>
        <v>-50</v>
      </c>
      <c r="M5" s="58">
        <f t="shared" ref="M5:M68" si="3">L4*0.75</f>
        <v>0</v>
      </c>
      <c r="N5" s="58">
        <f t="shared" ref="N5:N68" si="4">L4*0.65</f>
        <v>0</v>
      </c>
      <c r="O5" s="58">
        <f t="shared" ref="O5:O68" si="5">K4*0.5</f>
        <v>0</v>
      </c>
      <c r="P5" s="58">
        <f t="shared" ref="P5:P68" si="6">L4-J4</f>
        <v>0</v>
      </c>
      <c r="Q5" s="60" t="e">
        <f t="shared" ref="Q5:Q68" si="7">((L4-J4)/J4)</f>
        <v>#DIV/0!</v>
      </c>
      <c r="R5" s="58" t="e">
        <f t="shared" ref="R5:R68" si="8">M4-J4</f>
        <v>#VALUE!</v>
      </c>
      <c r="S5" s="58" t="e">
        <f t="shared" ref="S5:S68" si="9">N4-J4</f>
        <v>#VALUE!</v>
      </c>
      <c r="T5" s="58" t="e">
        <f t="shared" ref="T5:T68" si="10">O4-J4</f>
        <v>#VALUE!</v>
      </c>
      <c r="U5" s="60" t="e">
        <f t="shared" ref="U5:U68" si="11">(M4-J4)/J4</f>
        <v>#VALUE!</v>
      </c>
      <c r="V5" s="60" t="e">
        <f t="shared" ref="V5:V68" si="12">(N4-J4)/J4</f>
        <v>#VALUE!</v>
      </c>
      <c r="W5" s="60" t="e">
        <f t="shared" ref="W5:W68" si="13">(O4-J4)/J4</f>
        <v>#VALUE!</v>
      </c>
      <c r="X5" s="61" t="s">
        <v>13</v>
      </c>
      <c r="Y5" s="53"/>
      <c r="Z5" s="1"/>
    </row>
    <row r="6" spans="1:26" ht="15.5" customHeight="1">
      <c r="A6" s="54"/>
      <c r="B6" s="167"/>
      <c r="C6" s="33"/>
      <c r="D6" s="55" t="s">
        <v>1006</v>
      </c>
      <c r="E6" s="55" t="s">
        <v>68</v>
      </c>
      <c r="F6" s="56" t="s">
        <v>1007</v>
      </c>
      <c r="G6" s="57" t="s">
        <v>1009</v>
      </c>
      <c r="H6" s="58">
        <v>15000</v>
      </c>
      <c r="I6" s="58">
        <f t="shared" si="0"/>
        <v>8400</v>
      </c>
      <c r="J6" s="58">
        <f t="shared" si="1"/>
        <v>0</v>
      </c>
      <c r="K6" s="58">
        <v>1250</v>
      </c>
      <c r="L6" s="59">
        <f t="shared" si="2"/>
        <v>900</v>
      </c>
      <c r="M6" s="58">
        <f t="shared" si="3"/>
        <v>-37.5</v>
      </c>
      <c r="N6" s="58">
        <f t="shared" si="4"/>
        <v>-32.5</v>
      </c>
      <c r="O6" s="58">
        <f t="shared" si="5"/>
        <v>475</v>
      </c>
      <c r="P6" s="58">
        <f t="shared" si="6"/>
        <v>-50</v>
      </c>
      <c r="Q6" s="60" t="e">
        <f t="shared" si="7"/>
        <v>#DIV/0!</v>
      </c>
      <c r="R6" s="58">
        <f t="shared" si="8"/>
        <v>0</v>
      </c>
      <c r="S6" s="58">
        <f t="shared" si="9"/>
        <v>0</v>
      </c>
      <c r="T6" s="58">
        <f t="shared" si="10"/>
        <v>0</v>
      </c>
      <c r="U6" s="60" t="e">
        <f t="shared" si="11"/>
        <v>#DIV/0!</v>
      </c>
      <c r="V6" s="60" t="e">
        <f t="shared" si="12"/>
        <v>#DIV/0!</v>
      </c>
      <c r="W6" s="60" t="e">
        <f t="shared" si="13"/>
        <v>#DIV/0!</v>
      </c>
      <c r="X6" s="61" t="s">
        <v>13</v>
      </c>
      <c r="Y6" s="53"/>
      <c r="Z6" s="1"/>
    </row>
    <row r="7" spans="1:26" ht="15.5" customHeight="1">
      <c r="A7" s="54"/>
      <c r="B7" s="167"/>
      <c r="C7" s="33"/>
      <c r="D7" s="55" t="s">
        <v>1006</v>
      </c>
      <c r="E7" s="55" t="s">
        <v>1010</v>
      </c>
      <c r="F7" s="56" t="s">
        <v>1007</v>
      </c>
      <c r="G7" s="57" t="s">
        <v>1011</v>
      </c>
      <c r="H7" s="58">
        <v>16000</v>
      </c>
      <c r="I7" s="58">
        <f t="shared" si="0"/>
        <v>10500</v>
      </c>
      <c r="J7" s="58">
        <f t="shared" si="1"/>
        <v>254.54545454545453</v>
      </c>
      <c r="K7" s="58">
        <v>1250</v>
      </c>
      <c r="L7" s="59">
        <f t="shared" si="2"/>
        <v>1200</v>
      </c>
      <c r="M7" s="58">
        <f t="shared" si="3"/>
        <v>675</v>
      </c>
      <c r="N7" s="58">
        <f t="shared" si="4"/>
        <v>585</v>
      </c>
      <c r="O7" s="58">
        <f t="shared" si="5"/>
        <v>625</v>
      </c>
      <c r="P7" s="58">
        <f t="shared" si="6"/>
        <v>900</v>
      </c>
      <c r="Q7" s="60" t="e">
        <f t="shared" si="7"/>
        <v>#DIV/0!</v>
      </c>
      <c r="R7" s="58">
        <f t="shared" si="8"/>
        <v>-37.5</v>
      </c>
      <c r="S7" s="58">
        <f t="shared" si="9"/>
        <v>-32.5</v>
      </c>
      <c r="T7" s="58">
        <f t="shared" si="10"/>
        <v>475</v>
      </c>
      <c r="U7" s="60" t="e">
        <f t="shared" si="11"/>
        <v>#DIV/0!</v>
      </c>
      <c r="V7" s="60" t="e">
        <f t="shared" si="12"/>
        <v>#DIV/0!</v>
      </c>
      <c r="W7" s="60" t="e">
        <f t="shared" si="13"/>
        <v>#DIV/0!</v>
      </c>
      <c r="X7" s="61" t="s">
        <v>13</v>
      </c>
      <c r="Y7" s="53"/>
      <c r="Z7" s="1"/>
    </row>
    <row r="8" spans="1:26" ht="15.5" customHeight="1">
      <c r="A8" s="54"/>
      <c r="B8" s="167"/>
      <c r="C8" s="33"/>
      <c r="D8" s="55" t="s">
        <v>1006</v>
      </c>
      <c r="E8" s="55" t="s">
        <v>297</v>
      </c>
      <c r="F8" s="56" t="s">
        <v>1007</v>
      </c>
      <c r="G8" s="57" t="s">
        <v>1012</v>
      </c>
      <c r="H8" s="58">
        <v>16000</v>
      </c>
      <c r="I8" s="58">
        <f t="shared" si="0"/>
        <v>11200</v>
      </c>
      <c r="J8" s="58">
        <f t="shared" si="1"/>
        <v>318.18181818181819</v>
      </c>
      <c r="K8" s="58">
        <v>1250</v>
      </c>
      <c r="L8" s="59">
        <f t="shared" si="2"/>
        <v>1200</v>
      </c>
      <c r="M8" s="58">
        <f t="shared" si="3"/>
        <v>900</v>
      </c>
      <c r="N8" s="58">
        <f t="shared" si="4"/>
        <v>780</v>
      </c>
      <c r="O8" s="58">
        <f t="shared" si="5"/>
        <v>625</v>
      </c>
      <c r="P8" s="58">
        <f t="shared" si="6"/>
        <v>945.4545454545455</v>
      </c>
      <c r="Q8" s="60">
        <f t="shared" si="7"/>
        <v>3.7142857142857149</v>
      </c>
      <c r="R8" s="58">
        <f t="shared" si="8"/>
        <v>420.4545454545455</v>
      </c>
      <c r="S8" s="58">
        <f t="shared" si="9"/>
        <v>330.4545454545455</v>
      </c>
      <c r="T8" s="58">
        <f t="shared" si="10"/>
        <v>370.4545454545455</v>
      </c>
      <c r="U8" s="60">
        <f t="shared" si="11"/>
        <v>1.6517857142857146</v>
      </c>
      <c r="V8" s="60">
        <f t="shared" si="12"/>
        <v>1.298214285714286</v>
      </c>
      <c r="W8" s="60">
        <f t="shared" si="13"/>
        <v>1.455357142857143</v>
      </c>
      <c r="X8" s="61" t="s">
        <v>13</v>
      </c>
      <c r="Y8" s="53"/>
      <c r="Z8" s="1"/>
    </row>
    <row r="9" spans="1:26" ht="15.5" customHeight="1">
      <c r="A9" s="54"/>
      <c r="B9" s="167"/>
      <c r="C9" s="33"/>
      <c r="D9" s="55" t="s">
        <v>1013</v>
      </c>
      <c r="E9" s="55" t="s">
        <v>607</v>
      </c>
      <c r="F9" s="56" t="s">
        <v>1014</v>
      </c>
      <c r="G9" s="57" t="s">
        <v>1015</v>
      </c>
      <c r="H9" s="58">
        <v>15000</v>
      </c>
      <c r="I9" s="58">
        <f t="shared" si="0"/>
        <v>11200</v>
      </c>
      <c r="J9" s="58">
        <f t="shared" si="1"/>
        <v>339.39393939393938</v>
      </c>
      <c r="K9" s="58">
        <v>1100</v>
      </c>
      <c r="L9" s="59">
        <f t="shared" si="2"/>
        <v>1200</v>
      </c>
      <c r="M9" s="58">
        <f t="shared" si="3"/>
        <v>900</v>
      </c>
      <c r="N9" s="58">
        <f t="shared" si="4"/>
        <v>780</v>
      </c>
      <c r="O9" s="58">
        <f t="shared" si="5"/>
        <v>625</v>
      </c>
      <c r="P9" s="58">
        <f t="shared" si="6"/>
        <v>881.81818181818176</v>
      </c>
      <c r="Q9" s="60">
        <f t="shared" si="7"/>
        <v>2.7714285714285714</v>
      </c>
      <c r="R9" s="58">
        <f t="shared" si="8"/>
        <v>581.81818181818176</v>
      </c>
      <c r="S9" s="58">
        <f t="shared" si="9"/>
        <v>461.81818181818181</v>
      </c>
      <c r="T9" s="58">
        <f t="shared" si="10"/>
        <v>306.81818181818181</v>
      </c>
      <c r="U9" s="60">
        <f t="shared" si="11"/>
        <v>1.8285714285714283</v>
      </c>
      <c r="V9" s="60">
        <f t="shared" si="12"/>
        <v>1.4514285714285713</v>
      </c>
      <c r="W9" s="60">
        <f t="shared" si="13"/>
        <v>0.9642857142857143</v>
      </c>
      <c r="X9" s="61" t="s">
        <v>21</v>
      </c>
      <c r="Y9" s="62"/>
      <c r="Z9" s="1"/>
    </row>
    <row r="10" spans="1:26" ht="15.5" customHeight="1">
      <c r="A10" s="54"/>
      <c r="B10" s="167"/>
      <c r="C10" s="33"/>
      <c r="D10" s="55" t="s">
        <v>1013</v>
      </c>
      <c r="E10" s="55" t="s">
        <v>68</v>
      </c>
      <c r="F10" s="56" t="s">
        <v>1014</v>
      </c>
      <c r="G10" s="57" t="s">
        <v>1016</v>
      </c>
      <c r="H10" s="58">
        <v>17000</v>
      </c>
      <c r="I10" s="58">
        <f t="shared" si="0"/>
        <v>10500</v>
      </c>
      <c r="J10" s="58">
        <f t="shared" si="1"/>
        <v>339.39393939393938</v>
      </c>
      <c r="K10" s="58">
        <v>1400</v>
      </c>
      <c r="L10" s="59">
        <f t="shared" si="2"/>
        <v>1050</v>
      </c>
      <c r="M10" s="58">
        <f t="shared" si="3"/>
        <v>900</v>
      </c>
      <c r="N10" s="58">
        <f t="shared" si="4"/>
        <v>780</v>
      </c>
      <c r="O10" s="58">
        <f t="shared" si="5"/>
        <v>550</v>
      </c>
      <c r="P10" s="58">
        <f t="shared" si="6"/>
        <v>860.60606060606062</v>
      </c>
      <c r="Q10" s="60">
        <f t="shared" si="7"/>
        <v>2.535714285714286</v>
      </c>
      <c r="R10" s="58">
        <f t="shared" si="8"/>
        <v>560.60606060606062</v>
      </c>
      <c r="S10" s="58">
        <f t="shared" si="9"/>
        <v>440.60606060606062</v>
      </c>
      <c r="T10" s="58">
        <f t="shared" si="10"/>
        <v>285.60606060606062</v>
      </c>
      <c r="U10" s="60">
        <f t="shared" si="11"/>
        <v>1.6517857142857144</v>
      </c>
      <c r="V10" s="60">
        <f t="shared" si="12"/>
        <v>1.2982142857142858</v>
      </c>
      <c r="W10" s="60">
        <f t="shared" si="13"/>
        <v>0.84151785714285721</v>
      </c>
      <c r="X10" s="61" t="s">
        <v>21</v>
      </c>
      <c r="Y10" s="53"/>
      <c r="Z10" s="1"/>
    </row>
    <row r="11" spans="1:26" ht="15.5" customHeight="1">
      <c r="A11" s="54"/>
      <c r="B11" s="167"/>
      <c r="C11" s="33"/>
      <c r="D11" s="55" t="s">
        <v>1017</v>
      </c>
      <c r="E11" s="55" t="s">
        <v>607</v>
      </c>
      <c r="F11" s="56" t="s">
        <v>1014</v>
      </c>
      <c r="G11" s="57" t="s">
        <v>1018</v>
      </c>
      <c r="H11" s="58">
        <v>15000</v>
      </c>
      <c r="I11" s="58">
        <f t="shared" si="0"/>
        <v>11900</v>
      </c>
      <c r="J11" s="58">
        <f t="shared" si="1"/>
        <v>318.18181818181819</v>
      </c>
      <c r="K11" s="58">
        <v>1100</v>
      </c>
      <c r="L11" s="59">
        <f t="shared" si="2"/>
        <v>1350</v>
      </c>
      <c r="M11" s="58">
        <f t="shared" si="3"/>
        <v>787.5</v>
      </c>
      <c r="N11" s="58">
        <f t="shared" si="4"/>
        <v>682.5</v>
      </c>
      <c r="O11" s="58">
        <f t="shared" si="5"/>
        <v>700</v>
      </c>
      <c r="P11" s="58">
        <f t="shared" si="6"/>
        <v>710.60606060606062</v>
      </c>
      <c r="Q11" s="60">
        <f t="shared" si="7"/>
        <v>2.09375</v>
      </c>
      <c r="R11" s="58">
        <f t="shared" si="8"/>
        <v>560.60606060606062</v>
      </c>
      <c r="S11" s="58">
        <f t="shared" si="9"/>
        <v>440.60606060606062</v>
      </c>
      <c r="T11" s="58">
        <f t="shared" si="10"/>
        <v>210.60606060606062</v>
      </c>
      <c r="U11" s="60">
        <f t="shared" si="11"/>
        <v>1.6517857142857144</v>
      </c>
      <c r="V11" s="60">
        <f t="shared" si="12"/>
        <v>1.2982142857142858</v>
      </c>
      <c r="W11" s="60">
        <f t="shared" si="13"/>
        <v>0.62053571428571441</v>
      </c>
      <c r="X11" s="61" t="s">
        <v>23</v>
      </c>
      <c r="Y11" s="63"/>
      <c r="Z11" s="1"/>
    </row>
    <row r="12" spans="1:26" ht="15.5" customHeight="1">
      <c r="A12" s="54"/>
      <c r="B12" s="167"/>
      <c r="C12" s="33"/>
      <c r="D12" s="55" t="s">
        <v>1017</v>
      </c>
      <c r="E12" s="55" t="s">
        <v>1019</v>
      </c>
      <c r="F12" s="56" t="s">
        <v>1014</v>
      </c>
      <c r="G12" s="57" t="s">
        <v>1020</v>
      </c>
      <c r="H12" s="58">
        <v>18000</v>
      </c>
      <c r="I12" s="58">
        <f t="shared" si="0"/>
        <v>10500</v>
      </c>
      <c r="J12" s="58">
        <f t="shared" si="1"/>
        <v>360.60606060606062</v>
      </c>
      <c r="K12" s="58">
        <v>1400</v>
      </c>
      <c r="L12" s="59">
        <f t="shared" si="2"/>
        <v>1050</v>
      </c>
      <c r="M12" s="58">
        <f t="shared" si="3"/>
        <v>1012.5</v>
      </c>
      <c r="N12" s="58">
        <f t="shared" si="4"/>
        <v>877.5</v>
      </c>
      <c r="O12" s="58">
        <f t="shared" si="5"/>
        <v>550</v>
      </c>
      <c r="P12" s="58">
        <f t="shared" si="6"/>
        <v>1031.8181818181818</v>
      </c>
      <c r="Q12" s="60">
        <f t="shared" si="7"/>
        <v>3.2428571428571424</v>
      </c>
      <c r="R12" s="58">
        <f t="shared" si="8"/>
        <v>469.31818181818181</v>
      </c>
      <c r="S12" s="58">
        <f t="shared" si="9"/>
        <v>364.31818181818181</v>
      </c>
      <c r="T12" s="58">
        <f t="shared" si="10"/>
        <v>381.81818181818181</v>
      </c>
      <c r="U12" s="60">
        <f t="shared" si="11"/>
        <v>1.4749999999999999</v>
      </c>
      <c r="V12" s="60">
        <f t="shared" si="12"/>
        <v>1.145</v>
      </c>
      <c r="W12" s="60">
        <f t="shared" si="13"/>
        <v>1.2</v>
      </c>
      <c r="X12" s="61" t="s">
        <v>23</v>
      </c>
      <c r="Y12" s="64"/>
      <c r="Z12" s="1"/>
    </row>
    <row r="13" spans="1:26" ht="15.5" customHeight="1">
      <c r="A13" s="54"/>
      <c r="B13" s="167"/>
      <c r="C13" s="33"/>
      <c r="D13" s="55" t="s">
        <v>1021</v>
      </c>
      <c r="E13" s="55" t="s">
        <v>68</v>
      </c>
      <c r="F13" s="56" t="s">
        <v>1014</v>
      </c>
      <c r="G13" s="57" t="s">
        <v>1022</v>
      </c>
      <c r="H13" s="58">
        <v>17000</v>
      </c>
      <c r="I13" s="58">
        <f t="shared" si="0"/>
        <v>12600</v>
      </c>
      <c r="J13" s="58">
        <f t="shared" si="1"/>
        <v>318.18181818181819</v>
      </c>
      <c r="K13" s="58">
        <v>1400</v>
      </c>
      <c r="L13" s="59">
        <f t="shared" si="2"/>
        <v>1350</v>
      </c>
      <c r="M13" s="58">
        <f t="shared" si="3"/>
        <v>787.5</v>
      </c>
      <c r="N13" s="58">
        <f t="shared" si="4"/>
        <v>682.5</v>
      </c>
      <c r="O13" s="58">
        <f t="shared" si="5"/>
        <v>700</v>
      </c>
      <c r="P13" s="58">
        <f t="shared" si="6"/>
        <v>689.39393939393938</v>
      </c>
      <c r="Q13" s="60">
        <f t="shared" si="7"/>
        <v>1.9117647058823528</v>
      </c>
      <c r="R13" s="58">
        <f t="shared" si="8"/>
        <v>651.89393939393938</v>
      </c>
      <c r="S13" s="58">
        <f t="shared" si="9"/>
        <v>516.89393939393938</v>
      </c>
      <c r="T13" s="58">
        <f t="shared" si="10"/>
        <v>189.39393939393938</v>
      </c>
      <c r="U13" s="60">
        <f t="shared" si="11"/>
        <v>1.8077731092436973</v>
      </c>
      <c r="V13" s="60">
        <f t="shared" si="12"/>
        <v>1.4334033613445376</v>
      </c>
      <c r="W13" s="60">
        <f t="shared" si="13"/>
        <v>0.52521008403361336</v>
      </c>
      <c r="X13" s="61" t="s">
        <v>28</v>
      </c>
      <c r="Y13" s="53"/>
      <c r="Z13" s="1"/>
    </row>
    <row r="14" spans="1:26" ht="15.5" customHeight="1">
      <c r="A14" s="54"/>
      <c r="B14" s="167"/>
      <c r="C14" s="33"/>
      <c r="D14" s="55" t="s">
        <v>1023</v>
      </c>
      <c r="E14" s="55" t="s">
        <v>607</v>
      </c>
      <c r="F14" s="56" t="s">
        <v>1014</v>
      </c>
      <c r="G14" s="57" t="s">
        <v>1024</v>
      </c>
      <c r="H14" s="58">
        <v>16000</v>
      </c>
      <c r="I14" s="58">
        <f t="shared" si="0"/>
        <v>11900</v>
      </c>
      <c r="J14" s="58">
        <f t="shared" si="1"/>
        <v>381.81818181818181</v>
      </c>
      <c r="K14" s="58">
        <v>1100</v>
      </c>
      <c r="L14" s="59">
        <f t="shared" si="2"/>
        <v>1350</v>
      </c>
      <c r="M14" s="58">
        <f t="shared" si="3"/>
        <v>1012.5</v>
      </c>
      <c r="N14" s="58">
        <f t="shared" si="4"/>
        <v>877.5</v>
      </c>
      <c r="O14" s="58">
        <f t="shared" si="5"/>
        <v>700</v>
      </c>
      <c r="P14" s="58">
        <f t="shared" si="6"/>
        <v>1031.8181818181818</v>
      </c>
      <c r="Q14" s="60">
        <f t="shared" si="7"/>
        <v>3.2428571428571424</v>
      </c>
      <c r="R14" s="58">
        <f t="shared" si="8"/>
        <v>469.31818181818181</v>
      </c>
      <c r="S14" s="58">
        <f t="shared" si="9"/>
        <v>364.31818181818181</v>
      </c>
      <c r="T14" s="58">
        <f t="shared" si="10"/>
        <v>381.81818181818181</v>
      </c>
      <c r="U14" s="60">
        <f t="shared" si="11"/>
        <v>1.4749999999999999</v>
      </c>
      <c r="V14" s="60">
        <f t="shared" si="12"/>
        <v>1.145</v>
      </c>
      <c r="W14" s="60">
        <f t="shared" si="13"/>
        <v>1.2</v>
      </c>
      <c r="X14" s="61" t="s">
        <v>30</v>
      </c>
      <c r="Y14" s="53"/>
      <c r="Z14" s="1"/>
    </row>
    <row r="15" spans="1:26" ht="15.5" customHeight="1">
      <c r="A15" s="54"/>
      <c r="B15" s="167"/>
      <c r="C15" s="33"/>
      <c r="D15" s="55" t="s">
        <v>1023</v>
      </c>
      <c r="E15" s="55" t="s">
        <v>582</v>
      </c>
      <c r="F15" s="56" t="s">
        <v>1014</v>
      </c>
      <c r="G15" s="57" t="s">
        <v>1025</v>
      </c>
      <c r="H15" s="58">
        <v>18000</v>
      </c>
      <c r="I15" s="58">
        <f t="shared" si="0"/>
        <v>11200</v>
      </c>
      <c r="J15" s="58">
        <f t="shared" si="1"/>
        <v>360.60606060606062</v>
      </c>
      <c r="K15" s="58">
        <v>1400</v>
      </c>
      <c r="L15" s="59">
        <f t="shared" si="2"/>
        <v>1050</v>
      </c>
      <c r="M15" s="58">
        <f t="shared" si="3"/>
        <v>1012.5</v>
      </c>
      <c r="N15" s="58">
        <f t="shared" si="4"/>
        <v>877.5</v>
      </c>
      <c r="O15" s="58">
        <f t="shared" si="5"/>
        <v>550</v>
      </c>
      <c r="P15" s="58">
        <f t="shared" si="6"/>
        <v>968.18181818181824</v>
      </c>
      <c r="Q15" s="60">
        <f t="shared" si="7"/>
        <v>2.535714285714286</v>
      </c>
      <c r="R15" s="58">
        <f t="shared" si="8"/>
        <v>630.68181818181824</v>
      </c>
      <c r="S15" s="58">
        <f t="shared" si="9"/>
        <v>495.68181818181819</v>
      </c>
      <c r="T15" s="58">
        <f t="shared" si="10"/>
        <v>318.18181818181819</v>
      </c>
      <c r="U15" s="60">
        <f t="shared" si="11"/>
        <v>1.6517857142857144</v>
      </c>
      <c r="V15" s="60">
        <f t="shared" si="12"/>
        <v>1.2982142857142858</v>
      </c>
      <c r="W15" s="60">
        <f t="shared" si="13"/>
        <v>0.83333333333333337</v>
      </c>
      <c r="X15" s="61" t="s">
        <v>32</v>
      </c>
      <c r="Y15" s="53"/>
      <c r="Z15" s="1"/>
    </row>
    <row r="16" spans="1:26" ht="15.5" customHeight="1">
      <c r="A16" s="54"/>
      <c r="B16" s="167"/>
      <c r="C16" s="33"/>
      <c r="D16" s="55" t="s">
        <v>1023</v>
      </c>
      <c r="E16" s="55" t="s">
        <v>1026</v>
      </c>
      <c r="F16" s="56" t="s">
        <v>1014</v>
      </c>
      <c r="G16" s="57" t="s">
        <v>1027</v>
      </c>
      <c r="H16" s="58">
        <v>18000</v>
      </c>
      <c r="I16" s="58">
        <f t="shared" si="0"/>
        <v>12600</v>
      </c>
      <c r="J16" s="58">
        <f t="shared" si="1"/>
        <v>339.39393939393938</v>
      </c>
      <c r="K16" s="58">
        <v>1400</v>
      </c>
      <c r="L16" s="59">
        <f t="shared" si="2"/>
        <v>1350</v>
      </c>
      <c r="M16" s="58">
        <f t="shared" si="3"/>
        <v>787.5</v>
      </c>
      <c r="N16" s="58">
        <f t="shared" si="4"/>
        <v>682.5</v>
      </c>
      <c r="O16" s="58">
        <f t="shared" si="5"/>
        <v>700</v>
      </c>
      <c r="P16" s="58">
        <f t="shared" si="6"/>
        <v>689.39393939393938</v>
      </c>
      <c r="Q16" s="60">
        <f t="shared" si="7"/>
        <v>1.9117647058823528</v>
      </c>
      <c r="R16" s="58">
        <f t="shared" si="8"/>
        <v>651.89393939393938</v>
      </c>
      <c r="S16" s="58">
        <f t="shared" si="9"/>
        <v>516.89393939393938</v>
      </c>
      <c r="T16" s="58">
        <f t="shared" si="10"/>
        <v>189.39393939393938</v>
      </c>
      <c r="U16" s="60">
        <f t="shared" si="11"/>
        <v>1.8077731092436973</v>
      </c>
      <c r="V16" s="60">
        <f t="shared" si="12"/>
        <v>1.4334033613445376</v>
      </c>
      <c r="W16" s="60">
        <f t="shared" si="13"/>
        <v>0.52521008403361336</v>
      </c>
      <c r="X16" s="61" t="s">
        <v>32</v>
      </c>
      <c r="Y16" s="53"/>
      <c r="Z16" s="1"/>
    </row>
    <row r="17" spans="1:26" ht="15.5" customHeight="1">
      <c r="A17" s="54"/>
      <c r="B17" s="167"/>
      <c r="C17" s="33"/>
      <c r="D17" s="55" t="s">
        <v>1028</v>
      </c>
      <c r="E17" s="55" t="s">
        <v>607</v>
      </c>
      <c r="F17" s="56" t="s">
        <v>1014</v>
      </c>
      <c r="G17" s="57" t="s">
        <v>1029</v>
      </c>
      <c r="H17" s="58">
        <v>16000</v>
      </c>
      <c r="I17" s="58">
        <f t="shared" si="0"/>
        <v>12600</v>
      </c>
      <c r="J17" s="58">
        <f t="shared" si="1"/>
        <v>381.81818181818181</v>
      </c>
      <c r="K17" s="58">
        <v>1150</v>
      </c>
      <c r="L17" s="59">
        <f t="shared" si="2"/>
        <v>1350</v>
      </c>
      <c r="M17" s="58">
        <f t="shared" si="3"/>
        <v>1012.5</v>
      </c>
      <c r="N17" s="58">
        <f t="shared" si="4"/>
        <v>877.5</v>
      </c>
      <c r="O17" s="58">
        <f t="shared" si="5"/>
        <v>700</v>
      </c>
      <c r="P17" s="58">
        <f t="shared" si="6"/>
        <v>1010.6060606060606</v>
      </c>
      <c r="Q17" s="60">
        <f t="shared" si="7"/>
        <v>2.9776785714285716</v>
      </c>
      <c r="R17" s="58">
        <f t="shared" si="8"/>
        <v>448.10606060606062</v>
      </c>
      <c r="S17" s="58">
        <f t="shared" si="9"/>
        <v>343.10606060606062</v>
      </c>
      <c r="T17" s="58">
        <f t="shared" si="10"/>
        <v>360.60606060606062</v>
      </c>
      <c r="U17" s="60">
        <f t="shared" si="11"/>
        <v>1.3203125000000002</v>
      </c>
      <c r="V17" s="60">
        <f t="shared" si="12"/>
        <v>1.0109375</v>
      </c>
      <c r="W17" s="60">
        <f t="shared" si="13"/>
        <v>1.0625</v>
      </c>
      <c r="X17" s="61" t="s">
        <v>35</v>
      </c>
      <c r="Y17" s="53"/>
      <c r="Z17" s="1"/>
    </row>
    <row r="18" spans="1:26" ht="15.5" customHeight="1">
      <c r="A18" s="54"/>
      <c r="B18" s="167"/>
      <c r="C18" s="33"/>
      <c r="D18" s="55" t="s">
        <v>1028</v>
      </c>
      <c r="E18" s="55" t="s">
        <v>68</v>
      </c>
      <c r="F18" s="56" t="s">
        <v>1014</v>
      </c>
      <c r="G18" s="57" t="s">
        <v>1030</v>
      </c>
      <c r="H18" s="58">
        <v>18000</v>
      </c>
      <c r="I18" s="58">
        <f t="shared" si="0"/>
        <v>11200</v>
      </c>
      <c r="J18" s="58">
        <f t="shared" si="1"/>
        <v>381.81818181818181</v>
      </c>
      <c r="K18" s="58">
        <v>1500</v>
      </c>
      <c r="L18" s="59">
        <f t="shared" si="2"/>
        <v>1100</v>
      </c>
      <c r="M18" s="58">
        <f t="shared" si="3"/>
        <v>1012.5</v>
      </c>
      <c r="N18" s="58">
        <f t="shared" si="4"/>
        <v>877.5</v>
      </c>
      <c r="O18" s="58">
        <f t="shared" si="5"/>
        <v>575</v>
      </c>
      <c r="P18" s="58">
        <f t="shared" si="6"/>
        <v>968.18181818181824</v>
      </c>
      <c r="Q18" s="60">
        <f t="shared" si="7"/>
        <v>2.535714285714286</v>
      </c>
      <c r="R18" s="58">
        <f t="shared" si="8"/>
        <v>630.68181818181824</v>
      </c>
      <c r="S18" s="58">
        <f t="shared" si="9"/>
        <v>495.68181818181819</v>
      </c>
      <c r="T18" s="58">
        <f t="shared" si="10"/>
        <v>318.18181818181819</v>
      </c>
      <c r="U18" s="60">
        <f t="shared" si="11"/>
        <v>1.6517857142857144</v>
      </c>
      <c r="V18" s="60">
        <f t="shared" si="12"/>
        <v>1.2982142857142858</v>
      </c>
      <c r="W18" s="60">
        <f t="shared" si="13"/>
        <v>0.83333333333333337</v>
      </c>
      <c r="X18" s="61" t="s">
        <v>35</v>
      </c>
      <c r="Y18" s="53"/>
      <c r="Z18" s="1"/>
    </row>
    <row r="19" spans="1:26" ht="15.5" customHeight="1">
      <c r="A19" s="54"/>
      <c r="B19" s="167"/>
      <c r="C19" s="33"/>
      <c r="D19" s="55" t="s">
        <v>1031</v>
      </c>
      <c r="E19" s="55" t="s">
        <v>607</v>
      </c>
      <c r="F19" s="56" t="s">
        <v>1014</v>
      </c>
      <c r="G19" s="57" t="s">
        <v>1032</v>
      </c>
      <c r="H19" s="58">
        <v>16000</v>
      </c>
      <c r="I19" s="58">
        <f t="shared" si="0"/>
        <v>12600</v>
      </c>
      <c r="J19" s="58">
        <f t="shared" si="1"/>
        <v>339.39393939393938</v>
      </c>
      <c r="K19" s="58">
        <v>1200</v>
      </c>
      <c r="L19" s="59">
        <f t="shared" si="2"/>
        <v>1450</v>
      </c>
      <c r="M19" s="58">
        <f t="shared" si="3"/>
        <v>825</v>
      </c>
      <c r="N19" s="58">
        <f t="shared" si="4"/>
        <v>715</v>
      </c>
      <c r="O19" s="58">
        <f t="shared" si="5"/>
        <v>750</v>
      </c>
      <c r="P19" s="58">
        <f t="shared" si="6"/>
        <v>718.18181818181824</v>
      </c>
      <c r="Q19" s="60">
        <f t="shared" si="7"/>
        <v>1.8809523809523812</v>
      </c>
      <c r="R19" s="58">
        <f t="shared" si="8"/>
        <v>630.68181818181824</v>
      </c>
      <c r="S19" s="58">
        <f t="shared" si="9"/>
        <v>495.68181818181819</v>
      </c>
      <c r="T19" s="58">
        <f t="shared" si="10"/>
        <v>193.18181818181819</v>
      </c>
      <c r="U19" s="60">
        <f t="shared" si="11"/>
        <v>1.6517857142857144</v>
      </c>
      <c r="V19" s="60">
        <f t="shared" si="12"/>
        <v>1.2982142857142858</v>
      </c>
      <c r="W19" s="60">
        <f t="shared" si="13"/>
        <v>0.50595238095238093</v>
      </c>
      <c r="X19" s="61" t="s">
        <v>1033</v>
      </c>
      <c r="Y19" s="53"/>
      <c r="Z19" s="1"/>
    </row>
    <row r="20" spans="1:26" ht="15.5" customHeight="1">
      <c r="A20" s="54"/>
      <c r="B20" s="167"/>
      <c r="C20" s="33"/>
      <c r="D20" s="55" t="s">
        <v>1031</v>
      </c>
      <c r="E20" s="55" t="s">
        <v>68</v>
      </c>
      <c r="F20" s="56" t="s">
        <v>1014</v>
      </c>
      <c r="G20" s="57" t="s">
        <v>1034</v>
      </c>
      <c r="H20" s="58">
        <v>18000</v>
      </c>
      <c r="I20" s="58">
        <f t="shared" si="0"/>
        <v>11200</v>
      </c>
      <c r="J20" s="58">
        <f t="shared" si="1"/>
        <v>381.81818181818181</v>
      </c>
      <c r="K20" s="58">
        <v>1500</v>
      </c>
      <c r="L20" s="59">
        <f t="shared" si="2"/>
        <v>1150</v>
      </c>
      <c r="M20" s="58">
        <f t="shared" si="3"/>
        <v>1087.5</v>
      </c>
      <c r="N20" s="58">
        <f t="shared" si="4"/>
        <v>942.5</v>
      </c>
      <c r="O20" s="58">
        <f t="shared" si="5"/>
        <v>600</v>
      </c>
      <c r="P20" s="58">
        <f t="shared" si="6"/>
        <v>1110.6060606060605</v>
      </c>
      <c r="Q20" s="60">
        <f t="shared" si="7"/>
        <v>3.2723214285714284</v>
      </c>
      <c r="R20" s="58">
        <f t="shared" si="8"/>
        <v>485.60606060606062</v>
      </c>
      <c r="S20" s="58">
        <f t="shared" si="9"/>
        <v>375.60606060606062</v>
      </c>
      <c r="T20" s="58">
        <f t="shared" si="10"/>
        <v>410.60606060606062</v>
      </c>
      <c r="U20" s="60">
        <f t="shared" si="11"/>
        <v>1.4308035714285716</v>
      </c>
      <c r="V20" s="60">
        <f t="shared" si="12"/>
        <v>1.1066964285714287</v>
      </c>
      <c r="W20" s="60">
        <f t="shared" si="13"/>
        <v>1.2098214285714286</v>
      </c>
      <c r="X20" s="61" t="s">
        <v>1035</v>
      </c>
      <c r="Y20" s="53"/>
      <c r="Z20" s="1"/>
    </row>
    <row r="21" spans="1:26" ht="15.75" customHeight="1">
      <c r="A21" s="54"/>
      <c r="B21" s="167"/>
      <c r="C21" s="33"/>
      <c r="D21" s="55" t="s">
        <v>314</v>
      </c>
      <c r="E21" s="55" t="s">
        <v>607</v>
      </c>
      <c r="F21" s="56" t="s">
        <v>1014</v>
      </c>
      <c r="G21" s="57" t="s">
        <v>1036</v>
      </c>
      <c r="H21" s="58">
        <v>16000</v>
      </c>
      <c r="I21" s="58">
        <f t="shared" si="0"/>
        <v>12600</v>
      </c>
      <c r="J21" s="58">
        <f t="shared" si="1"/>
        <v>339.39393939393938</v>
      </c>
      <c r="K21" s="58">
        <v>1200</v>
      </c>
      <c r="L21" s="59">
        <f t="shared" si="2"/>
        <v>1450</v>
      </c>
      <c r="M21" s="58">
        <f t="shared" si="3"/>
        <v>862.5</v>
      </c>
      <c r="N21" s="58">
        <f t="shared" si="4"/>
        <v>747.5</v>
      </c>
      <c r="O21" s="58">
        <f t="shared" si="5"/>
        <v>750</v>
      </c>
      <c r="P21" s="58">
        <f t="shared" si="6"/>
        <v>768.18181818181824</v>
      </c>
      <c r="Q21" s="60">
        <f t="shared" si="7"/>
        <v>2.0119047619047623</v>
      </c>
      <c r="R21" s="58">
        <f t="shared" si="8"/>
        <v>705.68181818181824</v>
      </c>
      <c r="S21" s="58">
        <f t="shared" si="9"/>
        <v>560.68181818181824</v>
      </c>
      <c r="T21" s="58">
        <f t="shared" si="10"/>
        <v>218.18181818181819</v>
      </c>
      <c r="U21" s="60">
        <f t="shared" si="11"/>
        <v>1.8482142857142858</v>
      </c>
      <c r="V21" s="60">
        <f t="shared" si="12"/>
        <v>1.4684523809523811</v>
      </c>
      <c r="W21" s="60">
        <f t="shared" si="13"/>
        <v>0.5714285714285714</v>
      </c>
      <c r="X21" s="61" t="s">
        <v>39</v>
      </c>
      <c r="Y21" s="53"/>
      <c r="Z21" s="1"/>
    </row>
    <row r="22" spans="1:26" ht="15.75" customHeight="1">
      <c r="A22" s="54"/>
      <c r="B22" s="167"/>
      <c r="C22" s="33"/>
      <c r="D22" s="55" t="s">
        <v>314</v>
      </c>
      <c r="E22" s="55" t="s">
        <v>68</v>
      </c>
      <c r="F22" s="56" t="s">
        <v>1014</v>
      </c>
      <c r="G22" s="57" t="s">
        <v>1037</v>
      </c>
      <c r="H22" s="58">
        <v>18000</v>
      </c>
      <c r="I22" s="58">
        <f t="shared" si="0"/>
        <v>11200</v>
      </c>
      <c r="J22" s="58">
        <f t="shared" si="1"/>
        <v>381.81818181818181</v>
      </c>
      <c r="K22" s="58">
        <v>1500</v>
      </c>
      <c r="L22" s="59">
        <f t="shared" si="2"/>
        <v>1150</v>
      </c>
      <c r="M22" s="58">
        <f t="shared" si="3"/>
        <v>1087.5</v>
      </c>
      <c r="N22" s="58">
        <f t="shared" si="4"/>
        <v>942.5</v>
      </c>
      <c r="O22" s="58">
        <f t="shared" si="5"/>
        <v>600</v>
      </c>
      <c r="P22" s="58">
        <f t="shared" si="6"/>
        <v>1110.6060606060605</v>
      </c>
      <c r="Q22" s="60">
        <f t="shared" si="7"/>
        <v>3.2723214285714284</v>
      </c>
      <c r="R22" s="58">
        <f t="shared" si="8"/>
        <v>523.10606060606062</v>
      </c>
      <c r="S22" s="58">
        <f t="shared" si="9"/>
        <v>408.10606060606062</v>
      </c>
      <c r="T22" s="58">
        <f t="shared" si="10"/>
        <v>410.60606060606062</v>
      </c>
      <c r="U22" s="60">
        <f t="shared" si="11"/>
        <v>1.541294642857143</v>
      </c>
      <c r="V22" s="60">
        <f t="shared" si="12"/>
        <v>1.2024553571428573</v>
      </c>
      <c r="W22" s="60">
        <f t="shared" si="13"/>
        <v>1.2098214285714286</v>
      </c>
      <c r="X22" s="61" t="s">
        <v>41</v>
      </c>
      <c r="Y22" s="1"/>
      <c r="Z22" s="1"/>
    </row>
    <row r="23" spans="1:26" ht="15.75" customHeight="1">
      <c r="A23" s="54"/>
      <c r="B23" s="167"/>
      <c r="C23" s="33"/>
      <c r="D23" s="55" t="s">
        <v>314</v>
      </c>
      <c r="E23" s="55" t="s">
        <v>219</v>
      </c>
      <c r="F23" s="56" t="s">
        <v>1014</v>
      </c>
      <c r="G23" s="57" t="s">
        <v>1038</v>
      </c>
      <c r="H23" s="58">
        <v>18000</v>
      </c>
      <c r="I23" s="58">
        <f t="shared" si="0"/>
        <v>12600</v>
      </c>
      <c r="J23" s="58">
        <f t="shared" si="1"/>
        <v>339.39393939393938</v>
      </c>
      <c r="K23" s="58">
        <v>1500</v>
      </c>
      <c r="L23" s="59">
        <f t="shared" si="2"/>
        <v>1450</v>
      </c>
      <c r="M23" s="58">
        <f t="shared" si="3"/>
        <v>862.5</v>
      </c>
      <c r="N23" s="58">
        <f t="shared" si="4"/>
        <v>747.5</v>
      </c>
      <c r="O23" s="58">
        <f t="shared" si="5"/>
        <v>750</v>
      </c>
      <c r="P23" s="58">
        <f t="shared" si="6"/>
        <v>768.18181818181824</v>
      </c>
      <c r="Q23" s="60">
        <f t="shared" si="7"/>
        <v>2.0119047619047623</v>
      </c>
      <c r="R23" s="58">
        <f t="shared" si="8"/>
        <v>705.68181818181824</v>
      </c>
      <c r="S23" s="58">
        <f t="shared" si="9"/>
        <v>560.68181818181824</v>
      </c>
      <c r="T23" s="58">
        <f t="shared" si="10"/>
        <v>218.18181818181819</v>
      </c>
      <c r="U23" s="60">
        <f t="shared" si="11"/>
        <v>1.8482142857142858</v>
      </c>
      <c r="V23" s="60">
        <f t="shared" si="12"/>
        <v>1.4684523809523811</v>
      </c>
      <c r="W23" s="60">
        <f t="shared" si="13"/>
        <v>0.5714285714285714</v>
      </c>
      <c r="X23" s="61" t="s">
        <v>41</v>
      </c>
      <c r="Y23" s="1"/>
      <c r="Z23" s="1"/>
    </row>
    <row r="24" spans="1:26" ht="15.75" customHeight="1">
      <c r="A24" s="54"/>
      <c r="B24" s="167"/>
      <c r="C24" s="33"/>
      <c r="D24" s="55" t="s">
        <v>314</v>
      </c>
      <c r="E24" s="55" t="s">
        <v>225</v>
      </c>
      <c r="F24" s="56" t="s">
        <v>1014</v>
      </c>
      <c r="G24" s="57" t="s">
        <v>1039</v>
      </c>
      <c r="H24" s="58">
        <v>20000</v>
      </c>
      <c r="I24" s="58">
        <f t="shared" si="0"/>
        <v>12600</v>
      </c>
      <c r="J24" s="58">
        <f t="shared" si="1"/>
        <v>381.81818181818181</v>
      </c>
      <c r="K24" s="58">
        <v>1500</v>
      </c>
      <c r="L24" s="59">
        <f t="shared" si="2"/>
        <v>1450</v>
      </c>
      <c r="M24" s="58">
        <f t="shared" si="3"/>
        <v>1087.5</v>
      </c>
      <c r="N24" s="58">
        <f t="shared" si="4"/>
        <v>942.5</v>
      </c>
      <c r="O24" s="58">
        <f t="shared" si="5"/>
        <v>750</v>
      </c>
      <c r="P24" s="58">
        <f t="shared" si="6"/>
        <v>1110.6060606060605</v>
      </c>
      <c r="Q24" s="60">
        <f t="shared" si="7"/>
        <v>3.2723214285714284</v>
      </c>
      <c r="R24" s="58">
        <f t="shared" si="8"/>
        <v>523.10606060606062</v>
      </c>
      <c r="S24" s="58">
        <f t="shared" si="9"/>
        <v>408.10606060606062</v>
      </c>
      <c r="T24" s="58">
        <f t="shared" si="10"/>
        <v>410.60606060606062</v>
      </c>
      <c r="U24" s="60">
        <f t="shared" si="11"/>
        <v>1.541294642857143</v>
      </c>
      <c r="V24" s="60">
        <f t="shared" si="12"/>
        <v>1.2024553571428573</v>
      </c>
      <c r="W24" s="60">
        <f t="shared" si="13"/>
        <v>1.2098214285714286</v>
      </c>
      <c r="X24" s="61" t="s">
        <v>41</v>
      </c>
      <c r="Y24" s="1"/>
      <c r="Z24" s="1"/>
    </row>
    <row r="25" spans="1:26" ht="15.75" customHeight="1">
      <c r="A25" s="54"/>
      <c r="B25" s="167"/>
      <c r="C25" s="33"/>
      <c r="D25" s="55" t="s">
        <v>1040</v>
      </c>
      <c r="E25" s="55" t="s">
        <v>607</v>
      </c>
      <c r="F25" s="56" t="s">
        <v>1014</v>
      </c>
      <c r="G25" s="57" t="s">
        <v>1041</v>
      </c>
      <c r="H25" s="58">
        <v>15000</v>
      </c>
      <c r="I25" s="58">
        <f t="shared" si="0"/>
        <v>14000</v>
      </c>
      <c r="J25" s="58">
        <f t="shared" si="1"/>
        <v>381.81818181818181</v>
      </c>
      <c r="K25" s="58">
        <v>1200</v>
      </c>
      <c r="L25" s="59">
        <f t="shared" si="2"/>
        <v>1450</v>
      </c>
      <c r="M25" s="58">
        <f t="shared" si="3"/>
        <v>1087.5</v>
      </c>
      <c r="N25" s="58">
        <f t="shared" si="4"/>
        <v>942.5</v>
      </c>
      <c r="O25" s="58">
        <f t="shared" si="5"/>
        <v>750</v>
      </c>
      <c r="P25" s="58">
        <f t="shared" si="6"/>
        <v>1068.1818181818182</v>
      </c>
      <c r="Q25" s="60">
        <f t="shared" si="7"/>
        <v>2.7976190476190479</v>
      </c>
      <c r="R25" s="58">
        <f t="shared" si="8"/>
        <v>705.68181818181824</v>
      </c>
      <c r="S25" s="58">
        <f t="shared" si="9"/>
        <v>560.68181818181824</v>
      </c>
      <c r="T25" s="58">
        <f t="shared" si="10"/>
        <v>368.18181818181819</v>
      </c>
      <c r="U25" s="60">
        <f t="shared" si="11"/>
        <v>1.8482142857142858</v>
      </c>
      <c r="V25" s="60">
        <f t="shared" si="12"/>
        <v>1.4684523809523811</v>
      </c>
      <c r="W25" s="60">
        <f t="shared" si="13"/>
        <v>0.9642857142857143</v>
      </c>
      <c r="X25" s="61" t="s">
        <v>41</v>
      </c>
      <c r="Y25" s="1"/>
      <c r="Z25" s="1"/>
    </row>
    <row r="26" spans="1:26" ht="15.75" customHeight="1">
      <c r="A26" s="54"/>
      <c r="B26" s="167"/>
      <c r="C26" s="33"/>
      <c r="D26" s="55" t="s">
        <v>1040</v>
      </c>
      <c r="E26" s="55" t="s">
        <v>1042</v>
      </c>
      <c r="F26" s="56" t="s">
        <v>1014</v>
      </c>
      <c r="G26" s="57" t="s">
        <v>1043</v>
      </c>
      <c r="H26" s="58">
        <v>18000</v>
      </c>
      <c r="I26" s="58">
        <f t="shared" si="0"/>
        <v>10500</v>
      </c>
      <c r="J26" s="58">
        <f t="shared" si="1"/>
        <v>424.24242424242425</v>
      </c>
      <c r="K26" s="58">
        <v>1200</v>
      </c>
      <c r="L26" s="59">
        <f t="shared" si="2"/>
        <v>1150</v>
      </c>
      <c r="M26" s="58">
        <f t="shared" si="3"/>
        <v>1087.5</v>
      </c>
      <c r="N26" s="58">
        <f t="shared" si="4"/>
        <v>942.5</v>
      </c>
      <c r="O26" s="58">
        <f t="shared" si="5"/>
        <v>600</v>
      </c>
      <c r="P26" s="58">
        <f t="shared" si="6"/>
        <v>1068.1818181818182</v>
      </c>
      <c r="Q26" s="60">
        <f t="shared" si="7"/>
        <v>2.7976190476190479</v>
      </c>
      <c r="R26" s="58">
        <f t="shared" si="8"/>
        <v>705.68181818181824</v>
      </c>
      <c r="S26" s="58">
        <f t="shared" si="9"/>
        <v>560.68181818181824</v>
      </c>
      <c r="T26" s="58">
        <f t="shared" si="10"/>
        <v>368.18181818181819</v>
      </c>
      <c r="U26" s="60">
        <f t="shared" si="11"/>
        <v>1.8482142857142858</v>
      </c>
      <c r="V26" s="60">
        <f t="shared" si="12"/>
        <v>1.4684523809523811</v>
      </c>
      <c r="W26" s="60">
        <f t="shared" si="13"/>
        <v>0.9642857142857143</v>
      </c>
      <c r="X26" s="61"/>
      <c r="Y26" s="1"/>
      <c r="Z26" s="1"/>
    </row>
    <row r="27" spans="1:26" ht="15.75" customHeight="1">
      <c r="A27" s="54"/>
      <c r="B27" s="167"/>
      <c r="C27" s="33"/>
      <c r="D27" s="55" t="s">
        <v>1044</v>
      </c>
      <c r="E27" s="55" t="s">
        <v>607</v>
      </c>
      <c r="F27" s="56" t="s">
        <v>1014</v>
      </c>
      <c r="G27" s="57" t="s">
        <v>1045</v>
      </c>
      <c r="H27" s="58">
        <v>16000</v>
      </c>
      <c r="I27" s="58">
        <f t="shared" si="0"/>
        <v>12600</v>
      </c>
      <c r="J27" s="58">
        <f t="shared" si="1"/>
        <v>318.18181818181819</v>
      </c>
      <c r="K27" s="58">
        <v>1150</v>
      </c>
      <c r="L27" s="59">
        <f t="shared" si="2"/>
        <v>1150</v>
      </c>
      <c r="M27" s="58">
        <f t="shared" si="3"/>
        <v>862.5</v>
      </c>
      <c r="N27" s="58">
        <f t="shared" si="4"/>
        <v>747.5</v>
      </c>
      <c r="O27" s="58">
        <f t="shared" si="5"/>
        <v>600</v>
      </c>
      <c r="P27" s="58">
        <f t="shared" si="6"/>
        <v>725.75757575757575</v>
      </c>
      <c r="Q27" s="60">
        <f t="shared" si="7"/>
        <v>1.7107142857142856</v>
      </c>
      <c r="R27" s="58">
        <f t="shared" si="8"/>
        <v>663.25757575757575</v>
      </c>
      <c r="S27" s="58">
        <f t="shared" si="9"/>
        <v>518.25757575757575</v>
      </c>
      <c r="T27" s="58">
        <f t="shared" si="10"/>
        <v>175.75757575757575</v>
      </c>
      <c r="U27" s="60">
        <f t="shared" si="11"/>
        <v>1.563392857142857</v>
      </c>
      <c r="V27" s="60">
        <f t="shared" si="12"/>
        <v>1.2216071428571429</v>
      </c>
      <c r="W27" s="60">
        <f t="shared" si="13"/>
        <v>0.41428571428571426</v>
      </c>
      <c r="X27" s="61"/>
      <c r="Y27" s="1"/>
      <c r="Z27" s="1"/>
    </row>
    <row r="28" spans="1:26" ht="15.75" customHeight="1">
      <c r="A28" s="54"/>
      <c r="B28" s="167"/>
      <c r="C28" s="33"/>
      <c r="D28" s="55" t="s">
        <v>1044</v>
      </c>
      <c r="E28" s="55" t="s">
        <v>68</v>
      </c>
      <c r="F28" s="56" t="s">
        <v>1014</v>
      </c>
      <c r="G28" s="57" t="s">
        <v>1046</v>
      </c>
      <c r="H28" s="58">
        <v>23000</v>
      </c>
      <c r="I28" s="58">
        <f t="shared" si="0"/>
        <v>11200</v>
      </c>
      <c r="J28" s="58">
        <f t="shared" si="1"/>
        <v>381.81818181818181</v>
      </c>
      <c r="K28" s="58">
        <v>1500</v>
      </c>
      <c r="L28" s="59">
        <f t="shared" si="2"/>
        <v>1100</v>
      </c>
      <c r="M28" s="58">
        <f t="shared" si="3"/>
        <v>862.5</v>
      </c>
      <c r="N28" s="58">
        <f t="shared" si="4"/>
        <v>747.5</v>
      </c>
      <c r="O28" s="58">
        <f t="shared" si="5"/>
        <v>575</v>
      </c>
      <c r="P28" s="58">
        <f t="shared" si="6"/>
        <v>831.81818181818176</v>
      </c>
      <c r="Q28" s="60">
        <f t="shared" si="7"/>
        <v>2.6142857142857139</v>
      </c>
      <c r="R28" s="58">
        <f t="shared" si="8"/>
        <v>544.31818181818176</v>
      </c>
      <c r="S28" s="58">
        <f t="shared" si="9"/>
        <v>429.31818181818181</v>
      </c>
      <c r="T28" s="58">
        <f t="shared" si="10"/>
        <v>281.81818181818181</v>
      </c>
      <c r="U28" s="60">
        <f t="shared" si="11"/>
        <v>1.7107142857142854</v>
      </c>
      <c r="V28" s="60">
        <f t="shared" si="12"/>
        <v>1.3492857142857142</v>
      </c>
      <c r="W28" s="60">
        <f t="shared" si="13"/>
        <v>0.88571428571428568</v>
      </c>
      <c r="X28" s="61"/>
      <c r="Y28" s="1"/>
      <c r="Z28" s="1"/>
    </row>
    <row r="29" spans="1:26" ht="15.75" customHeight="1">
      <c r="A29" s="54"/>
      <c r="B29" s="167"/>
      <c r="C29" s="33"/>
      <c r="D29" s="55" t="s">
        <v>251</v>
      </c>
      <c r="E29" s="55" t="s">
        <v>607</v>
      </c>
      <c r="F29" s="56" t="s">
        <v>1014</v>
      </c>
      <c r="G29" s="57" t="s">
        <v>1047</v>
      </c>
      <c r="H29" s="58">
        <v>16000</v>
      </c>
      <c r="I29" s="58">
        <f t="shared" si="0"/>
        <v>16099.999999999998</v>
      </c>
      <c r="J29" s="58">
        <f t="shared" si="1"/>
        <v>339.39393939393938</v>
      </c>
      <c r="K29" s="58">
        <v>1200</v>
      </c>
      <c r="L29" s="59">
        <f t="shared" si="2"/>
        <v>1450</v>
      </c>
      <c r="M29" s="58">
        <f t="shared" si="3"/>
        <v>825</v>
      </c>
      <c r="N29" s="58">
        <f t="shared" si="4"/>
        <v>715</v>
      </c>
      <c r="O29" s="58">
        <f t="shared" si="5"/>
        <v>750</v>
      </c>
      <c r="P29" s="58">
        <f t="shared" si="6"/>
        <v>718.18181818181824</v>
      </c>
      <c r="Q29" s="60">
        <f t="shared" si="7"/>
        <v>1.8809523809523812</v>
      </c>
      <c r="R29" s="58">
        <f t="shared" si="8"/>
        <v>480.68181818181819</v>
      </c>
      <c r="S29" s="58">
        <f t="shared" si="9"/>
        <v>365.68181818181819</v>
      </c>
      <c r="T29" s="58">
        <f t="shared" si="10"/>
        <v>193.18181818181819</v>
      </c>
      <c r="U29" s="60">
        <f t="shared" si="11"/>
        <v>1.2589285714285714</v>
      </c>
      <c r="V29" s="60">
        <f t="shared" si="12"/>
        <v>0.95773809523809528</v>
      </c>
      <c r="W29" s="60">
        <f t="shared" si="13"/>
        <v>0.50595238095238093</v>
      </c>
      <c r="X29" s="61" t="s">
        <v>44</v>
      </c>
      <c r="Y29" s="1"/>
      <c r="Z29" s="1"/>
    </row>
    <row r="30" spans="1:26" ht="15.75" customHeight="1">
      <c r="A30" s="54"/>
      <c r="B30" s="167"/>
      <c r="C30" s="33"/>
      <c r="D30" s="55" t="s">
        <v>1048</v>
      </c>
      <c r="E30" s="55" t="s">
        <v>320</v>
      </c>
      <c r="F30" s="56" t="s">
        <v>1014</v>
      </c>
      <c r="G30" s="57" t="s">
        <v>1049</v>
      </c>
      <c r="H30" s="58">
        <v>22000</v>
      </c>
      <c r="I30" s="58">
        <f t="shared" si="0"/>
        <v>11200</v>
      </c>
      <c r="J30" s="58">
        <f t="shared" si="1"/>
        <v>487.87878787878782</v>
      </c>
      <c r="K30" s="58">
        <v>1500</v>
      </c>
      <c r="L30" s="59">
        <f t="shared" si="2"/>
        <v>1150</v>
      </c>
      <c r="M30" s="58">
        <f t="shared" si="3"/>
        <v>1087.5</v>
      </c>
      <c r="N30" s="58">
        <f t="shared" si="4"/>
        <v>942.5</v>
      </c>
      <c r="O30" s="58">
        <f t="shared" si="5"/>
        <v>600</v>
      </c>
      <c r="P30" s="58">
        <f t="shared" si="6"/>
        <v>1110.6060606060605</v>
      </c>
      <c r="Q30" s="60">
        <f t="shared" si="7"/>
        <v>3.2723214285714284</v>
      </c>
      <c r="R30" s="58">
        <f t="shared" si="8"/>
        <v>485.60606060606062</v>
      </c>
      <c r="S30" s="58">
        <f t="shared" si="9"/>
        <v>375.60606060606062</v>
      </c>
      <c r="T30" s="58">
        <f t="shared" si="10"/>
        <v>410.60606060606062</v>
      </c>
      <c r="U30" s="60">
        <f t="shared" si="11"/>
        <v>1.4308035714285716</v>
      </c>
      <c r="V30" s="60">
        <f t="shared" si="12"/>
        <v>1.1066964285714287</v>
      </c>
      <c r="W30" s="60">
        <f t="shared" si="13"/>
        <v>1.2098214285714286</v>
      </c>
      <c r="X30" s="61"/>
      <c r="Y30" s="1"/>
      <c r="Z30" s="1"/>
    </row>
    <row r="31" spans="1:26" ht="15.75" customHeight="1">
      <c r="A31" s="54"/>
      <c r="B31" s="167"/>
      <c r="C31" s="33"/>
      <c r="D31" s="55" t="s">
        <v>1050</v>
      </c>
      <c r="E31" s="55" t="s">
        <v>68</v>
      </c>
      <c r="F31" s="56" t="s">
        <v>1014</v>
      </c>
      <c r="G31" s="57" t="s">
        <v>1051</v>
      </c>
      <c r="H31" s="58">
        <v>18000</v>
      </c>
      <c r="I31" s="58">
        <f t="shared" si="0"/>
        <v>15399.999999999998</v>
      </c>
      <c r="J31" s="58">
        <f t="shared" si="1"/>
        <v>339.39393939393938</v>
      </c>
      <c r="K31" s="58">
        <v>1500</v>
      </c>
      <c r="L31" s="59">
        <f t="shared" si="2"/>
        <v>1450</v>
      </c>
      <c r="M31" s="58">
        <f t="shared" si="3"/>
        <v>862.5</v>
      </c>
      <c r="N31" s="58">
        <f t="shared" si="4"/>
        <v>747.5</v>
      </c>
      <c r="O31" s="58">
        <f t="shared" si="5"/>
        <v>750</v>
      </c>
      <c r="P31" s="58">
        <f t="shared" si="6"/>
        <v>662.12121212121224</v>
      </c>
      <c r="Q31" s="60">
        <f t="shared" si="7"/>
        <v>1.3571428571428577</v>
      </c>
      <c r="R31" s="58">
        <f t="shared" si="8"/>
        <v>599.62121212121224</v>
      </c>
      <c r="S31" s="58">
        <f t="shared" si="9"/>
        <v>454.62121212121218</v>
      </c>
      <c r="T31" s="58">
        <f t="shared" si="10"/>
        <v>112.12121212121218</v>
      </c>
      <c r="U31" s="60">
        <f t="shared" si="11"/>
        <v>1.2290372670807457</v>
      </c>
      <c r="V31" s="60">
        <f t="shared" si="12"/>
        <v>0.93183229813664625</v>
      </c>
      <c r="W31" s="60">
        <f t="shared" si="13"/>
        <v>0.22981366459627345</v>
      </c>
      <c r="X31" s="61" t="s">
        <v>47</v>
      </c>
      <c r="Y31" s="1"/>
      <c r="Z31" s="1"/>
    </row>
    <row r="32" spans="1:26" ht="15.75" customHeight="1">
      <c r="A32" s="54"/>
      <c r="B32" s="167"/>
      <c r="C32" s="33"/>
      <c r="D32" s="55" t="s">
        <v>1052</v>
      </c>
      <c r="E32" s="55" t="s">
        <v>493</v>
      </c>
      <c r="F32" s="56" t="s">
        <v>1014</v>
      </c>
      <c r="G32" s="57" t="s">
        <v>1053</v>
      </c>
      <c r="H32" s="58">
        <v>25000</v>
      </c>
      <c r="I32" s="58">
        <f t="shared" si="0"/>
        <v>12600</v>
      </c>
      <c r="J32" s="58">
        <f t="shared" si="1"/>
        <v>466.66666666666663</v>
      </c>
      <c r="K32" s="58">
        <v>1500</v>
      </c>
      <c r="L32" s="59">
        <f t="shared" si="2"/>
        <v>1450</v>
      </c>
      <c r="M32" s="58">
        <f t="shared" si="3"/>
        <v>1087.5</v>
      </c>
      <c r="N32" s="58">
        <f t="shared" si="4"/>
        <v>942.5</v>
      </c>
      <c r="O32" s="58">
        <f t="shared" si="5"/>
        <v>750</v>
      </c>
      <c r="P32" s="58">
        <f t="shared" si="6"/>
        <v>1110.6060606060605</v>
      </c>
      <c r="Q32" s="60">
        <f t="shared" si="7"/>
        <v>3.2723214285714284</v>
      </c>
      <c r="R32" s="58">
        <f t="shared" si="8"/>
        <v>523.10606060606062</v>
      </c>
      <c r="S32" s="58">
        <f t="shared" si="9"/>
        <v>408.10606060606062</v>
      </c>
      <c r="T32" s="58">
        <f t="shared" si="10"/>
        <v>410.60606060606062</v>
      </c>
      <c r="U32" s="60">
        <f t="shared" si="11"/>
        <v>1.541294642857143</v>
      </c>
      <c r="V32" s="60">
        <f t="shared" si="12"/>
        <v>1.2024553571428573</v>
      </c>
      <c r="W32" s="60">
        <f t="shared" si="13"/>
        <v>1.2098214285714286</v>
      </c>
      <c r="X32" s="61"/>
      <c r="Y32" s="1"/>
      <c r="Z32" s="1"/>
    </row>
    <row r="33" spans="1:26" ht="15.75" customHeight="1">
      <c r="A33" s="54"/>
      <c r="B33" s="167"/>
      <c r="C33" s="33"/>
      <c r="D33" s="55" t="s">
        <v>1054</v>
      </c>
      <c r="E33" s="55" t="s">
        <v>607</v>
      </c>
      <c r="F33" s="56" t="s">
        <v>1055</v>
      </c>
      <c r="G33" s="57" t="s">
        <v>1056</v>
      </c>
      <c r="H33" s="58">
        <v>18000</v>
      </c>
      <c r="I33" s="58">
        <f t="shared" si="0"/>
        <v>17500</v>
      </c>
      <c r="J33" s="58">
        <f t="shared" si="1"/>
        <v>381.81818181818181</v>
      </c>
      <c r="K33" s="58">
        <v>1300</v>
      </c>
      <c r="L33" s="59">
        <f t="shared" si="2"/>
        <v>1450</v>
      </c>
      <c r="M33" s="58">
        <f t="shared" si="3"/>
        <v>1087.5</v>
      </c>
      <c r="N33" s="58">
        <f t="shared" si="4"/>
        <v>942.5</v>
      </c>
      <c r="O33" s="58">
        <f t="shared" si="5"/>
        <v>750</v>
      </c>
      <c r="P33" s="58">
        <f t="shared" si="6"/>
        <v>983.33333333333337</v>
      </c>
      <c r="Q33" s="60">
        <f t="shared" si="7"/>
        <v>2.1071428571428572</v>
      </c>
      <c r="R33" s="58">
        <f t="shared" si="8"/>
        <v>620.83333333333337</v>
      </c>
      <c r="S33" s="58">
        <f t="shared" si="9"/>
        <v>475.83333333333337</v>
      </c>
      <c r="T33" s="58">
        <f t="shared" si="10"/>
        <v>283.33333333333337</v>
      </c>
      <c r="U33" s="60">
        <f t="shared" si="11"/>
        <v>1.330357142857143</v>
      </c>
      <c r="V33" s="60">
        <f t="shared" si="12"/>
        <v>1.0196428571428573</v>
      </c>
      <c r="W33" s="60">
        <f t="shared" si="13"/>
        <v>0.60714285714285732</v>
      </c>
      <c r="X33" s="61" t="s">
        <v>48</v>
      </c>
      <c r="Y33" s="1"/>
      <c r="Z33" s="1"/>
    </row>
    <row r="34" spans="1:26" ht="15.75" customHeight="1">
      <c r="A34" s="54"/>
      <c r="B34" s="167"/>
      <c r="C34" s="33"/>
      <c r="D34" s="55" t="s">
        <v>1054</v>
      </c>
      <c r="E34" s="55" t="s">
        <v>68</v>
      </c>
      <c r="F34" s="56" t="s">
        <v>1055</v>
      </c>
      <c r="G34" s="57" t="s">
        <v>1057</v>
      </c>
      <c r="H34" s="58">
        <v>20000</v>
      </c>
      <c r="I34" s="58">
        <f t="shared" si="0"/>
        <v>12600</v>
      </c>
      <c r="J34" s="58">
        <f t="shared" si="1"/>
        <v>530.30303030303025</v>
      </c>
      <c r="K34" s="58">
        <v>1600</v>
      </c>
      <c r="L34" s="59">
        <f t="shared" si="2"/>
        <v>1250</v>
      </c>
      <c r="M34" s="58">
        <f t="shared" si="3"/>
        <v>1087.5</v>
      </c>
      <c r="N34" s="58">
        <f t="shared" si="4"/>
        <v>942.5</v>
      </c>
      <c r="O34" s="58">
        <f t="shared" si="5"/>
        <v>650</v>
      </c>
      <c r="P34" s="58">
        <f t="shared" si="6"/>
        <v>1068.1818181818182</v>
      </c>
      <c r="Q34" s="60">
        <f t="shared" si="7"/>
        <v>2.7976190476190479</v>
      </c>
      <c r="R34" s="58">
        <f t="shared" si="8"/>
        <v>705.68181818181824</v>
      </c>
      <c r="S34" s="58">
        <f t="shared" si="9"/>
        <v>560.68181818181824</v>
      </c>
      <c r="T34" s="58">
        <f t="shared" si="10"/>
        <v>368.18181818181819</v>
      </c>
      <c r="U34" s="60">
        <f t="shared" si="11"/>
        <v>1.8482142857142858</v>
      </c>
      <c r="V34" s="60">
        <f t="shared" si="12"/>
        <v>1.4684523809523811</v>
      </c>
      <c r="W34" s="60">
        <f t="shared" si="13"/>
        <v>0.9642857142857143</v>
      </c>
      <c r="X34" s="61" t="s">
        <v>48</v>
      </c>
      <c r="Y34" s="1"/>
      <c r="Z34" s="1"/>
    </row>
    <row r="35" spans="1:26" ht="15.75" customHeight="1">
      <c r="A35" s="54"/>
      <c r="B35" s="167"/>
      <c r="C35" s="33"/>
      <c r="D35" s="55" t="s">
        <v>1058</v>
      </c>
      <c r="E35" s="55" t="s">
        <v>607</v>
      </c>
      <c r="F35" s="56" t="s">
        <v>1014</v>
      </c>
      <c r="G35" s="57" t="s">
        <v>1059</v>
      </c>
      <c r="H35" s="58">
        <v>18000</v>
      </c>
      <c r="I35" s="58">
        <f t="shared" si="0"/>
        <v>14000</v>
      </c>
      <c r="J35" s="58">
        <f t="shared" si="1"/>
        <v>381.81818181818181</v>
      </c>
      <c r="K35" s="58">
        <v>1300</v>
      </c>
      <c r="L35" s="59">
        <f t="shared" si="2"/>
        <v>1550</v>
      </c>
      <c r="M35" s="58">
        <f t="shared" si="3"/>
        <v>937.5</v>
      </c>
      <c r="N35" s="58">
        <f t="shared" si="4"/>
        <v>812.5</v>
      </c>
      <c r="O35" s="58">
        <f t="shared" si="5"/>
        <v>800</v>
      </c>
      <c r="P35" s="58">
        <f t="shared" si="6"/>
        <v>719.69696969696975</v>
      </c>
      <c r="Q35" s="60">
        <f t="shared" si="7"/>
        <v>1.3571428571428574</v>
      </c>
      <c r="R35" s="58">
        <f t="shared" si="8"/>
        <v>557.19696969696975</v>
      </c>
      <c r="S35" s="58">
        <f t="shared" si="9"/>
        <v>412.19696969696975</v>
      </c>
      <c r="T35" s="58">
        <f t="shared" si="10"/>
        <v>119.69696969696975</v>
      </c>
      <c r="U35" s="60">
        <f t="shared" si="11"/>
        <v>1.0507142857142859</v>
      </c>
      <c r="V35" s="60">
        <f t="shared" si="12"/>
        <v>0.77728571428571447</v>
      </c>
      <c r="W35" s="60">
        <f t="shared" si="13"/>
        <v>0.22571428571428584</v>
      </c>
      <c r="X35" s="61" t="s">
        <v>23</v>
      </c>
      <c r="Y35" s="1"/>
      <c r="Z35" s="1"/>
    </row>
    <row r="36" spans="1:26" ht="15.75" customHeight="1">
      <c r="A36" s="54"/>
      <c r="B36" s="167"/>
      <c r="C36" s="33"/>
      <c r="D36" s="55" t="s">
        <v>1060</v>
      </c>
      <c r="E36" s="55" t="s">
        <v>607</v>
      </c>
      <c r="F36" s="56" t="s">
        <v>1014</v>
      </c>
      <c r="G36" s="57" t="s">
        <v>1061</v>
      </c>
      <c r="H36" s="58">
        <v>15000</v>
      </c>
      <c r="I36" s="58">
        <f t="shared" si="0"/>
        <v>12600</v>
      </c>
      <c r="J36" s="58">
        <f t="shared" si="1"/>
        <v>424.24242424242425</v>
      </c>
      <c r="K36" s="58">
        <v>1300</v>
      </c>
      <c r="L36" s="59">
        <f t="shared" si="2"/>
        <v>1250</v>
      </c>
      <c r="M36" s="58">
        <f t="shared" si="3"/>
        <v>1162.5</v>
      </c>
      <c r="N36" s="58">
        <f t="shared" si="4"/>
        <v>1007.5</v>
      </c>
      <c r="O36" s="58">
        <f t="shared" si="5"/>
        <v>650</v>
      </c>
      <c r="P36" s="58">
        <f t="shared" si="6"/>
        <v>1168.1818181818182</v>
      </c>
      <c r="Q36" s="60">
        <f t="shared" si="7"/>
        <v>3.0595238095238098</v>
      </c>
      <c r="R36" s="58">
        <f t="shared" si="8"/>
        <v>555.68181818181824</v>
      </c>
      <c r="S36" s="58">
        <f t="shared" si="9"/>
        <v>430.68181818181819</v>
      </c>
      <c r="T36" s="58">
        <f t="shared" si="10"/>
        <v>418.18181818181819</v>
      </c>
      <c r="U36" s="60">
        <f t="shared" si="11"/>
        <v>1.455357142857143</v>
      </c>
      <c r="V36" s="60">
        <f t="shared" si="12"/>
        <v>1.1279761904761905</v>
      </c>
      <c r="W36" s="60">
        <f t="shared" si="13"/>
        <v>1.0952380952380953</v>
      </c>
      <c r="X36" s="61" t="s">
        <v>48</v>
      </c>
      <c r="Y36" s="1"/>
      <c r="Z36" s="1"/>
    </row>
    <row r="37" spans="1:26" ht="15.75" customHeight="1">
      <c r="A37" s="54"/>
      <c r="B37" s="167"/>
      <c r="C37" s="33"/>
      <c r="D37" s="55" t="s">
        <v>1060</v>
      </c>
      <c r="E37" s="55" t="s">
        <v>1062</v>
      </c>
      <c r="F37" s="56" t="s">
        <v>1014</v>
      </c>
      <c r="G37" s="57" t="s">
        <v>1063</v>
      </c>
      <c r="H37" s="58">
        <v>19000</v>
      </c>
      <c r="I37" s="58">
        <f t="shared" si="0"/>
        <v>10500</v>
      </c>
      <c r="J37" s="58">
        <f t="shared" si="1"/>
        <v>381.81818181818181</v>
      </c>
      <c r="K37" s="58">
        <v>1600</v>
      </c>
      <c r="L37" s="59">
        <f t="shared" si="2"/>
        <v>1250</v>
      </c>
      <c r="M37" s="58">
        <f t="shared" si="3"/>
        <v>937.5</v>
      </c>
      <c r="N37" s="58">
        <f t="shared" si="4"/>
        <v>812.5</v>
      </c>
      <c r="O37" s="58">
        <f t="shared" si="5"/>
        <v>650</v>
      </c>
      <c r="P37" s="58">
        <f t="shared" si="6"/>
        <v>825.75757575757575</v>
      </c>
      <c r="Q37" s="60">
        <f t="shared" si="7"/>
        <v>1.9464285714285714</v>
      </c>
      <c r="R37" s="58">
        <f t="shared" si="8"/>
        <v>738.25757575757575</v>
      </c>
      <c r="S37" s="58">
        <f t="shared" si="9"/>
        <v>583.25757575757575</v>
      </c>
      <c r="T37" s="58">
        <f t="shared" si="10"/>
        <v>225.75757575757575</v>
      </c>
      <c r="U37" s="60">
        <f t="shared" si="11"/>
        <v>1.7401785714285714</v>
      </c>
      <c r="V37" s="60">
        <f t="shared" si="12"/>
        <v>1.3748214285714286</v>
      </c>
      <c r="W37" s="60">
        <f t="shared" si="13"/>
        <v>0.53214285714285714</v>
      </c>
      <c r="X37" s="61" t="s">
        <v>48</v>
      </c>
      <c r="Y37" s="1"/>
      <c r="Z37" s="1"/>
    </row>
    <row r="38" spans="1:26" ht="15.75" customHeight="1">
      <c r="A38" s="54"/>
      <c r="B38" s="167"/>
      <c r="C38" s="33"/>
      <c r="D38" s="55" t="s">
        <v>1064</v>
      </c>
      <c r="E38" s="55" t="s">
        <v>607</v>
      </c>
      <c r="F38" s="56" t="s">
        <v>1055</v>
      </c>
      <c r="G38" s="57" t="s">
        <v>1065</v>
      </c>
      <c r="H38" s="58">
        <v>18000</v>
      </c>
      <c r="I38" s="58">
        <f t="shared" si="0"/>
        <v>13300</v>
      </c>
      <c r="J38" s="58">
        <f t="shared" si="1"/>
        <v>318.18181818181819</v>
      </c>
      <c r="K38" s="58">
        <v>1300</v>
      </c>
      <c r="L38" s="59">
        <f t="shared" si="2"/>
        <v>1550</v>
      </c>
      <c r="M38" s="58">
        <f t="shared" si="3"/>
        <v>937.5</v>
      </c>
      <c r="N38" s="58">
        <f t="shared" si="4"/>
        <v>812.5</v>
      </c>
      <c r="O38" s="58">
        <f t="shared" si="5"/>
        <v>800</v>
      </c>
      <c r="P38" s="58">
        <f t="shared" si="6"/>
        <v>868.18181818181824</v>
      </c>
      <c r="Q38" s="60">
        <f t="shared" si="7"/>
        <v>2.2738095238095242</v>
      </c>
      <c r="R38" s="58">
        <f t="shared" si="8"/>
        <v>555.68181818181824</v>
      </c>
      <c r="S38" s="58">
        <f t="shared" si="9"/>
        <v>430.68181818181819</v>
      </c>
      <c r="T38" s="58">
        <f t="shared" si="10"/>
        <v>268.18181818181819</v>
      </c>
      <c r="U38" s="60">
        <f t="shared" si="11"/>
        <v>1.455357142857143</v>
      </c>
      <c r="V38" s="60">
        <f t="shared" si="12"/>
        <v>1.1279761904761905</v>
      </c>
      <c r="W38" s="60">
        <f t="shared" si="13"/>
        <v>0.70238095238095244</v>
      </c>
      <c r="X38" s="61" t="s">
        <v>52</v>
      </c>
      <c r="Y38" s="1"/>
      <c r="Z38" s="1"/>
    </row>
    <row r="39" spans="1:26" ht="15.75" customHeight="1">
      <c r="A39" s="54"/>
      <c r="B39" s="167"/>
      <c r="C39" s="33"/>
      <c r="D39" s="65" t="s">
        <v>1064</v>
      </c>
      <c r="E39" s="65" t="s">
        <v>68</v>
      </c>
      <c r="F39" s="66" t="s">
        <v>1055</v>
      </c>
      <c r="G39" s="67" t="s">
        <v>1066</v>
      </c>
      <c r="H39" s="68">
        <v>20000</v>
      </c>
      <c r="I39" s="58">
        <f t="shared" si="0"/>
        <v>12600</v>
      </c>
      <c r="J39" s="58">
        <f t="shared" si="1"/>
        <v>403.030303030303</v>
      </c>
      <c r="K39" s="58">
        <v>1600</v>
      </c>
      <c r="L39" s="59">
        <f t="shared" si="2"/>
        <v>1250</v>
      </c>
      <c r="M39" s="58">
        <f t="shared" si="3"/>
        <v>1162.5</v>
      </c>
      <c r="N39" s="58">
        <f t="shared" si="4"/>
        <v>1007.5</v>
      </c>
      <c r="O39" s="58">
        <f t="shared" si="5"/>
        <v>650</v>
      </c>
      <c r="P39" s="58">
        <f t="shared" si="6"/>
        <v>1231.8181818181818</v>
      </c>
      <c r="Q39" s="60">
        <f t="shared" si="7"/>
        <v>3.871428571428571</v>
      </c>
      <c r="R39" s="58">
        <f t="shared" si="8"/>
        <v>619.31818181818176</v>
      </c>
      <c r="S39" s="58">
        <f t="shared" si="9"/>
        <v>494.31818181818181</v>
      </c>
      <c r="T39" s="58">
        <f t="shared" si="10"/>
        <v>481.81818181818181</v>
      </c>
      <c r="U39" s="60">
        <f t="shared" si="11"/>
        <v>1.9464285714285712</v>
      </c>
      <c r="V39" s="60">
        <f t="shared" si="12"/>
        <v>1.5535714285714286</v>
      </c>
      <c r="W39" s="60">
        <f t="shared" si="13"/>
        <v>1.5142857142857142</v>
      </c>
      <c r="X39" s="61"/>
      <c r="Y39" s="1"/>
      <c r="Z39" s="1"/>
    </row>
    <row r="40" spans="1:26" ht="15.75" customHeight="1">
      <c r="A40" s="54"/>
      <c r="B40" s="167"/>
      <c r="C40" s="33"/>
      <c r="D40" s="65" t="s">
        <v>1064</v>
      </c>
      <c r="E40" s="65" t="s">
        <v>465</v>
      </c>
      <c r="F40" s="66" t="s">
        <v>1055</v>
      </c>
      <c r="G40" s="67" t="s">
        <v>1067</v>
      </c>
      <c r="H40" s="68">
        <v>22000</v>
      </c>
      <c r="I40" s="58">
        <f t="shared" si="0"/>
        <v>14000</v>
      </c>
      <c r="J40" s="58">
        <f t="shared" si="1"/>
        <v>381.81818181818181</v>
      </c>
      <c r="K40" s="58">
        <v>1600</v>
      </c>
      <c r="L40" s="59">
        <f t="shared" si="2"/>
        <v>1550</v>
      </c>
      <c r="M40" s="58">
        <f t="shared" si="3"/>
        <v>937.5</v>
      </c>
      <c r="N40" s="58">
        <f t="shared" si="4"/>
        <v>812.5</v>
      </c>
      <c r="O40" s="58">
        <f t="shared" si="5"/>
        <v>800</v>
      </c>
      <c r="P40" s="58">
        <f t="shared" si="6"/>
        <v>846.969696969697</v>
      </c>
      <c r="Q40" s="60">
        <f t="shared" si="7"/>
        <v>2.1015037593984967</v>
      </c>
      <c r="R40" s="58">
        <f t="shared" si="8"/>
        <v>759.469696969697</v>
      </c>
      <c r="S40" s="58">
        <f t="shared" si="9"/>
        <v>604.469696969697</v>
      </c>
      <c r="T40" s="58">
        <f t="shared" si="10"/>
        <v>246.969696969697</v>
      </c>
      <c r="U40" s="60">
        <f t="shared" si="11"/>
        <v>1.8843984962406017</v>
      </c>
      <c r="V40" s="60">
        <f t="shared" si="12"/>
        <v>1.499812030075188</v>
      </c>
      <c r="W40" s="60">
        <f t="shared" si="13"/>
        <v>0.61278195488721821</v>
      </c>
      <c r="X40" s="61"/>
      <c r="Y40" s="1"/>
      <c r="Z40" s="1"/>
    </row>
    <row r="41" spans="1:26" ht="15.75" customHeight="1">
      <c r="A41" s="54"/>
      <c r="B41" s="167"/>
      <c r="C41" s="33"/>
      <c r="D41" s="65" t="s">
        <v>1068</v>
      </c>
      <c r="E41" s="65" t="s">
        <v>607</v>
      </c>
      <c r="F41" s="66" t="s">
        <v>1014</v>
      </c>
      <c r="G41" s="67" t="s">
        <v>1069</v>
      </c>
      <c r="H41" s="68">
        <v>15000</v>
      </c>
      <c r="I41" s="58">
        <f t="shared" si="0"/>
        <v>15399.999999999998</v>
      </c>
      <c r="J41" s="58">
        <f t="shared" si="1"/>
        <v>424.24242424242425</v>
      </c>
      <c r="K41" s="58">
        <v>1200</v>
      </c>
      <c r="L41" s="59">
        <f t="shared" si="2"/>
        <v>1550</v>
      </c>
      <c r="M41" s="58">
        <f t="shared" si="3"/>
        <v>1162.5</v>
      </c>
      <c r="N41" s="58">
        <f t="shared" si="4"/>
        <v>1007.5</v>
      </c>
      <c r="O41" s="58">
        <f t="shared" si="5"/>
        <v>800</v>
      </c>
      <c r="P41" s="58">
        <f t="shared" si="6"/>
        <v>1168.1818181818182</v>
      </c>
      <c r="Q41" s="60">
        <f t="shared" si="7"/>
        <v>3.0595238095238098</v>
      </c>
      <c r="R41" s="58">
        <f t="shared" si="8"/>
        <v>555.68181818181824</v>
      </c>
      <c r="S41" s="58">
        <f t="shared" si="9"/>
        <v>430.68181818181819</v>
      </c>
      <c r="T41" s="58">
        <f t="shared" si="10"/>
        <v>418.18181818181819</v>
      </c>
      <c r="U41" s="60">
        <f t="shared" si="11"/>
        <v>1.455357142857143</v>
      </c>
      <c r="V41" s="60">
        <f t="shared" si="12"/>
        <v>1.1279761904761905</v>
      </c>
      <c r="W41" s="60">
        <f t="shared" si="13"/>
        <v>1.0952380952380953</v>
      </c>
      <c r="X41" s="61"/>
      <c r="Y41" s="1"/>
      <c r="Z41" s="1"/>
    </row>
    <row r="42" spans="1:26" ht="15.75" customHeight="1">
      <c r="A42" s="54"/>
      <c r="B42" s="167"/>
      <c r="C42" s="33"/>
      <c r="D42" s="65" t="s">
        <v>1070</v>
      </c>
      <c r="E42" s="65" t="s">
        <v>607</v>
      </c>
      <c r="F42" s="56" t="s">
        <v>1055</v>
      </c>
      <c r="G42" s="57" t="s">
        <v>1071</v>
      </c>
      <c r="H42" s="58">
        <v>18000</v>
      </c>
      <c r="I42" s="58">
        <f t="shared" si="0"/>
        <v>10500</v>
      </c>
      <c r="J42" s="58">
        <f t="shared" si="1"/>
        <v>466.66666666666663</v>
      </c>
      <c r="K42" s="58">
        <v>1200</v>
      </c>
      <c r="L42" s="59">
        <f t="shared" si="2"/>
        <v>1150</v>
      </c>
      <c r="M42" s="58">
        <f t="shared" si="3"/>
        <v>1162.5</v>
      </c>
      <c r="N42" s="58">
        <f t="shared" si="4"/>
        <v>1007.5</v>
      </c>
      <c r="O42" s="58">
        <f t="shared" si="5"/>
        <v>600</v>
      </c>
      <c r="P42" s="58">
        <f t="shared" si="6"/>
        <v>1125.7575757575758</v>
      </c>
      <c r="Q42" s="60">
        <f t="shared" si="7"/>
        <v>2.6535714285714285</v>
      </c>
      <c r="R42" s="58">
        <f t="shared" si="8"/>
        <v>738.25757575757575</v>
      </c>
      <c r="S42" s="58">
        <f t="shared" si="9"/>
        <v>583.25757575757575</v>
      </c>
      <c r="T42" s="58">
        <f t="shared" si="10"/>
        <v>375.75757575757575</v>
      </c>
      <c r="U42" s="60">
        <f t="shared" si="11"/>
        <v>1.7401785714285714</v>
      </c>
      <c r="V42" s="60">
        <f t="shared" si="12"/>
        <v>1.3748214285714286</v>
      </c>
      <c r="W42" s="60">
        <f t="shared" si="13"/>
        <v>0.88571428571428568</v>
      </c>
      <c r="X42" s="61" t="s">
        <v>58</v>
      </c>
      <c r="Y42" s="1"/>
      <c r="Z42" s="1"/>
    </row>
    <row r="43" spans="1:26" ht="15.75" customHeight="1">
      <c r="A43" s="54"/>
      <c r="B43" s="167"/>
      <c r="C43" s="33"/>
      <c r="D43" s="55" t="s">
        <v>322</v>
      </c>
      <c r="E43" s="55" t="s">
        <v>607</v>
      </c>
      <c r="F43" s="56" t="s">
        <v>1014</v>
      </c>
      <c r="G43" s="57" t="s">
        <v>1072</v>
      </c>
      <c r="H43" s="58">
        <v>18000</v>
      </c>
      <c r="I43" s="58">
        <f t="shared" si="0"/>
        <v>12600</v>
      </c>
      <c r="J43" s="58">
        <f t="shared" si="1"/>
        <v>318.18181818181819</v>
      </c>
      <c r="K43" s="58">
        <v>1200</v>
      </c>
      <c r="L43" s="59">
        <f t="shared" si="2"/>
        <v>1150</v>
      </c>
      <c r="M43" s="58">
        <f t="shared" si="3"/>
        <v>862.5</v>
      </c>
      <c r="N43" s="58">
        <f t="shared" si="4"/>
        <v>747.5</v>
      </c>
      <c r="O43" s="58">
        <f t="shared" si="5"/>
        <v>600</v>
      </c>
      <c r="P43" s="58">
        <f t="shared" si="6"/>
        <v>683.33333333333337</v>
      </c>
      <c r="Q43" s="60">
        <f t="shared" si="7"/>
        <v>1.4642857142857144</v>
      </c>
      <c r="R43" s="58">
        <f t="shared" si="8"/>
        <v>695.83333333333337</v>
      </c>
      <c r="S43" s="58">
        <f t="shared" si="9"/>
        <v>540.83333333333337</v>
      </c>
      <c r="T43" s="58">
        <f t="shared" si="10"/>
        <v>133.33333333333337</v>
      </c>
      <c r="U43" s="60">
        <f t="shared" si="11"/>
        <v>1.4910714285714288</v>
      </c>
      <c r="V43" s="60">
        <f t="shared" si="12"/>
        <v>1.1589285714285715</v>
      </c>
      <c r="W43" s="60">
        <f t="shared" si="13"/>
        <v>0.28571428571428581</v>
      </c>
      <c r="X43" s="61" t="s">
        <v>59</v>
      </c>
      <c r="Y43" s="1"/>
      <c r="Z43" s="1"/>
    </row>
    <row r="44" spans="1:26" ht="15.75" customHeight="1">
      <c r="A44" s="54"/>
      <c r="B44" s="167"/>
      <c r="C44" s="33"/>
      <c r="D44" s="65" t="s">
        <v>322</v>
      </c>
      <c r="E44" s="65" t="s">
        <v>1042</v>
      </c>
      <c r="F44" s="56" t="s">
        <v>1014</v>
      </c>
      <c r="G44" s="57" t="s">
        <v>1073</v>
      </c>
      <c r="H44" s="58">
        <v>25000</v>
      </c>
      <c r="I44" s="58">
        <f t="shared" si="0"/>
        <v>12600</v>
      </c>
      <c r="J44" s="58">
        <f t="shared" si="1"/>
        <v>381.81818181818181</v>
      </c>
      <c r="K44" s="58">
        <v>1500</v>
      </c>
      <c r="L44" s="59">
        <f t="shared" si="2"/>
        <v>1150</v>
      </c>
      <c r="M44" s="58">
        <f t="shared" si="3"/>
        <v>862.5</v>
      </c>
      <c r="N44" s="58">
        <f t="shared" si="4"/>
        <v>747.5</v>
      </c>
      <c r="O44" s="58">
        <f t="shared" si="5"/>
        <v>600</v>
      </c>
      <c r="P44" s="58">
        <f t="shared" si="6"/>
        <v>831.81818181818176</v>
      </c>
      <c r="Q44" s="60">
        <f t="shared" si="7"/>
        <v>2.6142857142857139</v>
      </c>
      <c r="R44" s="58">
        <f t="shared" si="8"/>
        <v>544.31818181818176</v>
      </c>
      <c r="S44" s="58">
        <f t="shared" si="9"/>
        <v>429.31818181818181</v>
      </c>
      <c r="T44" s="58">
        <f t="shared" si="10"/>
        <v>281.81818181818181</v>
      </c>
      <c r="U44" s="60">
        <f t="shared" si="11"/>
        <v>1.7107142857142854</v>
      </c>
      <c r="V44" s="60">
        <f t="shared" si="12"/>
        <v>1.3492857142857142</v>
      </c>
      <c r="W44" s="60">
        <f t="shared" si="13"/>
        <v>0.88571428571428568</v>
      </c>
      <c r="X44" s="61"/>
      <c r="Y44" s="1"/>
      <c r="Z44" s="1"/>
    </row>
    <row r="45" spans="1:26" ht="15.75" customHeight="1">
      <c r="A45" s="54"/>
      <c r="B45" s="167"/>
      <c r="C45" s="33"/>
      <c r="D45" s="55" t="s">
        <v>1074</v>
      </c>
      <c r="E45" s="55" t="s">
        <v>68</v>
      </c>
      <c r="F45" s="56" t="s">
        <v>1014</v>
      </c>
      <c r="G45" s="57" t="s">
        <v>1075</v>
      </c>
      <c r="H45" s="58">
        <v>18000</v>
      </c>
      <c r="I45" s="58">
        <f t="shared" si="0"/>
        <v>17500</v>
      </c>
      <c r="J45" s="58">
        <f t="shared" si="1"/>
        <v>381.81818181818181</v>
      </c>
      <c r="K45" s="58">
        <v>1500</v>
      </c>
      <c r="L45" s="59">
        <f t="shared" si="2"/>
        <v>1450</v>
      </c>
      <c r="M45" s="58">
        <f t="shared" si="3"/>
        <v>862.5</v>
      </c>
      <c r="N45" s="58">
        <f t="shared" si="4"/>
        <v>747.5</v>
      </c>
      <c r="O45" s="58">
        <f t="shared" si="5"/>
        <v>750</v>
      </c>
      <c r="P45" s="58">
        <f t="shared" si="6"/>
        <v>768.18181818181824</v>
      </c>
      <c r="Q45" s="60">
        <f t="shared" si="7"/>
        <v>2.0119047619047623</v>
      </c>
      <c r="R45" s="58">
        <f t="shared" si="8"/>
        <v>480.68181818181819</v>
      </c>
      <c r="S45" s="58">
        <f t="shared" si="9"/>
        <v>365.68181818181819</v>
      </c>
      <c r="T45" s="58">
        <f t="shared" si="10"/>
        <v>218.18181818181819</v>
      </c>
      <c r="U45" s="60">
        <f t="shared" si="11"/>
        <v>1.2589285714285714</v>
      </c>
      <c r="V45" s="60">
        <f t="shared" si="12"/>
        <v>0.95773809523809528</v>
      </c>
      <c r="W45" s="60">
        <f t="shared" si="13"/>
        <v>0.5714285714285714</v>
      </c>
      <c r="X45" s="61"/>
      <c r="Y45" s="1"/>
      <c r="Z45" s="1"/>
    </row>
    <row r="46" spans="1:26" ht="15.75" customHeight="1">
      <c r="A46" s="54"/>
      <c r="B46" s="167"/>
      <c r="C46" s="33"/>
      <c r="D46" s="55" t="s">
        <v>1076</v>
      </c>
      <c r="E46" s="55" t="s">
        <v>68</v>
      </c>
      <c r="F46" s="56" t="s">
        <v>1014</v>
      </c>
      <c r="G46" s="57" t="s">
        <v>1077</v>
      </c>
      <c r="H46" s="58">
        <v>18000</v>
      </c>
      <c r="I46" s="58">
        <f t="shared" si="0"/>
        <v>12600</v>
      </c>
      <c r="J46" s="58">
        <f t="shared" si="1"/>
        <v>530.30303030303025</v>
      </c>
      <c r="K46" s="58">
        <v>1500</v>
      </c>
      <c r="L46" s="59">
        <f t="shared" si="2"/>
        <v>1450</v>
      </c>
      <c r="M46" s="58">
        <f t="shared" si="3"/>
        <v>1087.5</v>
      </c>
      <c r="N46" s="58">
        <f t="shared" si="4"/>
        <v>942.5</v>
      </c>
      <c r="O46" s="58">
        <f t="shared" si="5"/>
        <v>750</v>
      </c>
      <c r="P46" s="58">
        <f t="shared" si="6"/>
        <v>1068.1818181818182</v>
      </c>
      <c r="Q46" s="60">
        <f t="shared" si="7"/>
        <v>2.7976190476190479</v>
      </c>
      <c r="R46" s="58">
        <f t="shared" si="8"/>
        <v>480.68181818181819</v>
      </c>
      <c r="S46" s="58">
        <f t="shared" si="9"/>
        <v>365.68181818181819</v>
      </c>
      <c r="T46" s="58">
        <f t="shared" si="10"/>
        <v>368.18181818181819</v>
      </c>
      <c r="U46" s="60">
        <f t="shared" si="11"/>
        <v>1.2589285714285714</v>
      </c>
      <c r="V46" s="60">
        <f t="shared" si="12"/>
        <v>0.95773809523809528</v>
      </c>
      <c r="W46" s="60">
        <f t="shared" si="13"/>
        <v>0.9642857142857143</v>
      </c>
      <c r="X46" s="61" t="s">
        <v>48</v>
      </c>
      <c r="Y46" s="1"/>
      <c r="Z46" s="1"/>
    </row>
    <row r="47" spans="1:26" ht="15.75" customHeight="1">
      <c r="A47" s="54"/>
      <c r="B47" s="167"/>
      <c r="C47" s="33"/>
      <c r="D47" s="55" t="s">
        <v>1078</v>
      </c>
      <c r="E47" s="55" t="s">
        <v>607</v>
      </c>
      <c r="F47" s="56" t="s">
        <v>1014</v>
      </c>
      <c r="G47" s="57" t="s">
        <v>1079</v>
      </c>
      <c r="H47" s="58">
        <v>15000</v>
      </c>
      <c r="I47" s="58">
        <f t="shared" si="0"/>
        <v>12600</v>
      </c>
      <c r="J47" s="58">
        <f t="shared" si="1"/>
        <v>381.81818181818181</v>
      </c>
      <c r="K47" s="58">
        <v>1200</v>
      </c>
      <c r="L47" s="59">
        <f t="shared" si="2"/>
        <v>1450</v>
      </c>
      <c r="M47" s="58">
        <f t="shared" si="3"/>
        <v>1087.5</v>
      </c>
      <c r="N47" s="58">
        <f t="shared" si="4"/>
        <v>942.5</v>
      </c>
      <c r="O47" s="58">
        <f t="shared" si="5"/>
        <v>750</v>
      </c>
      <c r="P47" s="58">
        <f t="shared" si="6"/>
        <v>919.69696969696975</v>
      </c>
      <c r="Q47" s="60">
        <f t="shared" si="7"/>
        <v>1.7342857142857144</v>
      </c>
      <c r="R47" s="58">
        <f t="shared" si="8"/>
        <v>557.19696969696975</v>
      </c>
      <c r="S47" s="58">
        <f t="shared" si="9"/>
        <v>412.19696969696975</v>
      </c>
      <c r="T47" s="58">
        <f t="shared" si="10"/>
        <v>219.69696969696975</v>
      </c>
      <c r="U47" s="60">
        <f t="shared" si="11"/>
        <v>1.0507142857142859</v>
      </c>
      <c r="V47" s="60">
        <f t="shared" si="12"/>
        <v>0.77728571428571447</v>
      </c>
      <c r="W47" s="60">
        <f t="shared" si="13"/>
        <v>0.41428571428571442</v>
      </c>
      <c r="X47" s="61" t="s">
        <v>62</v>
      </c>
      <c r="Y47" s="1"/>
      <c r="Z47" s="1"/>
    </row>
    <row r="48" spans="1:26" ht="15.75" customHeight="1">
      <c r="A48" s="54"/>
      <c r="B48" s="161"/>
      <c r="C48" s="69"/>
      <c r="D48" s="55" t="s">
        <v>1078</v>
      </c>
      <c r="E48" s="55" t="s">
        <v>225</v>
      </c>
      <c r="F48" s="56" t="s">
        <v>1014</v>
      </c>
      <c r="G48" s="57" t="s">
        <v>1080</v>
      </c>
      <c r="H48" s="58">
        <v>20000</v>
      </c>
      <c r="I48" s="58">
        <f t="shared" si="0"/>
        <v>10500</v>
      </c>
      <c r="J48" s="58">
        <f t="shared" si="1"/>
        <v>381.81818181818181</v>
      </c>
      <c r="K48" s="58">
        <v>1500</v>
      </c>
      <c r="L48" s="59">
        <f t="shared" si="2"/>
        <v>1150</v>
      </c>
      <c r="M48" s="58">
        <f t="shared" si="3"/>
        <v>1087.5</v>
      </c>
      <c r="N48" s="58">
        <f t="shared" si="4"/>
        <v>942.5</v>
      </c>
      <c r="O48" s="58">
        <f t="shared" si="5"/>
        <v>600</v>
      </c>
      <c r="P48" s="58">
        <f t="shared" si="6"/>
        <v>1068.1818181818182</v>
      </c>
      <c r="Q48" s="60">
        <f t="shared" si="7"/>
        <v>2.7976190476190479</v>
      </c>
      <c r="R48" s="58">
        <f t="shared" si="8"/>
        <v>705.68181818181824</v>
      </c>
      <c r="S48" s="58">
        <f t="shared" si="9"/>
        <v>560.68181818181824</v>
      </c>
      <c r="T48" s="58">
        <f t="shared" si="10"/>
        <v>368.18181818181819</v>
      </c>
      <c r="U48" s="60">
        <f t="shared" si="11"/>
        <v>1.8482142857142858</v>
      </c>
      <c r="V48" s="60">
        <f t="shared" si="12"/>
        <v>1.4684523809523811</v>
      </c>
      <c r="W48" s="60">
        <f t="shared" si="13"/>
        <v>0.9642857142857143</v>
      </c>
      <c r="X48" s="61" t="s">
        <v>47</v>
      </c>
      <c r="Y48" s="1"/>
      <c r="Z48" s="1"/>
    </row>
    <row r="49" spans="1:26" ht="15.75" customHeight="1">
      <c r="A49" s="54"/>
      <c r="B49" s="162"/>
      <c r="C49" s="33"/>
      <c r="D49" s="55" t="s">
        <v>1082</v>
      </c>
      <c r="E49" s="55" t="s">
        <v>607</v>
      </c>
      <c r="F49" s="56" t="s">
        <v>1007</v>
      </c>
      <c r="G49" s="57" t="s">
        <v>1083</v>
      </c>
      <c r="H49" s="58">
        <v>15000</v>
      </c>
      <c r="I49" s="58">
        <f t="shared" si="0"/>
        <v>14000</v>
      </c>
      <c r="J49" s="58">
        <f t="shared" si="1"/>
        <v>318.18181818181819</v>
      </c>
      <c r="K49" s="58">
        <v>1200</v>
      </c>
      <c r="L49" s="59">
        <f t="shared" si="2"/>
        <v>1450</v>
      </c>
      <c r="M49" s="58">
        <f t="shared" si="3"/>
        <v>862.5</v>
      </c>
      <c r="N49" s="58">
        <f t="shared" si="4"/>
        <v>747.5</v>
      </c>
      <c r="O49" s="58">
        <f t="shared" si="5"/>
        <v>750</v>
      </c>
      <c r="P49" s="58">
        <f t="shared" si="6"/>
        <v>768.18181818181824</v>
      </c>
      <c r="Q49" s="60">
        <f t="shared" si="7"/>
        <v>2.0119047619047623</v>
      </c>
      <c r="R49" s="58">
        <f t="shared" si="8"/>
        <v>705.68181818181824</v>
      </c>
      <c r="S49" s="58">
        <f t="shared" si="9"/>
        <v>560.68181818181824</v>
      </c>
      <c r="T49" s="58">
        <f t="shared" si="10"/>
        <v>218.18181818181819</v>
      </c>
      <c r="U49" s="60">
        <f t="shared" si="11"/>
        <v>1.8482142857142858</v>
      </c>
      <c r="V49" s="60">
        <f t="shared" si="12"/>
        <v>1.4684523809523811</v>
      </c>
      <c r="W49" s="60">
        <f t="shared" si="13"/>
        <v>0.5714285714285714</v>
      </c>
      <c r="X49" s="61" t="s">
        <v>64</v>
      </c>
      <c r="Y49" s="1"/>
      <c r="Z49" s="1"/>
    </row>
    <row r="50" spans="1:26" ht="15.75" customHeight="1">
      <c r="A50" s="54"/>
      <c r="B50" s="162"/>
      <c r="C50" s="33"/>
      <c r="D50" s="55" t="s">
        <v>1084</v>
      </c>
      <c r="E50" s="55" t="s">
        <v>607</v>
      </c>
      <c r="F50" s="56" t="s">
        <v>1007</v>
      </c>
      <c r="G50" s="57" t="s">
        <v>1085</v>
      </c>
      <c r="H50" s="58">
        <v>15000</v>
      </c>
      <c r="I50" s="58">
        <f t="shared" si="0"/>
        <v>10500</v>
      </c>
      <c r="J50" s="58">
        <f t="shared" si="1"/>
        <v>424.24242424242425</v>
      </c>
      <c r="K50" s="58">
        <v>1200</v>
      </c>
      <c r="L50" s="59">
        <f t="shared" si="2"/>
        <v>1150</v>
      </c>
      <c r="M50" s="58">
        <f t="shared" si="3"/>
        <v>1087.5</v>
      </c>
      <c r="N50" s="58">
        <f t="shared" si="4"/>
        <v>942.5</v>
      </c>
      <c r="O50" s="58">
        <f t="shared" si="5"/>
        <v>600</v>
      </c>
      <c r="P50" s="58">
        <f t="shared" si="6"/>
        <v>1131.8181818181818</v>
      </c>
      <c r="Q50" s="60">
        <f t="shared" si="7"/>
        <v>3.5571428571428569</v>
      </c>
      <c r="R50" s="58">
        <f t="shared" si="8"/>
        <v>544.31818181818176</v>
      </c>
      <c r="S50" s="58">
        <f t="shared" si="9"/>
        <v>429.31818181818181</v>
      </c>
      <c r="T50" s="58">
        <f t="shared" si="10"/>
        <v>431.81818181818181</v>
      </c>
      <c r="U50" s="60">
        <f t="shared" si="11"/>
        <v>1.7107142857142854</v>
      </c>
      <c r="V50" s="60">
        <f t="shared" si="12"/>
        <v>1.3492857142857142</v>
      </c>
      <c r="W50" s="60">
        <f t="shared" si="13"/>
        <v>1.3571428571428572</v>
      </c>
      <c r="X50" s="61" t="s">
        <v>64</v>
      </c>
      <c r="Y50" s="1"/>
      <c r="Z50" s="1"/>
    </row>
    <row r="51" spans="1:26" ht="15.75" customHeight="1">
      <c r="A51" s="54"/>
      <c r="B51" s="162"/>
      <c r="C51" s="33"/>
      <c r="D51" s="55" t="s">
        <v>1086</v>
      </c>
      <c r="E51" s="55" t="s">
        <v>68</v>
      </c>
      <c r="F51" s="56" t="s">
        <v>1014</v>
      </c>
      <c r="G51" s="57" t="s">
        <v>1087</v>
      </c>
      <c r="H51" s="58">
        <v>18000</v>
      </c>
      <c r="I51" s="58">
        <f t="shared" si="0"/>
        <v>10500</v>
      </c>
      <c r="J51" s="58">
        <f t="shared" si="1"/>
        <v>318.18181818181819</v>
      </c>
      <c r="K51" s="58">
        <v>1500</v>
      </c>
      <c r="L51" s="59">
        <f t="shared" si="2"/>
        <v>1150</v>
      </c>
      <c r="M51" s="58">
        <f t="shared" si="3"/>
        <v>862.5</v>
      </c>
      <c r="N51" s="58">
        <f t="shared" si="4"/>
        <v>747.5</v>
      </c>
      <c r="O51" s="58">
        <f t="shared" si="5"/>
        <v>600</v>
      </c>
      <c r="P51" s="58">
        <f t="shared" si="6"/>
        <v>725.75757575757575</v>
      </c>
      <c r="Q51" s="60">
        <f t="shared" si="7"/>
        <v>1.7107142857142856</v>
      </c>
      <c r="R51" s="58">
        <f t="shared" si="8"/>
        <v>663.25757575757575</v>
      </c>
      <c r="S51" s="58">
        <f t="shared" si="9"/>
        <v>518.25757575757575</v>
      </c>
      <c r="T51" s="58">
        <f t="shared" si="10"/>
        <v>175.75757575757575</v>
      </c>
      <c r="U51" s="60">
        <f t="shared" si="11"/>
        <v>1.563392857142857</v>
      </c>
      <c r="V51" s="60">
        <f t="shared" si="12"/>
        <v>1.2216071428571429</v>
      </c>
      <c r="W51" s="60">
        <f t="shared" si="13"/>
        <v>0.41428571428571426</v>
      </c>
      <c r="X51" s="61" t="s">
        <v>21</v>
      </c>
      <c r="Y51" s="1"/>
      <c r="Z51" s="1"/>
    </row>
    <row r="52" spans="1:26" ht="15.75" customHeight="1">
      <c r="A52" s="54"/>
      <c r="B52" s="162"/>
      <c r="C52" s="33"/>
      <c r="D52" s="55" t="s">
        <v>755</v>
      </c>
      <c r="E52" s="55" t="s">
        <v>607</v>
      </c>
      <c r="F52" s="56" t="s">
        <v>1014</v>
      </c>
      <c r="G52" s="57" t="s">
        <v>1088</v>
      </c>
      <c r="H52" s="58">
        <v>15000</v>
      </c>
      <c r="I52" s="58">
        <f t="shared" si="0"/>
        <v>12600</v>
      </c>
      <c r="J52" s="58">
        <f t="shared" si="1"/>
        <v>318.18181818181819</v>
      </c>
      <c r="K52" s="58">
        <v>1200</v>
      </c>
      <c r="L52" s="59">
        <f t="shared" si="2"/>
        <v>1450</v>
      </c>
      <c r="M52" s="58">
        <f t="shared" si="3"/>
        <v>862.5</v>
      </c>
      <c r="N52" s="58">
        <f t="shared" si="4"/>
        <v>747.5</v>
      </c>
      <c r="O52" s="58">
        <f t="shared" si="5"/>
        <v>750</v>
      </c>
      <c r="P52" s="58">
        <f t="shared" si="6"/>
        <v>831.81818181818176</v>
      </c>
      <c r="Q52" s="60">
        <f t="shared" si="7"/>
        <v>2.6142857142857139</v>
      </c>
      <c r="R52" s="58">
        <f t="shared" si="8"/>
        <v>544.31818181818176</v>
      </c>
      <c r="S52" s="58">
        <f t="shared" si="9"/>
        <v>429.31818181818181</v>
      </c>
      <c r="T52" s="58">
        <f t="shared" si="10"/>
        <v>281.81818181818181</v>
      </c>
      <c r="U52" s="60">
        <f t="shared" si="11"/>
        <v>1.7107142857142854</v>
      </c>
      <c r="V52" s="60">
        <f t="shared" si="12"/>
        <v>1.3492857142857142</v>
      </c>
      <c r="W52" s="60">
        <f t="shared" si="13"/>
        <v>0.88571428571428568</v>
      </c>
      <c r="X52" s="61" t="s">
        <v>71</v>
      </c>
      <c r="Y52" s="1"/>
      <c r="Z52" s="1"/>
    </row>
    <row r="53" spans="1:26" ht="15.75" customHeight="1">
      <c r="A53" s="54"/>
      <c r="B53" s="162"/>
      <c r="C53" s="33"/>
      <c r="D53" s="55" t="s">
        <v>755</v>
      </c>
      <c r="E53" s="55" t="s">
        <v>68</v>
      </c>
      <c r="F53" s="56" t="s">
        <v>1014</v>
      </c>
      <c r="G53" s="57" t="s">
        <v>1089</v>
      </c>
      <c r="H53" s="58">
        <v>20000</v>
      </c>
      <c r="I53" s="58">
        <f t="shared" si="0"/>
        <v>10500</v>
      </c>
      <c r="J53" s="58">
        <f t="shared" si="1"/>
        <v>381.81818181818181</v>
      </c>
      <c r="K53" s="58">
        <v>1500</v>
      </c>
      <c r="L53" s="59">
        <f t="shared" si="2"/>
        <v>1150</v>
      </c>
      <c r="M53" s="58">
        <f t="shared" si="3"/>
        <v>1087.5</v>
      </c>
      <c r="N53" s="58">
        <f t="shared" si="4"/>
        <v>942.5</v>
      </c>
      <c r="O53" s="58">
        <f t="shared" si="5"/>
        <v>600</v>
      </c>
      <c r="P53" s="58">
        <f t="shared" si="6"/>
        <v>1131.8181818181818</v>
      </c>
      <c r="Q53" s="60">
        <f t="shared" si="7"/>
        <v>3.5571428571428569</v>
      </c>
      <c r="R53" s="58">
        <f t="shared" si="8"/>
        <v>544.31818181818176</v>
      </c>
      <c r="S53" s="58">
        <f t="shared" si="9"/>
        <v>429.31818181818181</v>
      </c>
      <c r="T53" s="58">
        <f t="shared" si="10"/>
        <v>431.81818181818181</v>
      </c>
      <c r="U53" s="60">
        <f t="shared" si="11"/>
        <v>1.7107142857142854</v>
      </c>
      <c r="V53" s="60">
        <f t="shared" si="12"/>
        <v>1.3492857142857142</v>
      </c>
      <c r="W53" s="60">
        <f t="shared" si="13"/>
        <v>1.3571428571428572</v>
      </c>
      <c r="X53" s="61" t="s">
        <v>71</v>
      </c>
      <c r="Y53" s="1"/>
      <c r="Z53" s="1"/>
    </row>
    <row r="54" spans="1:26" ht="15.75" customHeight="1">
      <c r="A54" s="54"/>
      <c r="B54" s="162"/>
      <c r="C54" s="33"/>
      <c r="D54" s="55" t="s">
        <v>765</v>
      </c>
      <c r="E54" s="55" t="s">
        <v>607</v>
      </c>
      <c r="F54" s="56" t="s">
        <v>1007</v>
      </c>
      <c r="G54" s="57" t="s">
        <v>1090</v>
      </c>
      <c r="H54" s="58">
        <v>12000</v>
      </c>
      <c r="I54" s="58">
        <f t="shared" si="0"/>
        <v>14000</v>
      </c>
      <c r="J54" s="58">
        <f t="shared" si="1"/>
        <v>318.18181818181819</v>
      </c>
      <c r="K54" s="58">
        <v>1000</v>
      </c>
      <c r="L54" s="59">
        <f t="shared" si="2"/>
        <v>1450</v>
      </c>
      <c r="M54" s="58">
        <f t="shared" si="3"/>
        <v>862.5</v>
      </c>
      <c r="N54" s="58">
        <f t="shared" si="4"/>
        <v>747.5</v>
      </c>
      <c r="O54" s="58">
        <f t="shared" si="5"/>
        <v>750</v>
      </c>
      <c r="P54" s="58">
        <f t="shared" si="6"/>
        <v>768.18181818181824</v>
      </c>
      <c r="Q54" s="60">
        <f t="shared" si="7"/>
        <v>2.0119047619047623</v>
      </c>
      <c r="R54" s="58">
        <f t="shared" si="8"/>
        <v>705.68181818181824</v>
      </c>
      <c r="S54" s="58">
        <f t="shared" si="9"/>
        <v>560.68181818181824</v>
      </c>
      <c r="T54" s="58">
        <f t="shared" si="10"/>
        <v>218.18181818181819</v>
      </c>
      <c r="U54" s="60">
        <f t="shared" si="11"/>
        <v>1.8482142857142858</v>
      </c>
      <c r="V54" s="60">
        <f t="shared" si="12"/>
        <v>1.4684523809523811</v>
      </c>
      <c r="W54" s="60">
        <f t="shared" si="13"/>
        <v>0.5714285714285714</v>
      </c>
      <c r="X54" s="61" t="s">
        <v>73</v>
      </c>
      <c r="Y54" s="1"/>
      <c r="Z54" s="1"/>
    </row>
    <row r="55" spans="1:26" ht="15.75" customHeight="1">
      <c r="A55" s="54"/>
      <c r="B55" s="162"/>
      <c r="C55" s="33"/>
      <c r="D55" s="55" t="s">
        <v>765</v>
      </c>
      <c r="E55" s="55" t="s">
        <v>1091</v>
      </c>
      <c r="F55" s="56" t="s">
        <v>1007</v>
      </c>
      <c r="G55" s="57" t="s">
        <v>1092</v>
      </c>
      <c r="H55" s="58">
        <v>14500</v>
      </c>
      <c r="I55" s="58">
        <f t="shared" si="0"/>
        <v>8400</v>
      </c>
      <c r="J55" s="58">
        <f t="shared" si="1"/>
        <v>424.24242424242425</v>
      </c>
      <c r="K55" s="58">
        <v>1300</v>
      </c>
      <c r="L55" s="59">
        <f t="shared" si="2"/>
        <v>950</v>
      </c>
      <c r="M55" s="58">
        <f t="shared" si="3"/>
        <v>1087.5</v>
      </c>
      <c r="N55" s="58">
        <f t="shared" si="4"/>
        <v>942.5</v>
      </c>
      <c r="O55" s="58">
        <f t="shared" si="5"/>
        <v>500</v>
      </c>
      <c r="P55" s="58">
        <f t="shared" si="6"/>
        <v>1131.8181818181818</v>
      </c>
      <c r="Q55" s="60">
        <f t="shared" si="7"/>
        <v>3.5571428571428569</v>
      </c>
      <c r="R55" s="58">
        <f t="shared" si="8"/>
        <v>544.31818181818176</v>
      </c>
      <c r="S55" s="58">
        <f t="shared" si="9"/>
        <v>429.31818181818181</v>
      </c>
      <c r="T55" s="58">
        <f t="shared" si="10"/>
        <v>431.81818181818181</v>
      </c>
      <c r="U55" s="60">
        <f t="shared" si="11"/>
        <v>1.7107142857142854</v>
      </c>
      <c r="V55" s="60">
        <f t="shared" si="12"/>
        <v>1.3492857142857142</v>
      </c>
      <c r="W55" s="60">
        <f t="shared" si="13"/>
        <v>1.3571428571428572</v>
      </c>
      <c r="X55" s="61" t="s">
        <v>73</v>
      </c>
      <c r="Y55" s="1"/>
      <c r="Z55" s="1"/>
    </row>
    <row r="56" spans="1:26" ht="15.75" customHeight="1">
      <c r="A56" s="54"/>
      <c r="B56" s="162"/>
      <c r="C56" s="33"/>
      <c r="D56" s="55" t="s">
        <v>1093</v>
      </c>
      <c r="E56" s="55" t="s">
        <v>607</v>
      </c>
      <c r="F56" s="56" t="s">
        <v>1055</v>
      </c>
      <c r="G56" s="57" t="s">
        <v>1094</v>
      </c>
      <c r="H56" s="58">
        <v>18000</v>
      </c>
      <c r="I56" s="58">
        <f t="shared" si="0"/>
        <v>10150</v>
      </c>
      <c r="J56" s="58">
        <f t="shared" si="1"/>
        <v>254.54545454545453</v>
      </c>
      <c r="K56" s="58">
        <v>1300</v>
      </c>
      <c r="L56" s="59">
        <f t="shared" si="2"/>
        <v>1250</v>
      </c>
      <c r="M56" s="58">
        <f t="shared" si="3"/>
        <v>712.5</v>
      </c>
      <c r="N56" s="58">
        <f t="shared" si="4"/>
        <v>617.5</v>
      </c>
      <c r="O56" s="58">
        <f t="shared" si="5"/>
        <v>650</v>
      </c>
      <c r="P56" s="58">
        <f t="shared" si="6"/>
        <v>525.75757575757575</v>
      </c>
      <c r="Q56" s="60">
        <f t="shared" si="7"/>
        <v>1.2392857142857143</v>
      </c>
      <c r="R56" s="58">
        <f t="shared" si="8"/>
        <v>663.25757575757575</v>
      </c>
      <c r="S56" s="58">
        <f t="shared" si="9"/>
        <v>518.25757575757575</v>
      </c>
      <c r="T56" s="58">
        <f t="shared" si="10"/>
        <v>75.757575757575751</v>
      </c>
      <c r="U56" s="60">
        <f t="shared" si="11"/>
        <v>1.563392857142857</v>
      </c>
      <c r="V56" s="60">
        <f t="shared" si="12"/>
        <v>1.2216071428571429</v>
      </c>
      <c r="W56" s="60">
        <f t="shared" si="13"/>
        <v>0.17857142857142855</v>
      </c>
      <c r="X56" s="61" t="s">
        <v>75</v>
      </c>
      <c r="Y56" s="1"/>
      <c r="Z56" s="1"/>
    </row>
    <row r="57" spans="1:26" ht="15.75" customHeight="1">
      <c r="A57" s="54"/>
      <c r="B57" s="162"/>
      <c r="C57" s="33"/>
      <c r="D57" s="55" t="s">
        <v>1093</v>
      </c>
      <c r="E57" s="55" t="s">
        <v>68</v>
      </c>
      <c r="F57" s="56" t="s">
        <v>1055</v>
      </c>
      <c r="G57" s="57" t="s">
        <v>1095</v>
      </c>
      <c r="H57" s="58">
        <v>22000</v>
      </c>
      <c r="I57" s="58">
        <f t="shared" si="0"/>
        <v>12600</v>
      </c>
      <c r="J57" s="58">
        <f t="shared" si="1"/>
        <v>307.57575757575756</v>
      </c>
      <c r="K57" s="58">
        <v>1600</v>
      </c>
      <c r="L57" s="59">
        <f t="shared" si="2"/>
        <v>1250</v>
      </c>
      <c r="M57" s="58">
        <f t="shared" si="3"/>
        <v>937.5</v>
      </c>
      <c r="N57" s="58">
        <f t="shared" si="4"/>
        <v>812.5</v>
      </c>
      <c r="O57" s="58">
        <f t="shared" si="5"/>
        <v>650</v>
      </c>
      <c r="P57" s="58">
        <f t="shared" si="6"/>
        <v>995.4545454545455</v>
      </c>
      <c r="Q57" s="60">
        <f t="shared" si="7"/>
        <v>3.910714285714286</v>
      </c>
      <c r="R57" s="58">
        <f t="shared" si="8"/>
        <v>457.9545454545455</v>
      </c>
      <c r="S57" s="58">
        <f t="shared" si="9"/>
        <v>362.9545454545455</v>
      </c>
      <c r="T57" s="58">
        <f t="shared" si="10"/>
        <v>395.4545454545455</v>
      </c>
      <c r="U57" s="60">
        <f t="shared" si="11"/>
        <v>1.799107142857143</v>
      </c>
      <c r="V57" s="60">
        <f t="shared" si="12"/>
        <v>1.4258928571428573</v>
      </c>
      <c r="W57" s="60">
        <f t="shared" si="13"/>
        <v>1.5535714285714288</v>
      </c>
      <c r="X57" s="61" t="s">
        <v>77</v>
      </c>
      <c r="Y57" s="1"/>
      <c r="Z57" s="1"/>
    </row>
    <row r="58" spans="1:26" ht="15.75" customHeight="1">
      <c r="A58" s="54"/>
      <c r="B58" s="162"/>
      <c r="C58" s="33"/>
      <c r="D58" s="55" t="s">
        <v>1096</v>
      </c>
      <c r="E58" s="55" t="s">
        <v>607</v>
      </c>
      <c r="F58" s="56" t="s">
        <v>1055</v>
      </c>
      <c r="G58" s="57" t="s">
        <v>1097</v>
      </c>
      <c r="H58" s="58">
        <v>18000</v>
      </c>
      <c r="I58" s="58">
        <f t="shared" si="0"/>
        <v>15399.999999999998</v>
      </c>
      <c r="J58" s="58">
        <f t="shared" si="1"/>
        <v>381.81818181818181</v>
      </c>
      <c r="K58" s="58">
        <v>1300</v>
      </c>
      <c r="L58" s="59">
        <f t="shared" si="2"/>
        <v>1550</v>
      </c>
      <c r="M58" s="58">
        <f t="shared" si="3"/>
        <v>937.5</v>
      </c>
      <c r="N58" s="58">
        <f t="shared" si="4"/>
        <v>812.5</v>
      </c>
      <c r="O58" s="58">
        <f t="shared" si="5"/>
        <v>800</v>
      </c>
      <c r="P58" s="58">
        <f t="shared" si="6"/>
        <v>942.42424242424249</v>
      </c>
      <c r="Q58" s="60">
        <f t="shared" si="7"/>
        <v>3.0640394088669956</v>
      </c>
      <c r="R58" s="58">
        <f t="shared" si="8"/>
        <v>629.92424242424249</v>
      </c>
      <c r="S58" s="58">
        <f t="shared" si="9"/>
        <v>504.92424242424244</v>
      </c>
      <c r="T58" s="58">
        <f t="shared" si="10"/>
        <v>342.42424242424244</v>
      </c>
      <c r="U58" s="60">
        <f t="shared" si="11"/>
        <v>2.0480295566502464</v>
      </c>
      <c r="V58" s="60">
        <f t="shared" si="12"/>
        <v>1.6416256157635469</v>
      </c>
      <c r="W58" s="60">
        <f t="shared" si="13"/>
        <v>1.1133004926108374</v>
      </c>
      <c r="X58" s="61" t="s">
        <v>75</v>
      </c>
      <c r="Y58" s="1"/>
      <c r="Z58" s="1"/>
    </row>
    <row r="59" spans="1:26" ht="15.75" customHeight="1">
      <c r="A59" s="54"/>
      <c r="B59" s="162"/>
      <c r="C59" s="33"/>
      <c r="D59" s="55" t="s">
        <v>656</v>
      </c>
      <c r="E59" s="26"/>
      <c r="F59" s="56" t="s">
        <v>1014</v>
      </c>
      <c r="G59" s="57" t="s">
        <v>1098</v>
      </c>
      <c r="H59" s="58">
        <v>15000</v>
      </c>
      <c r="I59" s="58">
        <f t="shared" si="0"/>
        <v>12600</v>
      </c>
      <c r="J59" s="58">
        <f t="shared" si="1"/>
        <v>466.66666666666663</v>
      </c>
      <c r="K59" s="58">
        <v>1200</v>
      </c>
      <c r="L59" s="59">
        <f t="shared" si="2"/>
        <v>1250</v>
      </c>
      <c r="M59" s="58">
        <f t="shared" si="3"/>
        <v>1162.5</v>
      </c>
      <c r="N59" s="58">
        <f t="shared" si="4"/>
        <v>1007.5</v>
      </c>
      <c r="O59" s="58">
        <f t="shared" si="5"/>
        <v>650</v>
      </c>
      <c r="P59" s="58">
        <f t="shared" si="6"/>
        <v>1168.1818181818182</v>
      </c>
      <c r="Q59" s="60">
        <f t="shared" si="7"/>
        <v>3.0595238095238098</v>
      </c>
      <c r="R59" s="58">
        <f t="shared" si="8"/>
        <v>555.68181818181824</v>
      </c>
      <c r="S59" s="58">
        <f t="shared" si="9"/>
        <v>430.68181818181819</v>
      </c>
      <c r="T59" s="58">
        <f t="shared" si="10"/>
        <v>418.18181818181819</v>
      </c>
      <c r="U59" s="60">
        <f t="shared" si="11"/>
        <v>1.455357142857143</v>
      </c>
      <c r="V59" s="60">
        <f t="shared" si="12"/>
        <v>1.1279761904761905</v>
      </c>
      <c r="W59" s="60">
        <f t="shared" si="13"/>
        <v>1.0952380952380953</v>
      </c>
      <c r="X59" s="61" t="s">
        <v>47</v>
      </c>
      <c r="Y59" s="1"/>
      <c r="Z59" s="1"/>
    </row>
    <row r="60" spans="1:26" ht="15.75" customHeight="1">
      <c r="A60" s="54"/>
      <c r="B60" s="162"/>
      <c r="C60" s="33"/>
      <c r="D60" s="55" t="s">
        <v>656</v>
      </c>
      <c r="E60" s="55" t="s">
        <v>68</v>
      </c>
      <c r="F60" s="56" t="s">
        <v>1014</v>
      </c>
      <c r="G60" s="57" t="s">
        <v>1099</v>
      </c>
      <c r="H60" s="58">
        <v>18000</v>
      </c>
      <c r="I60" s="58">
        <f t="shared" si="0"/>
        <v>10500</v>
      </c>
      <c r="J60" s="58">
        <f t="shared" si="1"/>
        <v>381.81818181818181</v>
      </c>
      <c r="K60" s="58">
        <v>1500</v>
      </c>
      <c r="L60" s="59">
        <f t="shared" si="2"/>
        <v>1150</v>
      </c>
      <c r="M60" s="58">
        <f t="shared" si="3"/>
        <v>937.5</v>
      </c>
      <c r="N60" s="58">
        <f t="shared" si="4"/>
        <v>812.5</v>
      </c>
      <c r="O60" s="58">
        <f t="shared" si="5"/>
        <v>600</v>
      </c>
      <c r="P60" s="58">
        <f t="shared" si="6"/>
        <v>783.33333333333337</v>
      </c>
      <c r="Q60" s="60">
        <f t="shared" si="7"/>
        <v>1.6785714285714288</v>
      </c>
      <c r="R60" s="58">
        <f t="shared" si="8"/>
        <v>695.83333333333337</v>
      </c>
      <c r="S60" s="58">
        <f t="shared" si="9"/>
        <v>540.83333333333337</v>
      </c>
      <c r="T60" s="58">
        <f t="shared" si="10"/>
        <v>183.33333333333337</v>
      </c>
      <c r="U60" s="60">
        <f t="shared" si="11"/>
        <v>1.4910714285714288</v>
      </c>
      <c r="V60" s="60">
        <f t="shared" si="12"/>
        <v>1.1589285714285715</v>
      </c>
      <c r="W60" s="60">
        <f t="shared" si="13"/>
        <v>0.39285714285714296</v>
      </c>
      <c r="X60" s="61" t="s">
        <v>47</v>
      </c>
      <c r="Y60" s="1"/>
      <c r="Z60" s="1"/>
    </row>
    <row r="61" spans="1:26" ht="15.75" customHeight="1">
      <c r="A61" s="54"/>
      <c r="B61" s="162"/>
      <c r="C61" s="33"/>
      <c r="D61" s="55" t="s">
        <v>661</v>
      </c>
      <c r="E61" s="55" t="s">
        <v>68</v>
      </c>
      <c r="F61" s="56" t="s">
        <v>1014</v>
      </c>
      <c r="G61" s="57" t="s">
        <v>1100</v>
      </c>
      <c r="H61" s="58">
        <v>18000</v>
      </c>
      <c r="I61" s="58">
        <f t="shared" si="0"/>
        <v>12600</v>
      </c>
      <c r="J61" s="58">
        <f t="shared" si="1"/>
        <v>318.18181818181819</v>
      </c>
      <c r="K61" s="58">
        <v>1500</v>
      </c>
      <c r="L61" s="59">
        <f t="shared" si="2"/>
        <v>1450</v>
      </c>
      <c r="M61" s="58">
        <f t="shared" si="3"/>
        <v>862.5</v>
      </c>
      <c r="N61" s="58">
        <f t="shared" si="4"/>
        <v>747.5</v>
      </c>
      <c r="O61" s="58">
        <f t="shared" si="5"/>
        <v>750</v>
      </c>
      <c r="P61" s="58">
        <f t="shared" si="6"/>
        <v>768.18181818181824</v>
      </c>
      <c r="Q61" s="60">
        <f t="shared" si="7"/>
        <v>2.0119047619047623</v>
      </c>
      <c r="R61" s="58">
        <f t="shared" si="8"/>
        <v>555.68181818181824</v>
      </c>
      <c r="S61" s="58">
        <f t="shared" si="9"/>
        <v>430.68181818181819</v>
      </c>
      <c r="T61" s="58">
        <f t="shared" si="10"/>
        <v>218.18181818181819</v>
      </c>
      <c r="U61" s="60">
        <f t="shared" si="11"/>
        <v>1.455357142857143</v>
      </c>
      <c r="V61" s="60">
        <f t="shared" si="12"/>
        <v>1.1279761904761905</v>
      </c>
      <c r="W61" s="60">
        <f t="shared" si="13"/>
        <v>0.5714285714285714</v>
      </c>
      <c r="X61" s="61" t="s">
        <v>62</v>
      </c>
      <c r="Y61" s="1"/>
      <c r="Z61" s="1"/>
    </row>
    <row r="62" spans="1:26" ht="15.75" customHeight="1">
      <c r="A62" s="54"/>
      <c r="B62" s="162"/>
      <c r="C62" s="33"/>
      <c r="D62" s="55" t="s">
        <v>661</v>
      </c>
      <c r="E62" s="55" t="s">
        <v>1101</v>
      </c>
      <c r="F62" s="56" t="s">
        <v>1014</v>
      </c>
      <c r="G62" s="57" t="s">
        <v>1102</v>
      </c>
      <c r="H62" s="58">
        <v>20000</v>
      </c>
      <c r="I62" s="58">
        <f t="shared" si="0"/>
        <v>12600</v>
      </c>
      <c r="J62" s="58">
        <f t="shared" si="1"/>
        <v>381.81818181818181</v>
      </c>
      <c r="K62" s="58">
        <v>1500</v>
      </c>
      <c r="L62" s="59">
        <f t="shared" si="2"/>
        <v>1450</v>
      </c>
      <c r="M62" s="58">
        <f t="shared" si="3"/>
        <v>1087.5</v>
      </c>
      <c r="N62" s="58">
        <f t="shared" si="4"/>
        <v>942.5</v>
      </c>
      <c r="O62" s="58">
        <f t="shared" si="5"/>
        <v>750</v>
      </c>
      <c r="P62" s="58">
        <f t="shared" si="6"/>
        <v>1131.8181818181818</v>
      </c>
      <c r="Q62" s="60">
        <f t="shared" si="7"/>
        <v>3.5571428571428569</v>
      </c>
      <c r="R62" s="58">
        <f t="shared" si="8"/>
        <v>544.31818181818176</v>
      </c>
      <c r="S62" s="58">
        <f t="shared" si="9"/>
        <v>429.31818181818181</v>
      </c>
      <c r="T62" s="58">
        <f t="shared" si="10"/>
        <v>431.81818181818181</v>
      </c>
      <c r="U62" s="60">
        <f t="shared" si="11"/>
        <v>1.7107142857142854</v>
      </c>
      <c r="V62" s="60">
        <f t="shared" si="12"/>
        <v>1.3492857142857142</v>
      </c>
      <c r="W62" s="60">
        <f t="shared" si="13"/>
        <v>1.3571428571428572</v>
      </c>
      <c r="X62" s="61" t="s">
        <v>84</v>
      </c>
      <c r="Y62" s="1"/>
      <c r="Z62" s="1"/>
    </row>
    <row r="63" spans="1:26" ht="15.75" customHeight="1">
      <c r="A63" s="54"/>
      <c r="B63" s="162"/>
      <c r="C63" s="33"/>
      <c r="D63" s="55" t="s">
        <v>661</v>
      </c>
      <c r="E63" s="55" t="s">
        <v>1091</v>
      </c>
      <c r="F63" s="56" t="s">
        <v>1014</v>
      </c>
      <c r="G63" s="57" t="s">
        <v>1103</v>
      </c>
      <c r="H63" s="58">
        <v>20000</v>
      </c>
      <c r="I63" s="58">
        <f t="shared" si="0"/>
        <v>14000</v>
      </c>
      <c r="J63" s="58">
        <f t="shared" si="1"/>
        <v>381.81818181818181</v>
      </c>
      <c r="K63" s="58">
        <v>1500</v>
      </c>
      <c r="L63" s="59">
        <f t="shared" si="2"/>
        <v>1450</v>
      </c>
      <c r="M63" s="58">
        <f t="shared" si="3"/>
        <v>1087.5</v>
      </c>
      <c r="N63" s="58">
        <f t="shared" si="4"/>
        <v>942.5</v>
      </c>
      <c r="O63" s="58">
        <f t="shared" si="5"/>
        <v>750</v>
      </c>
      <c r="P63" s="58">
        <f t="shared" si="6"/>
        <v>1068.1818181818182</v>
      </c>
      <c r="Q63" s="60">
        <f t="shared" si="7"/>
        <v>2.7976190476190479</v>
      </c>
      <c r="R63" s="58">
        <f t="shared" si="8"/>
        <v>705.68181818181824</v>
      </c>
      <c r="S63" s="58">
        <f t="shared" si="9"/>
        <v>560.68181818181824</v>
      </c>
      <c r="T63" s="58">
        <f t="shared" si="10"/>
        <v>368.18181818181819</v>
      </c>
      <c r="U63" s="60">
        <f t="shared" si="11"/>
        <v>1.8482142857142858</v>
      </c>
      <c r="V63" s="60">
        <f t="shared" si="12"/>
        <v>1.4684523809523811</v>
      </c>
      <c r="W63" s="60">
        <f t="shared" si="13"/>
        <v>0.9642857142857143</v>
      </c>
      <c r="X63" s="61"/>
      <c r="Y63" s="1"/>
      <c r="Z63" s="1"/>
    </row>
    <row r="64" spans="1:26" ht="15.75" customHeight="1">
      <c r="A64" s="54"/>
      <c r="B64" s="162"/>
      <c r="C64" s="33"/>
      <c r="D64" s="55" t="s">
        <v>1104</v>
      </c>
      <c r="E64" s="55" t="s">
        <v>607</v>
      </c>
      <c r="F64" s="56" t="s">
        <v>1014</v>
      </c>
      <c r="G64" s="57" t="s">
        <v>1105</v>
      </c>
      <c r="H64" s="58">
        <v>18000</v>
      </c>
      <c r="I64" s="58">
        <f t="shared" si="0"/>
        <v>14000</v>
      </c>
      <c r="J64" s="58">
        <f t="shared" si="1"/>
        <v>424.24242424242425</v>
      </c>
      <c r="K64" s="58">
        <v>1200</v>
      </c>
      <c r="L64" s="59">
        <f t="shared" si="2"/>
        <v>1450</v>
      </c>
      <c r="M64" s="58">
        <f t="shared" si="3"/>
        <v>1087.5</v>
      </c>
      <c r="N64" s="58">
        <f t="shared" si="4"/>
        <v>942.5</v>
      </c>
      <c r="O64" s="58">
        <f t="shared" si="5"/>
        <v>750</v>
      </c>
      <c r="P64" s="58">
        <f t="shared" si="6"/>
        <v>1068.1818181818182</v>
      </c>
      <c r="Q64" s="60">
        <f t="shared" si="7"/>
        <v>2.7976190476190479</v>
      </c>
      <c r="R64" s="58">
        <f t="shared" si="8"/>
        <v>705.68181818181824</v>
      </c>
      <c r="S64" s="58">
        <f t="shared" si="9"/>
        <v>560.68181818181824</v>
      </c>
      <c r="T64" s="58">
        <f t="shared" si="10"/>
        <v>368.18181818181819</v>
      </c>
      <c r="U64" s="60">
        <f t="shared" si="11"/>
        <v>1.8482142857142858</v>
      </c>
      <c r="V64" s="60">
        <f t="shared" si="12"/>
        <v>1.4684523809523811</v>
      </c>
      <c r="W64" s="60">
        <f t="shared" si="13"/>
        <v>0.9642857142857143</v>
      </c>
      <c r="X64" s="61"/>
      <c r="Y64" s="1"/>
      <c r="Z64" s="1"/>
    </row>
    <row r="65" spans="1:26" ht="15.75" customHeight="1">
      <c r="A65" s="54"/>
      <c r="B65" s="162"/>
      <c r="C65" s="33"/>
      <c r="D65" s="55" t="s">
        <v>1106</v>
      </c>
      <c r="E65" s="55" t="s">
        <v>68</v>
      </c>
      <c r="F65" s="56" t="s">
        <v>1014</v>
      </c>
      <c r="G65" s="57" t="s">
        <v>1107</v>
      </c>
      <c r="H65" s="58">
        <v>20000</v>
      </c>
      <c r="I65" s="58">
        <f t="shared" si="0"/>
        <v>12600</v>
      </c>
      <c r="J65" s="58">
        <f t="shared" si="1"/>
        <v>424.24242424242425</v>
      </c>
      <c r="K65" s="58">
        <v>1500</v>
      </c>
      <c r="L65" s="59">
        <f t="shared" si="2"/>
        <v>1150</v>
      </c>
      <c r="M65" s="58">
        <f t="shared" si="3"/>
        <v>1087.5</v>
      </c>
      <c r="N65" s="58">
        <f t="shared" si="4"/>
        <v>942.5</v>
      </c>
      <c r="O65" s="58">
        <f t="shared" si="5"/>
        <v>600</v>
      </c>
      <c r="P65" s="58">
        <f t="shared" si="6"/>
        <v>1025.7575757575758</v>
      </c>
      <c r="Q65" s="60">
        <f t="shared" si="7"/>
        <v>2.4178571428571427</v>
      </c>
      <c r="R65" s="58">
        <f t="shared" si="8"/>
        <v>663.25757575757575</v>
      </c>
      <c r="S65" s="58">
        <f t="shared" si="9"/>
        <v>518.25757575757575</v>
      </c>
      <c r="T65" s="58">
        <f t="shared" si="10"/>
        <v>325.75757575757575</v>
      </c>
      <c r="U65" s="60">
        <f t="shared" si="11"/>
        <v>1.563392857142857</v>
      </c>
      <c r="V65" s="60">
        <f t="shared" si="12"/>
        <v>1.2216071428571429</v>
      </c>
      <c r="W65" s="60">
        <f t="shared" si="13"/>
        <v>0.76785714285714279</v>
      </c>
      <c r="X65" s="61"/>
      <c r="Y65" s="1"/>
      <c r="Z65" s="1"/>
    </row>
    <row r="66" spans="1:26" ht="15.75" customHeight="1">
      <c r="A66" s="54"/>
      <c r="B66" s="162"/>
      <c r="C66" s="33"/>
      <c r="D66" s="55" t="s">
        <v>1108</v>
      </c>
      <c r="E66" s="55" t="s">
        <v>607</v>
      </c>
      <c r="F66" s="56" t="s">
        <v>1014</v>
      </c>
      <c r="G66" s="57" t="s">
        <v>1109</v>
      </c>
      <c r="H66" s="58">
        <v>18000</v>
      </c>
      <c r="I66" s="58">
        <f t="shared" si="0"/>
        <v>14000</v>
      </c>
      <c r="J66" s="58">
        <f t="shared" si="1"/>
        <v>381.81818181818181</v>
      </c>
      <c r="K66" s="58">
        <v>1200</v>
      </c>
      <c r="L66" s="59">
        <f t="shared" si="2"/>
        <v>1450</v>
      </c>
      <c r="M66" s="58">
        <f t="shared" si="3"/>
        <v>862.5</v>
      </c>
      <c r="N66" s="58">
        <f t="shared" si="4"/>
        <v>747.5</v>
      </c>
      <c r="O66" s="58">
        <f t="shared" si="5"/>
        <v>750</v>
      </c>
      <c r="P66" s="58">
        <f t="shared" si="6"/>
        <v>725.75757575757575</v>
      </c>
      <c r="Q66" s="60">
        <f t="shared" si="7"/>
        <v>1.7107142857142856</v>
      </c>
      <c r="R66" s="58">
        <f t="shared" si="8"/>
        <v>663.25757575757575</v>
      </c>
      <c r="S66" s="58">
        <f t="shared" si="9"/>
        <v>518.25757575757575</v>
      </c>
      <c r="T66" s="58">
        <f t="shared" si="10"/>
        <v>175.75757575757575</v>
      </c>
      <c r="U66" s="60">
        <f t="shared" si="11"/>
        <v>1.563392857142857</v>
      </c>
      <c r="V66" s="60">
        <f t="shared" si="12"/>
        <v>1.2216071428571429</v>
      </c>
      <c r="W66" s="60">
        <f t="shared" si="13"/>
        <v>0.41428571428571426</v>
      </c>
      <c r="X66" s="61" t="s">
        <v>47</v>
      </c>
      <c r="Y66" s="1"/>
      <c r="Z66" s="1"/>
    </row>
    <row r="67" spans="1:26" ht="15.75" customHeight="1">
      <c r="A67" s="54"/>
      <c r="B67" s="162"/>
      <c r="C67" s="33"/>
      <c r="D67" s="55" t="s">
        <v>1108</v>
      </c>
      <c r="E67" s="55" t="s">
        <v>68</v>
      </c>
      <c r="F67" s="56" t="s">
        <v>1014</v>
      </c>
      <c r="G67" s="57" t="s">
        <v>1110</v>
      </c>
      <c r="H67" s="58">
        <v>20000</v>
      </c>
      <c r="I67" s="58">
        <f t="shared" si="0"/>
        <v>12600</v>
      </c>
      <c r="J67" s="58">
        <f t="shared" si="1"/>
        <v>424.24242424242425</v>
      </c>
      <c r="K67" s="58">
        <v>1500</v>
      </c>
      <c r="L67" s="59">
        <f t="shared" si="2"/>
        <v>1150</v>
      </c>
      <c r="M67" s="58">
        <f t="shared" si="3"/>
        <v>1087.5</v>
      </c>
      <c r="N67" s="58">
        <f t="shared" si="4"/>
        <v>942.5</v>
      </c>
      <c r="O67" s="58">
        <f t="shared" si="5"/>
        <v>600</v>
      </c>
      <c r="P67" s="58">
        <f t="shared" si="6"/>
        <v>1068.1818181818182</v>
      </c>
      <c r="Q67" s="60">
        <f t="shared" si="7"/>
        <v>2.7976190476190479</v>
      </c>
      <c r="R67" s="58">
        <f t="shared" si="8"/>
        <v>480.68181818181819</v>
      </c>
      <c r="S67" s="58">
        <f t="shared" si="9"/>
        <v>365.68181818181819</v>
      </c>
      <c r="T67" s="58">
        <f t="shared" si="10"/>
        <v>368.18181818181819</v>
      </c>
      <c r="U67" s="60">
        <f t="shared" si="11"/>
        <v>1.2589285714285714</v>
      </c>
      <c r="V67" s="60">
        <f t="shared" si="12"/>
        <v>0.95773809523809528</v>
      </c>
      <c r="W67" s="60">
        <f t="shared" si="13"/>
        <v>0.9642857142857143</v>
      </c>
      <c r="X67" s="61" t="s">
        <v>47</v>
      </c>
      <c r="Y67" s="1"/>
      <c r="Z67" s="1"/>
    </row>
    <row r="68" spans="1:26" ht="15.75" customHeight="1">
      <c r="A68" s="54"/>
      <c r="B68" s="162"/>
      <c r="C68" s="33"/>
      <c r="D68" s="55" t="s">
        <v>1108</v>
      </c>
      <c r="E68" s="55" t="s">
        <v>1101</v>
      </c>
      <c r="F68" s="56" t="s">
        <v>1014</v>
      </c>
      <c r="G68" s="57" t="s">
        <v>1111</v>
      </c>
      <c r="H68" s="58">
        <v>20000</v>
      </c>
      <c r="I68" s="58">
        <f t="shared" si="0"/>
        <v>14000</v>
      </c>
      <c r="J68" s="58">
        <f t="shared" si="1"/>
        <v>381.81818181818181</v>
      </c>
      <c r="K68" s="58">
        <v>1500</v>
      </c>
      <c r="L68" s="59">
        <f t="shared" si="2"/>
        <v>1450</v>
      </c>
      <c r="M68" s="58">
        <f t="shared" si="3"/>
        <v>862.5</v>
      </c>
      <c r="N68" s="58">
        <f t="shared" si="4"/>
        <v>747.5</v>
      </c>
      <c r="O68" s="58">
        <f t="shared" si="5"/>
        <v>750</v>
      </c>
      <c r="P68" s="58">
        <f t="shared" si="6"/>
        <v>725.75757575757575</v>
      </c>
      <c r="Q68" s="60">
        <f t="shared" si="7"/>
        <v>1.7107142857142856</v>
      </c>
      <c r="R68" s="58">
        <f t="shared" si="8"/>
        <v>663.25757575757575</v>
      </c>
      <c r="S68" s="58">
        <f t="shared" si="9"/>
        <v>518.25757575757575</v>
      </c>
      <c r="T68" s="58">
        <f t="shared" si="10"/>
        <v>175.75757575757575</v>
      </c>
      <c r="U68" s="60">
        <f t="shared" si="11"/>
        <v>1.563392857142857</v>
      </c>
      <c r="V68" s="60">
        <f t="shared" si="12"/>
        <v>1.2216071428571429</v>
      </c>
      <c r="W68" s="60">
        <f t="shared" si="13"/>
        <v>0.41428571428571426</v>
      </c>
      <c r="X68" s="61" t="s">
        <v>88</v>
      </c>
      <c r="Y68" s="1"/>
      <c r="Z68" s="1"/>
    </row>
    <row r="69" spans="1:26" ht="15.75" customHeight="1">
      <c r="A69" s="54"/>
      <c r="B69" s="162"/>
      <c r="C69" s="33"/>
      <c r="D69" s="55" t="s">
        <v>684</v>
      </c>
      <c r="E69" s="55" t="s">
        <v>358</v>
      </c>
      <c r="F69" s="56" t="s">
        <v>1055</v>
      </c>
      <c r="G69" s="57" t="s">
        <v>1112</v>
      </c>
      <c r="H69" s="58">
        <v>22000</v>
      </c>
      <c r="I69" s="58">
        <f t="shared" ref="I69:I132" si="14">H68*0.7</f>
        <v>14000</v>
      </c>
      <c r="J69" s="58">
        <f t="shared" ref="J69:J132" si="15">I68/33</f>
        <v>424.24242424242425</v>
      </c>
      <c r="K69" s="58">
        <v>1600</v>
      </c>
      <c r="L69" s="59">
        <f t="shared" ref="L69:L132" si="16">K68-50</f>
        <v>1450</v>
      </c>
      <c r="M69" s="58">
        <f t="shared" ref="M69:M132" si="17">L68*0.75</f>
        <v>1087.5</v>
      </c>
      <c r="N69" s="58">
        <f t="shared" ref="N69:N132" si="18">L68*0.65</f>
        <v>942.5</v>
      </c>
      <c r="O69" s="58">
        <f t="shared" ref="O69:O132" si="19">K68*0.5</f>
        <v>750</v>
      </c>
      <c r="P69" s="58">
        <f t="shared" ref="P69:P132" si="20">L68-J68</f>
        <v>1068.1818181818182</v>
      </c>
      <c r="Q69" s="60">
        <f t="shared" ref="Q69:Q132" si="21">((L68-J68)/J68)</f>
        <v>2.7976190476190479</v>
      </c>
      <c r="R69" s="58">
        <f t="shared" ref="R69:R132" si="22">M68-J68</f>
        <v>480.68181818181819</v>
      </c>
      <c r="S69" s="58">
        <f t="shared" ref="S69:S132" si="23">N68-J68</f>
        <v>365.68181818181819</v>
      </c>
      <c r="T69" s="58">
        <f t="shared" ref="T69:T132" si="24">O68-J68</f>
        <v>368.18181818181819</v>
      </c>
      <c r="U69" s="60">
        <f t="shared" ref="U69:U132" si="25">(M68-J68)/J68</f>
        <v>1.2589285714285714</v>
      </c>
      <c r="V69" s="60">
        <f t="shared" ref="V69:V132" si="26">(N68-J68)/J68</f>
        <v>0.95773809523809528</v>
      </c>
      <c r="W69" s="60">
        <f t="shared" ref="W69:W132" si="27">(O68-J68)/J68</f>
        <v>0.9642857142857143</v>
      </c>
      <c r="X69" s="61" t="s">
        <v>90</v>
      </c>
      <c r="Y69" s="1"/>
      <c r="Z69" s="1"/>
    </row>
    <row r="70" spans="1:26" ht="15.75" customHeight="1">
      <c r="A70" s="54"/>
      <c r="B70" s="162"/>
      <c r="C70" s="33"/>
      <c r="D70" s="55" t="s">
        <v>684</v>
      </c>
      <c r="E70" s="55" t="s">
        <v>756</v>
      </c>
      <c r="F70" s="56" t="s">
        <v>1055</v>
      </c>
      <c r="G70" s="57" t="s">
        <v>1113</v>
      </c>
      <c r="H70" s="58">
        <v>20000</v>
      </c>
      <c r="I70" s="58">
        <f t="shared" si="14"/>
        <v>15399.999999999998</v>
      </c>
      <c r="J70" s="58">
        <f t="shared" si="15"/>
        <v>424.24242424242425</v>
      </c>
      <c r="K70" s="58">
        <v>1600</v>
      </c>
      <c r="L70" s="59">
        <f t="shared" si="16"/>
        <v>1550</v>
      </c>
      <c r="M70" s="58">
        <f t="shared" si="17"/>
        <v>1087.5</v>
      </c>
      <c r="N70" s="58">
        <f t="shared" si="18"/>
        <v>942.5</v>
      </c>
      <c r="O70" s="58">
        <f t="shared" si="19"/>
        <v>800</v>
      </c>
      <c r="P70" s="58">
        <f t="shared" si="20"/>
        <v>1025.7575757575758</v>
      </c>
      <c r="Q70" s="60">
        <f t="shared" si="21"/>
        <v>2.4178571428571427</v>
      </c>
      <c r="R70" s="58">
        <f t="shared" si="22"/>
        <v>663.25757575757575</v>
      </c>
      <c r="S70" s="58">
        <f t="shared" si="23"/>
        <v>518.25757575757575</v>
      </c>
      <c r="T70" s="58">
        <f t="shared" si="24"/>
        <v>325.75757575757575</v>
      </c>
      <c r="U70" s="60">
        <f t="shared" si="25"/>
        <v>1.563392857142857</v>
      </c>
      <c r="V70" s="60">
        <f t="shared" si="26"/>
        <v>1.2216071428571429</v>
      </c>
      <c r="W70" s="60">
        <f t="shared" si="27"/>
        <v>0.76785714285714279</v>
      </c>
      <c r="X70" s="61" t="s">
        <v>91</v>
      </c>
      <c r="Y70" s="1"/>
      <c r="Z70" s="1"/>
    </row>
    <row r="71" spans="1:26" ht="15.75" customHeight="1">
      <c r="A71" s="54"/>
      <c r="B71" s="162"/>
      <c r="C71" s="33"/>
      <c r="D71" s="55" t="s">
        <v>684</v>
      </c>
      <c r="E71" s="55" t="s">
        <v>1114</v>
      </c>
      <c r="F71" s="56" t="s">
        <v>1055</v>
      </c>
      <c r="G71" s="57" t="s">
        <v>1115</v>
      </c>
      <c r="H71" s="58">
        <v>22000</v>
      </c>
      <c r="I71" s="58">
        <f t="shared" si="14"/>
        <v>14000</v>
      </c>
      <c r="J71" s="58">
        <f t="shared" si="15"/>
        <v>466.66666666666663</v>
      </c>
      <c r="K71" s="58">
        <v>1600</v>
      </c>
      <c r="L71" s="59">
        <f t="shared" si="16"/>
        <v>1550</v>
      </c>
      <c r="M71" s="58">
        <f t="shared" si="17"/>
        <v>1162.5</v>
      </c>
      <c r="N71" s="58">
        <f t="shared" si="18"/>
        <v>1007.5</v>
      </c>
      <c r="O71" s="58">
        <f t="shared" si="19"/>
        <v>800</v>
      </c>
      <c r="P71" s="58">
        <f t="shared" si="20"/>
        <v>1125.7575757575758</v>
      </c>
      <c r="Q71" s="60">
        <f t="shared" si="21"/>
        <v>2.6535714285714285</v>
      </c>
      <c r="R71" s="58">
        <f t="shared" si="22"/>
        <v>663.25757575757575</v>
      </c>
      <c r="S71" s="58">
        <f t="shared" si="23"/>
        <v>518.25757575757575</v>
      </c>
      <c r="T71" s="58">
        <f t="shared" si="24"/>
        <v>375.75757575757575</v>
      </c>
      <c r="U71" s="60">
        <f t="shared" si="25"/>
        <v>1.563392857142857</v>
      </c>
      <c r="V71" s="60">
        <f t="shared" si="26"/>
        <v>1.2216071428571429</v>
      </c>
      <c r="W71" s="60">
        <f t="shared" si="27"/>
        <v>0.88571428571428568</v>
      </c>
      <c r="X71" s="61" t="s">
        <v>90</v>
      </c>
      <c r="Y71" s="1"/>
      <c r="Z71" s="1"/>
    </row>
    <row r="72" spans="1:26" ht="15.75" customHeight="1">
      <c r="A72" s="54"/>
      <c r="B72" s="162"/>
      <c r="C72" s="33"/>
      <c r="D72" s="55" t="s">
        <v>684</v>
      </c>
      <c r="E72" s="55" t="s">
        <v>1116</v>
      </c>
      <c r="F72" s="56" t="s">
        <v>1055</v>
      </c>
      <c r="G72" s="57" t="s">
        <v>1117</v>
      </c>
      <c r="H72" s="58">
        <v>25000</v>
      </c>
      <c r="I72" s="58">
        <f t="shared" si="14"/>
        <v>15399.999999999998</v>
      </c>
      <c r="J72" s="58">
        <f t="shared" si="15"/>
        <v>424.24242424242425</v>
      </c>
      <c r="K72" s="58">
        <v>1600</v>
      </c>
      <c r="L72" s="59">
        <f t="shared" si="16"/>
        <v>1550</v>
      </c>
      <c r="M72" s="58">
        <f t="shared" si="17"/>
        <v>1162.5</v>
      </c>
      <c r="N72" s="58">
        <f t="shared" si="18"/>
        <v>1007.5</v>
      </c>
      <c r="O72" s="58">
        <f t="shared" si="19"/>
        <v>800</v>
      </c>
      <c r="P72" s="58">
        <f t="shared" si="20"/>
        <v>1083.3333333333335</v>
      </c>
      <c r="Q72" s="60">
        <f t="shared" si="21"/>
        <v>2.3214285714285721</v>
      </c>
      <c r="R72" s="58">
        <f t="shared" si="22"/>
        <v>695.83333333333337</v>
      </c>
      <c r="S72" s="58">
        <f t="shared" si="23"/>
        <v>540.83333333333337</v>
      </c>
      <c r="T72" s="58">
        <f t="shared" si="24"/>
        <v>333.33333333333337</v>
      </c>
      <c r="U72" s="60">
        <f t="shared" si="25"/>
        <v>1.4910714285714288</v>
      </c>
      <c r="V72" s="60">
        <f t="shared" si="26"/>
        <v>1.1589285714285715</v>
      </c>
      <c r="W72" s="60">
        <f t="shared" si="27"/>
        <v>0.71428571428571441</v>
      </c>
      <c r="X72" s="61" t="s">
        <v>93</v>
      </c>
      <c r="Y72" s="1"/>
      <c r="Z72" s="1"/>
    </row>
    <row r="73" spans="1:26" ht="15.75" customHeight="1">
      <c r="A73" s="54"/>
      <c r="B73" s="162"/>
      <c r="C73" s="33"/>
      <c r="D73" s="55" t="s">
        <v>684</v>
      </c>
      <c r="E73" s="55" t="s">
        <v>577</v>
      </c>
      <c r="F73" s="56" t="s">
        <v>1055</v>
      </c>
      <c r="G73" s="57" t="s">
        <v>1118</v>
      </c>
      <c r="H73" s="58">
        <v>25000</v>
      </c>
      <c r="I73" s="58">
        <f t="shared" si="14"/>
        <v>17500</v>
      </c>
      <c r="J73" s="58">
        <f t="shared" si="15"/>
        <v>466.66666666666663</v>
      </c>
      <c r="K73" s="58">
        <v>1600</v>
      </c>
      <c r="L73" s="59">
        <f t="shared" si="16"/>
        <v>1550</v>
      </c>
      <c r="M73" s="58">
        <f t="shared" si="17"/>
        <v>1162.5</v>
      </c>
      <c r="N73" s="58">
        <f t="shared" si="18"/>
        <v>1007.5</v>
      </c>
      <c r="O73" s="58">
        <f t="shared" si="19"/>
        <v>800</v>
      </c>
      <c r="P73" s="58">
        <f t="shared" si="20"/>
        <v>1125.7575757575758</v>
      </c>
      <c r="Q73" s="60">
        <f t="shared" si="21"/>
        <v>2.6535714285714285</v>
      </c>
      <c r="R73" s="58">
        <f t="shared" si="22"/>
        <v>738.25757575757575</v>
      </c>
      <c r="S73" s="58">
        <f t="shared" si="23"/>
        <v>583.25757575757575</v>
      </c>
      <c r="T73" s="58">
        <f t="shared" si="24"/>
        <v>375.75757575757575</v>
      </c>
      <c r="U73" s="60">
        <f t="shared" si="25"/>
        <v>1.7401785714285714</v>
      </c>
      <c r="V73" s="60">
        <f t="shared" si="26"/>
        <v>1.3748214285714286</v>
      </c>
      <c r="W73" s="60">
        <f t="shared" si="27"/>
        <v>0.88571428571428568</v>
      </c>
      <c r="X73" s="61"/>
      <c r="Y73" s="1"/>
      <c r="Z73" s="1"/>
    </row>
    <row r="74" spans="1:26" ht="15.75" customHeight="1">
      <c r="A74" s="54"/>
      <c r="B74" s="162"/>
      <c r="C74" s="34" t="s">
        <v>1119</v>
      </c>
      <c r="D74" s="55" t="s">
        <v>1120</v>
      </c>
      <c r="E74" s="55" t="s">
        <v>68</v>
      </c>
      <c r="F74" s="56" t="s">
        <v>1121</v>
      </c>
      <c r="G74" s="57" t="s">
        <v>1122</v>
      </c>
      <c r="H74" s="58">
        <v>25000</v>
      </c>
      <c r="I74" s="58">
        <f t="shared" si="14"/>
        <v>17500</v>
      </c>
      <c r="J74" s="58">
        <f t="shared" si="15"/>
        <v>530.30303030303025</v>
      </c>
      <c r="K74" s="58">
        <v>1500</v>
      </c>
      <c r="L74" s="59">
        <f t="shared" si="16"/>
        <v>1550</v>
      </c>
      <c r="M74" s="58">
        <f t="shared" si="17"/>
        <v>1162.5</v>
      </c>
      <c r="N74" s="58">
        <f t="shared" si="18"/>
        <v>1007.5</v>
      </c>
      <c r="O74" s="58">
        <f t="shared" si="19"/>
        <v>800</v>
      </c>
      <c r="P74" s="58">
        <f t="shared" si="20"/>
        <v>1083.3333333333335</v>
      </c>
      <c r="Q74" s="60">
        <f t="shared" si="21"/>
        <v>2.3214285714285721</v>
      </c>
      <c r="R74" s="58">
        <f t="shared" si="22"/>
        <v>695.83333333333337</v>
      </c>
      <c r="S74" s="58">
        <f t="shared" si="23"/>
        <v>540.83333333333337</v>
      </c>
      <c r="T74" s="58">
        <f t="shared" si="24"/>
        <v>333.33333333333337</v>
      </c>
      <c r="U74" s="60">
        <f t="shared" si="25"/>
        <v>1.4910714285714288</v>
      </c>
      <c r="V74" s="60">
        <f t="shared" si="26"/>
        <v>1.1589285714285715</v>
      </c>
      <c r="W74" s="60">
        <f t="shared" si="27"/>
        <v>0.71428571428571441</v>
      </c>
      <c r="X74" s="61" t="s">
        <v>95</v>
      </c>
      <c r="Y74" s="1"/>
      <c r="Z74" s="1"/>
    </row>
    <row r="75" spans="1:26" ht="15.75" customHeight="1">
      <c r="A75" s="54"/>
      <c r="B75" s="162"/>
      <c r="C75" s="34" t="s">
        <v>1119</v>
      </c>
      <c r="D75" s="55" t="s">
        <v>1123</v>
      </c>
      <c r="E75" s="55" t="s">
        <v>68</v>
      </c>
      <c r="F75" s="56" t="s">
        <v>1121</v>
      </c>
      <c r="G75" s="57" t="s">
        <v>1124</v>
      </c>
      <c r="H75" s="58">
        <v>25000</v>
      </c>
      <c r="I75" s="58">
        <f t="shared" si="14"/>
        <v>17500</v>
      </c>
      <c r="J75" s="58">
        <f t="shared" si="15"/>
        <v>530.30303030303025</v>
      </c>
      <c r="K75" s="58">
        <v>1500</v>
      </c>
      <c r="L75" s="59">
        <f t="shared" si="16"/>
        <v>1450</v>
      </c>
      <c r="M75" s="58">
        <f t="shared" si="17"/>
        <v>1162.5</v>
      </c>
      <c r="N75" s="58">
        <f t="shared" si="18"/>
        <v>1007.5</v>
      </c>
      <c r="O75" s="58">
        <f t="shared" si="19"/>
        <v>750</v>
      </c>
      <c r="P75" s="58">
        <f t="shared" si="20"/>
        <v>1019.6969696969697</v>
      </c>
      <c r="Q75" s="60">
        <f t="shared" si="21"/>
        <v>1.922857142857143</v>
      </c>
      <c r="R75" s="58">
        <f t="shared" si="22"/>
        <v>632.19696969696975</v>
      </c>
      <c r="S75" s="58">
        <f t="shared" si="23"/>
        <v>477.19696969696975</v>
      </c>
      <c r="T75" s="58">
        <f t="shared" si="24"/>
        <v>269.69696969696975</v>
      </c>
      <c r="U75" s="60">
        <f t="shared" si="25"/>
        <v>1.1921428571428574</v>
      </c>
      <c r="V75" s="60">
        <f t="shared" si="26"/>
        <v>0.89985714285714302</v>
      </c>
      <c r="W75" s="60">
        <f t="shared" si="27"/>
        <v>0.50857142857142867</v>
      </c>
      <c r="X75" s="61" t="s">
        <v>96</v>
      </c>
      <c r="Y75" s="1"/>
      <c r="Z75" s="1"/>
    </row>
    <row r="76" spans="1:26" ht="15.75" customHeight="1">
      <c r="A76" s="54"/>
      <c r="B76" s="162"/>
      <c r="C76" s="33"/>
      <c r="D76" s="55" t="s">
        <v>1125</v>
      </c>
      <c r="E76" s="55" t="s">
        <v>772</v>
      </c>
      <c r="F76" s="56" t="s">
        <v>1121</v>
      </c>
      <c r="G76" s="57" t="s">
        <v>1126</v>
      </c>
      <c r="H76" s="58">
        <v>25000</v>
      </c>
      <c r="I76" s="58">
        <f t="shared" si="14"/>
        <v>17500</v>
      </c>
      <c r="J76" s="58">
        <f t="shared" si="15"/>
        <v>530.30303030303025</v>
      </c>
      <c r="K76" s="58">
        <v>1500</v>
      </c>
      <c r="L76" s="59">
        <f t="shared" si="16"/>
        <v>1450</v>
      </c>
      <c r="M76" s="58">
        <f t="shared" si="17"/>
        <v>1087.5</v>
      </c>
      <c r="N76" s="58">
        <f t="shared" si="18"/>
        <v>942.5</v>
      </c>
      <c r="O76" s="58">
        <f t="shared" si="19"/>
        <v>750</v>
      </c>
      <c r="P76" s="58">
        <f t="shared" si="20"/>
        <v>919.69696969696975</v>
      </c>
      <c r="Q76" s="60">
        <f t="shared" si="21"/>
        <v>1.7342857142857144</v>
      </c>
      <c r="R76" s="58">
        <f t="shared" si="22"/>
        <v>632.19696969696975</v>
      </c>
      <c r="S76" s="58">
        <f t="shared" si="23"/>
        <v>477.19696969696975</v>
      </c>
      <c r="T76" s="58">
        <f t="shared" si="24"/>
        <v>219.69696969696975</v>
      </c>
      <c r="U76" s="60">
        <f t="shared" si="25"/>
        <v>1.1921428571428574</v>
      </c>
      <c r="V76" s="60">
        <f t="shared" si="26"/>
        <v>0.89985714285714302</v>
      </c>
      <c r="W76" s="60">
        <f t="shared" si="27"/>
        <v>0.41428571428571442</v>
      </c>
      <c r="X76" s="61"/>
      <c r="Y76" s="1"/>
      <c r="Z76" s="1"/>
    </row>
    <row r="77" spans="1:26" ht="15.75" customHeight="1">
      <c r="A77" s="54"/>
      <c r="B77" s="162"/>
      <c r="C77" s="33"/>
      <c r="D77" s="55" t="s">
        <v>1127</v>
      </c>
      <c r="E77" s="55" t="s">
        <v>607</v>
      </c>
      <c r="F77" s="56" t="s">
        <v>1014</v>
      </c>
      <c r="G77" s="57" t="s">
        <v>1128</v>
      </c>
      <c r="H77" s="58">
        <v>18000</v>
      </c>
      <c r="I77" s="58">
        <f t="shared" si="14"/>
        <v>17500</v>
      </c>
      <c r="J77" s="58">
        <f t="shared" si="15"/>
        <v>530.30303030303025</v>
      </c>
      <c r="K77" s="58">
        <v>1300</v>
      </c>
      <c r="L77" s="59">
        <f t="shared" si="16"/>
        <v>1450</v>
      </c>
      <c r="M77" s="58">
        <f t="shared" si="17"/>
        <v>1087.5</v>
      </c>
      <c r="N77" s="58">
        <f t="shared" si="18"/>
        <v>942.5</v>
      </c>
      <c r="O77" s="58">
        <f t="shared" si="19"/>
        <v>750</v>
      </c>
      <c r="P77" s="58">
        <f t="shared" si="20"/>
        <v>919.69696969696975</v>
      </c>
      <c r="Q77" s="60">
        <f t="shared" si="21"/>
        <v>1.7342857142857144</v>
      </c>
      <c r="R77" s="58">
        <f t="shared" si="22"/>
        <v>557.19696969696975</v>
      </c>
      <c r="S77" s="58">
        <f t="shared" si="23"/>
        <v>412.19696969696975</v>
      </c>
      <c r="T77" s="58">
        <f t="shared" si="24"/>
        <v>219.69696969696975</v>
      </c>
      <c r="U77" s="60">
        <f t="shared" si="25"/>
        <v>1.0507142857142859</v>
      </c>
      <c r="V77" s="60">
        <f t="shared" si="26"/>
        <v>0.77728571428571447</v>
      </c>
      <c r="W77" s="60">
        <f t="shared" si="27"/>
        <v>0.41428571428571442</v>
      </c>
      <c r="X77" s="61" t="s">
        <v>1129</v>
      </c>
      <c r="Y77" s="1"/>
      <c r="Z77" s="1"/>
    </row>
    <row r="78" spans="1:26" ht="15.75" customHeight="1">
      <c r="A78" s="54"/>
      <c r="B78" s="162"/>
      <c r="C78" s="33"/>
      <c r="D78" s="55" t="s">
        <v>723</v>
      </c>
      <c r="E78" s="55" t="s">
        <v>607</v>
      </c>
      <c r="F78" s="56" t="s">
        <v>1014</v>
      </c>
      <c r="G78" s="57" t="s">
        <v>1130</v>
      </c>
      <c r="H78" s="58">
        <v>18000</v>
      </c>
      <c r="I78" s="58">
        <f t="shared" si="14"/>
        <v>12600</v>
      </c>
      <c r="J78" s="58">
        <f t="shared" si="15"/>
        <v>530.30303030303025</v>
      </c>
      <c r="K78" s="58">
        <v>1300</v>
      </c>
      <c r="L78" s="59">
        <f t="shared" si="16"/>
        <v>1250</v>
      </c>
      <c r="M78" s="58">
        <f t="shared" si="17"/>
        <v>1087.5</v>
      </c>
      <c r="N78" s="58">
        <f t="shared" si="18"/>
        <v>942.5</v>
      </c>
      <c r="O78" s="58">
        <f t="shared" si="19"/>
        <v>650</v>
      </c>
      <c r="P78" s="58">
        <f t="shared" si="20"/>
        <v>919.69696969696975</v>
      </c>
      <c r="Q78" s="60">
        <f t="shared" si="21"/>
        <v>1.7342857142857144</v>
      </c>
      <c r="R78" s="58">
        <f t="shared" si="22"/>
        <v>557.19696969696975</v>
      </c>
      <c r="S78" s="58">
        <f t="shared" si="23"/>
        <v>412.19696969696975</v>
      </c>
      <c r="T78" s="58">
        <f t="shared" si="24"/>
        <v>219.69696969696975</v>
      </c>
      <c r="U78" s="60">
        <f t="shared" si="25"/>
        <v>1.0507142857142859</v>
      </c>
      <c r="V78" s="60">
        <f t="shared" si="26"/>
        <v>0.77728571428571447</v>
      </c>
      <c r="W78" s="60">
        <f t="shared" si="27"/>
        <v>0.41428571428571442</v>
      </c>
      <c r="X78" s="61"/>
      <c r="Y78" s="1"/>
      <c r="Z78" s="1"/>
    </row>
    <row r="79" spans="1:26" ht="15.75" customHeight="1">
      <c r="A79" s="54"/>
      <c r="B79" s="162"/>
      <c r="C79" s="33"/>
      <c r="D79" s="55" t="s">
        <v>723</v>
      </c>
      <c r="E79" s="55" t="s">
        <v>465</v>
      </c>
      <c r="F79" s="56" t="s">
        <v>1014</v>
      </c>
      <c r="G79" s="57" t="s">
        <v>1131</v>
      </c>
      <c r="H79" s="58">
        <v>25000</v>
      </c>
      <c r="I79" s="58">
        <f t="shared" si="14"/>
        <v>12600</v>
      </c>
      <c r="J79" s="58">
        <f t="shared" si="15"/>
        <v>381.81818181818181</v>
      </c>
      <c r="K79" s="58">
        <v>1500</v>
      </c>
      <c r="L79" s="59">
        <f t="shared" si="16"/>
        <v>1250</v>
      </c>
      <c r="M79" s="58">
        <f t="shared" si="17"/>
        <v>937.5</v>
      </c>
      <c r="N79" s="58">
        <f t="shared" si="18"/>
        <v>812.5</v>
      </c>
      <c r="O79" s="58">
        <f t="shared" si="19"/>
        <v>650</v>
      </c>
      <c r="P79" s="58">
        <f t="shared" si="20"/>
        <v>719.69696969696975</v>
      </c>
      <c r="Q79" s="60">
        <f t="shared" si="21"/>
        <v>1.3571428571428574</v>
      </c>
      <c r="R79" s="58">
        <f t="shared" si="22"/>
        <v>557.19696969696975</v>
      </c>
      <c r="S79" s="58">
        <f t="shared" si="23"/>
        <v>412.19696969696975</v>
      </c>
      <c r="T79" s="58">
        <f t="shared" si="24"/>
        <v>119.69696969696975</v>
      </c>
      <c r="U79" s="60">
        <f t="shared" si="25"/>
        <v>1.0507142857142859</v>
      </c>
      <c r="V79" s="60">
        <f t="shared" si="26"/>
        <v>0.77728571428571447</v>
      </c>
      <c r="W79" s="60">
        <f t="shared" si="27"/>
        <v>0.22571428571428584</v>
      </c>
      <c r="X79" s="61"/>
      <c r="Y79" s="1"/>
      <c r="Z79" s="1"/>
    </row>
    <row r="80" spans="1:26" ht="15.75" customHeight="1">
      <c r="A80" s="54"/>
      <c r="B80" s="162"/>
      <c r="C80" s="33"/>
      <c r="D80" s="55" t="s">
        <v>723</v>
      </c>
      <c r="E80" s="55" t="s">
        <v>577</v>
      </c>
      <c r="F80" s="56" t="s">
        <v>1014</v>
      </c>
      <c r="G80" s="57" t="s">
        <v>1132</v>
      </c>
      <c r="H80" s="58">
        <v>28000</v>
      </c>
      <c r="I80" s="58">
        <f t="shared" si="14"/>
        <v>17500</v>
      </c>
      <c r="J80" s="58">
        <f t="shared" si="15"/>
        <v>381.81818181818181</v>
      </c>
      <c r="K80" s="58">
        <v>1500</v>
      </c>
      <c r="L80" s="59">
        <f t="shared" si="16"/>
        <v>1450</v>
      </c>
      <c r="M80" s="58">
        <f t="shared" si="17"/>
        <v>937.5</v>
      </c>
      <c r="N80" s="58">
        <f t="shared" si="18"/>
        <v>812.5</v>
      </c>
      <c r="O80" s="58">
        <f t="shared" si="19"/>
        <v>750</v>
      </c>
      <c r="P80" s="58">
        <f t="shared" si="20"/>
        <v>868.18181818181824</v>
      </c>
      <c r="Q80" s="60">
        <f t="shared" si="21"/>
        <v>2.2738095238095242</v>
      </c>
      <c r="R80" s="58">
        <f t="shared" si="22"/>
        <v>555.68181818181824</v>
      </c>
      <c r="S80" s="58">
        <f t="shared" si="23"/>
        <v>430.68181818181819</v>
      </c>
      <c r="T80" s="58">
        <f t="shared" si="24"/>
        <v>268.18181818181819</v>
      </c>
      <c r="U80" s="60">
        <f t="shared" si="25"/>
        <v>1.455357142857143</v>
      </c>
      <c r="V80" s="60">
        <f t="shared" si="26"/>
        <v>1.1279761904761905</v>
      </c>
      <c r="W80" s="60">
        <f t="shared" si="27"/>
        <v>0.70238095238095244</v>
      </c>
      <c r="X80" s="61"/>
      <c r="Y80" s="1"/>
      <c r="Z80" s="1"/>
    </row>
    <row r="81" spans="1:26" ht="15.75" customHeight="1">
      <c r="A81" s="54"/>
      <c r="B81" s="162"/>
      <c r="C81" s="35" t="s">
        <v>1133</v>
      </c>
      <c r="D81" s="55" t="s">
        <v>785</v>
      </c>
      <c r="E81" s="55" t="s">
        <v>607</v>
      </c>
      <c r="F81" s="56" t="s">
        <v>1121</v>
      </c>
      <c r="G81" s="57" t="s">
        <v>1134</v>
      </c>
      <c r="H81" s="58">
        <v>18000</v>
      </c>
      <c r="I81" s="58">
        <f t="shared" si="14"/>
        <v>19600</v>
      </c>
      <c r="J81" s="58">
        <f t="shared" si="15"/>
        <v>530.30303030303025</v>
      </c>
      <c r="K81" s="58">
        <v>1300</v>
      </c>
      <c r="L81" s="59">
        <f t="shared" si="16"/>
        <v>1450</v>
      </c>
      <c r="M81" s="58">
        <f t="shared" si="17"/>
        <v>1087.5</v>
      </c>
      <c r="N81" s="58">
        <f t="shared" si="18"/>
        <v>942.5</v>
      </c>
      <c r="O81" s="58">
        <f t="shared" si="19"/>
        <v>750</v>
      </c>
      <c r="P81" s="58">
        <f t="shared" si="20"/>
        <v>1068.1818181818182</v>
      </c>
      <c r="Q81" s="60">
        <f t="shared" si="21"/>
        <v>2.7976190476190479</v>
      </c>
      <c r="R81" s="58">
        <f t="shared" si="22"/>
        <v>555.68181818181824</v>
      </c>
      <c r="S81" s="58">
        <f t="shared" si="23"/>
        <v>430.68181818181819</v>
      </c>
      <c r="T81" s="58">
        <f t="shared" si="24"/>
        <v>368.18181818181819</v>
      </c>
      <c r="U81" s="60">
        <f t="shared" si="25"/>
        <v>1.455357142857143</v>
      </c>
      <c r="V81" s="60">
        <f t="shared" si="26"/>
        <v>1.1279761904761905</v>
      </c>
      <c r="W81" s="60">
        <f t="shared" si="27"/>
        <v>0.9642857142857143</v>
      </c>
      <c r="X81" s="61" t="s">
        <v>100</v>
      </c>
      <c r="Y81" s="1"/>
      <c r="Z81" s="1"/>
    </row>
    <row r="82" spans="1:26" ht="15.75" customHeight="1">
      <c r="A82" s="54"/>
      <c r="B82" s="162"/>
      <c r="C82" s="33"/>
      <c r="D82" s="55" t="s">
        <v>785</v>
      </c>
      <c r="E82" s="55" t="s">
        <v>68</v>
      </c>
      <c r="F82" s="56" t="s">
        <v>1121</v>
      </c>
      <c r="G82" s="57" t="s">
        <v>1135</v>
      </c>
      <c r="H82" s="58">
        <v>22000</v>
      </c>
      <c r="I82" s="58">
        <f t="shared" si="14"/>
        <v>12600</v>
      </c>
      <c r="J82" s="58">
        <f t="shared" si="15"/>
        <v>593.93939393939399</v>
      </c>
      <c r="K82" s="58">
        <v>1600</v>
      </c>
      <c r="L82" s="59">
        <f t="shared" si="16"/>
        <v>1250</v>
      </c>
      <c r="M82" s="58">
        <f t="shared" si="17"/>
        <v>1087.5</v>
      </c>
      <c r="N82" s="58">
        <f t="shared" si="18"/>
        <v>942.5</v>
      </c>
      <c r="O82" s="58">
        <f t="shared" si="19"/>
        <v>650</v>
      </c>
      <c r="P82" s="58">
        <f t="shared" si="20"/>
        <v>919.69696969696975</v>
      </c>
      <c r="Q82" s="60">
        <f t="shared" si="21"/>
        <v>1.7342857142857144</v>
      </c>
      <c r="R82" s="58">
        <f t="shared" si="22"/>
        <v>557.19696969696975</v>
      </c>
      <c r="S82" s="58">
        <f t="shared" si="23"/>
        <v>412.19696969696975</v>
      </c>
      <c r="T82" s="58">
        <f t="shared" si="24"/>
        <v>219.69696969696975</v>
      </c>
      <c r="U82" s="60">
        <f t="shared" si="25"/>
        <v>1.0507142857142859</v>
      </c>
      <c r="V82" s="60">
        <f t="shared" si="26"/>
        <v>0.77728571428571447</v>
      </c>
      <c r="W82" s="60">
        <f t="shared" si="27"/>
        <v>0.41428571428571442</v>
      </c>
      <c r="X82" s="61"/>
      <c r="Y82" s="1"/>
      <c r="Z82" s="1"/>
    </row>
    <row r="83" spans="1:26" ht="15.75" customHeight="1">
      <c r="A83" s="54"/>
      <c r="B83" s="162"/>
      <c r="C83" s="35" t="s">
        <v>1133</v>
      </c>
      <c r="D83" s="55" t="s">
        <v>1136</v>
      </c>
      <c r="E83" s="55" t="s">
        <v>607</v>
      </c>
      <c r="F83" s="56" t="s">
        <v>1121</v>
      </c>
      <c r="G83" s="57" t="s">
        <v>1137</v>
      </c>
      <c r="H83" s="58">
        <v>20000</v>
      </c>
      <c r="I83" s="58">
        <f t="shared" si="14"/>
        <v>15399.999999999998</v>
      </c>
      <c r="J83" s="58">
        <f t="shared" si="15"/>
        <v>381.81818181818181</v>
      </c>
      <c r="K83" s="58">
        <v>1300</v>
      </c>
      <c r="L83" s="59">
        <f t="shared" si="16"/>
        <v>1550</v>
      </c>
      <c r="M83" s="58">
        <f t="shared" si="17"/>
        <v>937.5</v>
      </c>
      <c r="N83" s="58">
        <f t="shared" si="18"/>
        <v>812.5</v>
      </c>
      <c r="O83" s="58">
        <f t="shared" si="19"/>
        <v>800</v>
      </c>
      <c r="P83" s="58">
        <f t="shared" si="20"/>
        <v>656.06060606060601</v>
      </c>
      <c r="Q83" s="60">
        <f t="shared" si="21"/>
        <v>1.1045918367346936</v>
      </c>
      <c r="R83" s="58">
        <f t="shared" si="22"/>
        <v>493.56060606060601</v>
      </c>
      <c r="S83" s="58">
        <f t="shared" si="23"/>
        <v>348.56060606060601</v>
      </c>
      <c r="T83" s="58">
        <f t="shared" si="24"/>
        <v>56.060606060606005</v>
      </c>
      <c r="U83" s="60">
        <f t="shared" si="25"/>
        <v>0.83099489795918347</v>
      </c>
      <c r="V83" s="60">
        <f t="shared" si="26"/>
        <v>0.58686224489795902</v>
      </c>
      <c r="W83" s="60">
        <f t="shared" si="27"/>
        <v>9.4387755102040713E-2</v>
      </c>
      <c r="X83" s="61"/>
      <c r="Y83" s="1"/>
      <c r="Z83" s="1"/>
    </row>
    <row r="84" spans="1:26" ht="15.75" customHeight="1">
      <c r="A84" s="54"/>
      <c r="B84" s="162"/>
      <c r="C84" s="33"/>
      <c r="D84" s="55" t="s">
        <v>1136</v>
      </c>
      <c r="E84" s="55" t="s">
        <v>68</v>
      </c>
      <c r="F84" s="56" t="s">
        <v>1121</v>
      </c>
      <c r="G84" s="57" t="s">
        <v>1138</v>
      </c>
      <c r="H84" s="58">
        <v>25000</v>
      </c>
      <c r="I84" s="58">
        <f t="shared" si="14"/>
        <v>14000</v>
      </c>
      <c r="J84" s="58">
        <f t="shared" si="15"/>
        <v>466.66666666666663</v>
      </c>
      <c r="K84" s="58">
        <v>1600</v>
      </c>
      <c r="L84" s="59">
        <f t="shared" si="16"/>
        <v>1250</v>
      </c>
      <c r="M84" s="58">
        <f t="shared" si="17"/>
        <v>1162.5</v>
      </c>
      <c r="N84" s="58">
        <f t="shared" si="18"/>
        <v>1007.5</v>
      </c>
      <c r="O84" s="58">
        <f t="shared" si="19"/>
        <v>650</v>
      </c>
      <c r="P84" s="58">
        <f t="shared" si="20"/>
        <v>1168.1818181818182</v>
      </c>
      <c r="Q84" s="60">
        <f t="shared" si="21"/>
        <v>3.0595238095238098</v>
      </c>
      <c r="R84" s="58">
        <f t="shared" si="22"/>
        <v>555.68181818181824</v>
      </c>
      <c r="S84" s="58">
        <f t="shared" si="23"/>
        <v>430.68181818181819</v>
      </c>
      <c r="T84" s="58">
        <f t="shared" si="24"/>
        <v>418.18181818181819</v>
      </c>
      <c r="U84" s="60">
        <f t="shared" si="25"/>
        <v>1.455357142857143</v>
      </c>
      <c r="V84" s="60">
        <f t="shared" si="26"/>
        <v>1.1279761904761905</v>
      </c>
      <c r="W84" s="60">
        <f t="shared" si="27"/>
        <v>1.0952380952380953</v>
      </c>
      <c r="X84" s="61"/>
      <c r="Y84" s="1"/>
      <c r="Z84" s="1"/>
    </row>
    <row r="85" spans="1:26" ht="15.75" customHeight="1">
      <c r="A85" s="54"/>
      <c r="B85" s="162"/>
      <c r="C85" s="33"/>
      <c r="D85" s="55" t="s">
        <v>1139</v>
      </c>
      <c r="E85" s="55" t="s">
        <v>1140</v>
      </c>
      <c r="F85" s="56" t="s">
        <v>1121</v>
      </c>
      <c r="G85" s="57" t="s">
        <v>1141</v>
      </c>
      <c r="H85" s="58">
        <v>22000</v>
      </c>
      <c r="I85" s="58">
        <f t="shared" si="14"/>
        <v>17500</v>
      </c>
      <c r="J85" s="58">
        <f t="shared" si="15"/>
        <v>424.24242424242425</v>
      </c>
      <c r="K85" s="58">
        <v>1600</v>
      </c>
      <c r="L85" s="59">
        <f t="shared" si="16"/>
        <v>1550</v>
      </c>
      <c r="M85" s="58">
        <f t="shared" si="17"/>
        <v>937.5</v>
      </c>
      <c r="N85" s="58">
        <f t="shared" si="18"/>
        <v>812.5</v>
      </c>
      <c r="O85" s="58">
        <f t="shared" si="19"/>
        <v>800</v>
      </c>
      <c r="P85" s="58">
        <f t="shared" si="20"/>
        <v>783.33333333333337</v>
      </c>
      <c r="Q85" s="60">
        <f t="shared" si="21"/>
        <v>1.6785714285714288</v>
      </c>
      <c r="R85" s="58">
        <f t="shared" si="22"/>
        <v>695.83333333333337</v>
      </c>
      <c r="S85" s="58">
        <f t="shared" si="23"/>
        <v>540.83333333333337</v>
      </c>
      <c r="T85" s="58">
        <f t="shared" si="24"/>
        <v>183.33333333333337</v>
      </c>
      <c r="U85" s="60">
        <f t="shared" si="25"/>
        <v>1.4910714285714288</v>
      </c>
      <c r="V85" s="60">
        <f t="shared" si="26"/>
        <v>1.1589285714285715</v>
      </c>
      <c r="W85" s="60">
        <f t="shared" si="27"/>
        <v>0.39285714285714296</v>
      </c>
      <c r="X85" s="61" t="s">
        <v>62</v>
      </c>
      <c r="Y85" s="1"/>
      <c r="Z85" s="1"/>
    </row>
    <row r="86" spans="1:26" ht="15.75" customHeight="1">
      <c r="A86" s="54"/>
      <c r="B86" s="162"/>
      <c r="C86" s="33"/>
      <c r="D86" s="65" t="s">
        <v>1139</v>
      </c>
      <c r="E86" s="65" t="s">
        <v>68</v>
      </c>
      <c r="F86" s="66" t="s">
        <v>1121</v>
      </c>
      <c r="G86" s="67" t="s">
        <v>1142</v>
      </c>
      <c r="H86" s="68">
        <v>23000</v>
      </c>
      <c r="I86" s="58">
        <f t="shared" si="14"/>
        <v>15399.999999999998</v>
      </c>
      <c r="J86" s="58">
        <f t="shared" si="15"/>
        <v>530.30303030303025</v>
      </c>
      <c r="K86" s="58">
        <v>1600</v>
      </c>
      <c r="L86" s="59">
        <f t="shared" si="16"/>
        <v>1550</v>
      </c>
      <c r="M86" s="58">
        <f t="shared" si="17"/>
        <v>1162.5</v>
      </c>
      <c r="N86" s="58">
        <f t="shared" si="18"/>
        <v>1007.5</v>
      </c>
      <c r="O86" s="58">
        <f t="shared" si="19"/>
        <v>800</v>
      </c>
      <c r="P86" s="58">
        <f t="shared" si="20"/>
        <v>1125.7575757575758</v>
      </c>
      <c r="Q86" s="60">
        <f t="shared" si="21"/>
        <v>2.6535714285714285</v>
      </c>
      <c r="R86" s="58">
        <f t="shared" si="22"/>
        <v>513.25757575757575</v>
      </c>
      <c r="S86" s="58">
        <f t="shared" si="23"/>
        <v>388.25757575757575</v>
      </c>
      <c r="T86" s="58">
        <f t="shared" si="24"/>
        <v>375.75757575757575</v>
      </c>
      <c r="U86" s="60">
        <f t="shared" si="25"/>
        <v>1.2098214285714286</v>
      </c>
      <c r="V86" s="60">
        <f t="shared" si="26"/>
        <v>0.9151785714285714</v>
      </c>
      <c r="W86" s="60">
        <f t="shared" si="27"/>
        <v>0.88571428571428568</v>
      </c>
      <c r="X86" s="61"/>
      <c r="Y86" s="1"/>
      <c r="Z86" s="1"/>
    </row>
    <row r="87" spans="1:26" ht="15.75" customHeight="1">
      <c r="A87" s="54"/>
      <c r="B87" s="162"/>
      <c r="C87" s="33"/>
      <c r="D87" s="55" t="s">
        <v>1143</v>
      </c>
      <c r="E87" s="55" t="s">
        <v>68</v>
      </c>
      <c r="F87" s="56" t="s">
        <v>1121</v>
      </c>
      <c r="G87" s="57" t="s">
        <v>1144</v>
      </c>
      <c r="H87" s="58">
        <v>25000</v>
      </c>
      <c r="I87" s="58">
        <f t="shared" si="14"/>
        <v>16099.999999999998</v>
      </c>
      <c r="J87" s="58">
        <f t="shared" si="15"/>
        <v>466.66666666666663</v>
      </c>
      <c r="K87" s="58">
        <v>1600</v>
      </c>
      <c r="L87" s="59">
        <f t="shared" si="16"/>
        <v>1550</v>
      </c>
      <c r="M87" s="58">
        <f t="shared" si="17"/>
        <v>1162.5</v>
      </c>
      <c r="N87" s="58">
        <f t="shared" si="18"/>
        <v>1007.5</v>
      </c>
      <c r="O87" s="58">
        <f t="shared" si="19"/>
        <v>800</v>
      </c>
      <c r="P87" s="58">
        <f t="shared" si="20"/>
        <v>1019.6969696969697</v>
      </c>
      <c r="Q87" s="60">
        <f t="shared" si="21"/>
        <v>1.922857142857143</v>
      </c>
      <c r="R87" s="58">
        <f t="shared" si="22"/>
        <v>632.19696969696975</v>
      </c>
      <c r="S87" s="58">
        <f t="shared" si="23"/>
        <v>477.19696969696975</v>
      </c>
      <c r="T87" s="58">
        <f t="shared" si="24"/>
        <v>269.69696969696975</v>
      </c>
      <c r="U87" s="60">
        <f t="shared" si="25"/>
        <v>1.1921428571428574</v>
      </c>
      <c r="V87" s="60">
        <f t="shared" si="26"/>
        <v>0.89985714285714302</v>
      </c>
      <c r="W87" s="60">
        <f t="shared" si="27"/>
        <v>0.50857142857142867</v>
      </c>
      <c r="X87" s="61"/>
      <c r="Y87" s="1"/>
      <c r="Z87" s="1"/>
    </row>
    <row r="88" spans="1:26" ht="15.75" customHeight="1">
      <c r="A88" s="54"/>
      <c r="B88" s="162"/>
      <c r="C88" s="33"/>
      <c r="D88" s="55" t="s">
        <v>1145</v>
      </c>
      <c r="E88" s="55" t="s">
        <v>607</v>
      </c>
      <c r="F88" s="56" t="s">
        <v>1121</v>
      </c>
      <c r="G88" s="57" t="s">
        <v>1137</v>
      </c>
      <c r="H88" s="58">
        <v>15000</v>
      </c>
      <c r="I88" s="58">
        <f t="shared" si="14"/>
        <v>17500</v>
      </c>
      <c r="J88" s="58">
        <f t="shared" si="15"/>
        <v>487.87878787878782</v>
      </c>
      <c r="K88" s="58">
        <v>1300</v>
      </c>
      <c r="L88" s="59">
        <f t="shared" si="16"/>
        <v>1550</v>
      </c>
      <c r="M88" s="58">
        <f t="shared" si="17"/>
        <v>1162.5</v>
      </c>
      <c r="N88" s="58">
        <f t="shared" si="18"/>
        <v>1007.5</v>
      </c>
      <c r="O88" s="58">
        <f t="shared" si="19"/>
        <v>800</v>
      </c>
      <c r="P88" s="58">
        <f t="shared" si="20"/>
        <v>1083.3333333333335</v>
      </c>
      <c r="Q88" s="60">
        <f t="shared" si="21"/>
        <v>2.3214285714285721</v>
      </c>
      <c r="R88" s="58">
        <f t="shared" si="22"/>
        <v>695.83333333333337</v>
      </c>
      <c r="S88" s="58">
        <f t="shared" si="23"/>
        <v>540.83333333333337</v>
      </c>
      <c r="T88" s="58">
        <f t="shared" si="24"/>
        <v>333.33333333333337</v>
      </c>
      <c r="U88" s="60">
        <f t="shared" si="25"/>
        <v>1.4910714285714288</v>
      </c>
      <c r="V88" s="60">
        <f t="shared" si="26"/>
        <v>1.1589285714285715</v>
      </c>
      <c r="W88" s="60">
        <f t="shared" si="27"/>
        <v>0.71428571428571441</v>
      </c>
      <c r="X88" s="61"/>
      <c r="Y88" s="1"/>
      <c r="Z88" s="1"/>
    </row>
    <row r="89" spans="1:26" ht="15.75" customHeight="1">
      <c r="A89" s="54"/>
      <c r="B89" s="162"/>
      <c r="C89" s="33"/>
      <c r="D89" s="55" t="s">
        <v>1145</v>
      </c>
      <c r="E89" s="55" t="s">
        <v>68</v>
      </c>
      <c r="F89" s="56" t="s">
        <v>1121</v>
      </c>
      <c r="G89" s="57" t="s">
        <v>1138</v>
      </c>
      <c r="H89" s="58">
        <v>18000</v>
      </c>
      <c r="I89" s="58">
        <f t="shared" si="14"/>
        <v>10500</v>
      </c>
      <c r="J89" s="58">
        <f t="shared" si="15"/>
        <v>530.30303030303025</v>
      </c>
      <c r="K89" s="58">
        <v>1600</v>
      </c>
      <c r="L89" s="59">
        <f t="shared" si="16"/>
        <v>1250</v>
      </c>
      <c r="M89" s="58">
        <f t="shared" si="17"/>
        <v>1162.5</v>
      </c>
      <c r="N89" s="58">
        <f t="shared" si="18"/>
        <v>1007.5</v>
      </c>
      <c r="O89" s="58">
        <f t="shared" si="19"/>
        <v>650</v>
      </c>
      <c r="P89" s="58">
        <f t="shared" si="20"/>
        <v>1062.1212121212122</v>
      </c>
      <c r="Q89" s="60">
        <f t="shared" si="21"/>
        <v>2.1770186335403734</v>
      </c>
      <c r="R89" s="58">
        <f t="shared" si="22"/>
        <v>674.62121212121224</v>
      </c>
      <c r="S89" s="58">
        <f t="shared" si="23"/>
        <v>519.62121212121224</v>
      </c>
      <c r="T89" s="58">
        <f t="shared" si="24"/>
        <v>312.12121212121218</v>
      </c>
      <c r="U89" s="60">
        <f t="shared" si="25"/>
        <v>1.3827639751552798</v>
      </c>
      <c r="V89" s="60">
        <f t="shared" si="26"/>
        <v>1.0650621118012427</v>
      </c>
      <c r="W89" s="60">
        <f t="shared" si="27"/>
        <v>0.63975155279503126</v>
      </c>
      <c r="X89" s="61"/>
      <c r="Y89" s="1"/>
      <c r="Z89" s="1"/>
    </row>
    <row r="90" spans="1:26" ht="15.75" customHeight="1">
      <c r="A90" s="54"/>
      <c r="B90" s="162"/>
      <c r="C90" s="33"/>
      <c r="D90" s="55" t="s">
        <v>1145</v>
      </c>
      <c r="E90" s="55" t="s">
        <v>1026</v>
      </c>
      <c r="F90" s="56" t="s">
        <v>1121</v>
      </c>
      <c r="G90" s="57" t="s">
        <v>1146</v>
      </c>
      <c r="H90" s="58">
        <v>23000</v>
      </c>
      <c r="I90" s="58">
        <f t="shared" si="14"/>
        <v>12600</v>
      </c>
      <c r="J90" s="58">
        <f t="shared" si="15"/>
        <v>318.18181818181819</v>
      </c>
      <c r="K90" s="58">
        <v>1600</v>
      </c>
      <c r="L90" s="59">
        <f t="shared" si="16"/>
        <v>1550</v>
      </c>
      <c r="M90" s="58">
        <f t="shared" si="17"/>
        <v>937.5</v>
      </c>
      <c r="N90" s="58">
        <f t="shared" si="18"/>
        <v>812.5</v>
      </c>
      <c r="O90" s="58">
        <f t="shared" si="19"/>
        <v>800</v>
      </c>
      <c r="P90" s="58">
        <f t="shared" si="20"/>
        <v>719.69696969696975</v>
      </c>
      <c r="Q90" s="60">
        <f t="shared" si="21"/>
        <v>1.3571428571428574</v>
      </c>
      <c r="R90" s="58">
        <f t="shared" si="22"/>
        <v>632.19696969696975</v>
      </c>
      <c r="S90" s="58">
        <f t="shared" si="23"/>
        <v>477.19696969696975</v>
      </c>
      <c r="T90" s="58">
        <f t="shared" si="24"/>
        <v>119.69696969696975</v>
      </c>
      <c r="U90" s="60">
        <f t="shared" si="25"/>
        <v>1.1921428571428574</v>
      </c>
      <c r="V90" s="60">
        <f t="shared" si="26"/>
        <v>0.89985714285714302</v>
      </c>
      <c r="W90" s="60">
        <f t="shared" si="27"/>
        <v>0.22571428571428584</v>
      </c>
      <c r="X90" s="61"/>
      <c r="Y90" s="1"/>
      <c r="Z90" s="1"/>
    </row>
    <row r="91" spans="1:26" ht="15.75" customHeight="1">
      <c r="A91" s="54"/>
      <c r="B91" s="162"/>
      <c r="C91" s="33"/>
      <c r="D91" s="55" t="s">
        <v>1147</v>
      </c>
      <c r="E91" s="55" t="s">
        <v>607</v>
      </c>
      <c r="F91" s="56" t="s">
        <v>1121</v>
      </c>
      <c r="G91" s="57" t="s">
        <v>1148</v>
      </c>
      <c r="H91" s="58">
        <v>16000</v>
      </c>
      <c r="I91" s="58">
        <f t="shared" si="14"/>
        <v>16099.999999999998</v>
      </c>
      <c r="J91" s="58">
        <f t="shared" si="15"/>
        <v>381.81818181818181</v>
      </c>
      <c r="K91" s="58">
        <v>1300</v>
      </c>
      <c r="L91" s="59">
        <f t="shared" si="16"/>
        <v>1550</v>
      </c>
      <c r="M91" s="58">
        <f t="shared" si="17"/>
        <v>1162.5</v>
      </c>
      <c r="N91" s="58">
        <f t="shared" si="18"/>
        <v>1007.5</v>
      </c>
      <c r="O91" s="58">
        <f t="shared" si="19"/>
        <v>800</v>
      </c>
      <c r="P91" s="58">
        <f t="shared" si="20"/>
        <v>1231.8181818181818</v>
      </c>
      <c r="Q91" s="60">
        <f t="shared" si="21"/>
        <v>3.871428571428571</v>
      </c>
      <c r="R91" s="58">
        <f t="shared" si="22"/>
        <v>619.31818181818176</v>
      </c>
      <c r="S91" s="58">
        <f t="shared" si="23"/>
        <v>494.31818181818181</v>
      </c>
      <c r="T91" s="58">
        <f t="shared" si="24"/>
        <v>481.81818181818181</v>
      </c>
      <c r="U91" s="60">
        <f t="shared" si="25"/>
        <v>1.9464285714285712</v>
      </c>
      <c r="V91" s="60">
        <f t="shared" si="26"/>
        <v>1.5535714285714286</v>
      </c>
      <c r="W91" s="60">
        <f t="shared" si="27"/>
        <v>1.5142857142857142</v>
      </c>
      <c r="X91" s="61"/>
      <c r="Y91" s="1"/>
      <c r="Z91" s="1"/>
    </row>
    <row r="92" spans="1:26" ht="15.75" customHeight="1">
      <c r="A92" s="54"/>
      <c r="B92" s="162"/>
      <c r="C92" s="33"/>
      <c r="D92" s="55" t="s">
        <v>1147</v>
      </c>
      <c r="E92" s="55" t="s">
        <v>68</v>
      </c>
      <c r="F92" s="56" t="s">
        <v>1121</v>
      </c>
      <c r="G92" s="57" t="s">
        <v>1149</v>
      </c>
      <c r="H92" s="58">
        <v>23000</v>
      </c>
      <c r="I92" s="58">
        <f t="shared" si="14"/>
        <v>11200</v>
      </c>
      <c r="J92" s="58">
        <f t="shared" si="15"/>
        <v>487.87878787878782</v>
      </c>
      <c r="K92" s="58">
        <v>1600</v>
      </c>
      <c r="L92" s="59">
        <f t="shared" si="16"/>
        <v>1250</v>
      </c>
      <c r="M92" s="58">
        <f t="shared" si="17"/>
        <v>1162.5</v>
      </c>
      <c r="N92" s="58">
        <f t="shared" si="18"/>
        <v>1007.5</v>
      </c>
      <c r="O92" s="58">
        <f t="shared" si="19"/>
        <v>650</v>
      </c>
      <c r="P92" s="58">
        <f t="shared" si="20"/>
        <v>1168.1818181818182</v>
      </c>
      <c r="Q92" s="60">
        <f t="shared" si="21"/>
        <v>3.0595238095238098</v>
      </c>
      <c r="R92" s="58">
        <f t="shared" si="22"/>
        <v>780.68181818181824</v>
      </c>
      <c r="S92" s="58">
        <f t="shared" si="23"/>
        <v>625.68181818181824</v>
      </c>
      <c r="T92" s="58">
        <f t="shared" si="24"/>
        <v>418.18181818181819</v>
      </c>
      <c r="U92" s="60">
        <f t="shared" si="25"/>
        <v>2.0446428571428572</v>
      </c>
      <c r="V92" s="60">
        <f t="shared" si="26"/>
        <v>1.6386904761904764</v>
      </c>
      <c r="W92" s="60">
        <f t="shared" si="27"/>
        <v>1.0952380952380953</v>
      </c>
      <c r="X92" s="61"/>
      <c r="Y92" s="1"/>
      <c r="Z92" s="1"/>
    </row>
    <row r="93" spans="1:26" ht="15.75" customHeight="1">
      <c r="A93" s="54"/>
      <c r="B93" s="162"/>
      <c r="C93" s="35" t="s">
        <v>788</v>
      </c>
      <c r="D93" s="55" t="s">
        <v>1150</v>
      </c>
      <c r="E93" s="55" t="s">
        <v>607</v>
      </c>
      <c r="F93" s="56" t="s">
        <v>1007</v>
      </c>
      <c r="G93" s="57" t="s">
        <v>1151</v>
      </c>
      <c r="H93" s="58">
        <v>15000</v>
      </c>
      <c r="I93" s="58">
        <f t="shared" si="14"/>
        <v>16099.999999999998</v>
      </c>
      <c r="J93" s="58">
        <f t="shared" si="15"/>
        <v>339.39393939393938</v>
      </c>
      <c r="K93" s="58">
        <v>1200</v>
      </c>
      <c r="L93" s="59">
        <f t="shared" si="16"/>
        <v>1550</v>
      </c>
      <c r="M93" s="58">
        <f t="shared" si="17"/>
        <v>937.5</v>
      </c>
      <c r="N93" s="58">
        <f t="shared" si="18"/>
        <v>812.5</v>
      </c>
      <c r="O93" s="58">
        <f t="shared" si="19"/>
        <v>800</v>
      </c>
      <c r="P93" s="58">
        <f t="shared" si="20"/>
        <v>762.12121212121224</v>
      </c>
      <c r="Q93" s="60">
        <f t="shared" si="21"/>
        <v>1.5621118012422364</v>
      </c>
      <c r="R93" s="58">
        <f t="shared" si="22"/>
        <v>674.62121212121224</v>
      </c>
      <c r="S93" s="58">
        <f t="shared" si="23"/>
        <v>519.62121212121224</v>
      </c>
      <c r="T93" s="58">
        <f t="shared" si="24"/>
        <v>162.12121212121218</v>
      </c>
      <c r="U93" s="60">
        <f t="shared" si="25"/>
        <v>1.3827639751552798</v>
      </c>
      <c r="V93" s="60">
        <f t="shared" si="26"/>
        <v>1.0650621118012427</v>
      </c>
      <c r="W93" s="60">
        <f t="shared" si="27"/>
        <v>0.33229813664596292</v>
      </c>
      <c r="X93" s="61"/>
      <c r="Y93" s="1"/>
      <c r="Z93" s="1"/>
    </row>
    <row r="94" spans="1:26" ht="15.75" customHeight="1">
      <c r="A94" s="54"/>
      <c r="B94" s="161"/>
      <c r="C94" s="33"/>
      <c r="D94" s="70" t="s">
        <v>1152</v>
      </c>
      <c r="E94" s="55" t="s">
        <v>756</v>
      </c>
      <c r="F94" s="56"/>
      <c r="G94" s="57" t="s">
        <v>1153</v>
      </c>
      <c r="H94" s="58">
        <v>12000</v>
      </c>
      <c r="I94" s="58">
        <f t="shared" si="14"/>
        <v>10500</v>
      </c>
      <c r="J94" s="58">
        <f t="shared" si="15"/>
        <v>487.87878787878782</v>
      </c>
      <c r="K94" s="58">
        <v>1500</v>
      </c>
      <c r="L94" s="59">
        <f t="shared" si="16"/>
        <v>1150</v>
      </c>
      <c r="M94" s="58">
        <f t="shared" si="17"/>
        <v>1162.5</v>
      </c>
      <c r="N94" s="58">
        <f t="shared" si="18"/>
        <v>1007.5</v>
      </c>
      <c r="O94" s="58">
        <f t="shared" si="19"/>
        <v>600</v>
      </c>
      <c r="P94" s="58">
        <f t="shared" si="20"/>
        <v>1210.6060606060605</v>
      </c>
      <c r="Q94" s="60">
        <f t="shared" si="21"/>
        <v>3.5669642857142856</v>
      </c>
      <c r="R94" s="58">
        <f t="shared" si="22"/>
        <v>598.10606060606062</v>
      </c>
      <c r="S94" s="58">
        <f t="shared" si="23"/>
        <v>473.10606060606062</v>
      </c>
      <c r="T94" s="58">
        <f t="shared" si="24"/>
        <v>460.60606060606062</v>
      </c>
      <c r="U94" s="60">
        <f t="shared" si="25"/>
        <v>1.7622767857142858</v>
      </c>
      <c r="V94" s="60">
        <f t="shared" si="26"/>
        <v>1.3939732142857144</v>
      </c>
      <c r="W94" s="60">
        <f t="shared" si="27"/>
        <v>1.3571428571428572</v>
      </c>
      <c r="X94" s="61"/>
      <c r="Y94" s="1"/>
      <c r="Z94" s="1"/>
    </row>
    <row r="95" spans="1:26" ht="15.75" customHeight="1">
      <c r="A95" s="54"/>
      <c r="B95" s="161"/>
      <c r="C95" s="33"/>
      <c r="D95" s="55" t="s">
        <v>1150</v>
      </c>
      <c r="E95" s="55" t="s">
        <v>1154</v>
      </c>
      <c r="F95" s="56" t="s">
        <v>1007</v>
      </c>
      <c r="G95" s="71" t="s">
        <v>1155</v>
      </c>
      <c r="H95" s="72">
        <v>18000</v>
      </c>
      <c r="I95" s="58">
        <f t="shared" si="14"/>
        <v>8400</v>
      </c>
      <c r="J95" s="58">
        <f t="shared" si="15"/>
        <v>318.18181818181819</v>
      </c>
      <c r="K95" s="58">
        <v>1500</v>
      </c>
      <c r="L95" s="59">
        <f t="shared" si="16"/>
        <v>1450</v>
      </c>
      <c r="M95" s="58">
        <f t="shared" si="17"/>
        <v>862.5</v>
      </c>
      <c r="N95" s="58">
        <f t="shared" si="18"/>
        <v>747.5</v>
      </c>
      <c r="O95" s="58">
        <f t="shared" si="19"/>
        <v>750</v>
      </c>
      <c r="P95" s="58">
        <f t="shared" si="20"/>
        <v>662.12121212121224</v>
      </c>
      <c r="Q95" s="60">
        <f t="shared" si="21"/>
        <v>1.3571428571428577</v>
      </c>
      <c r="R95" s="58">
        <f t="shared" si="22"/>
        <v>674.62121212121224</v>
      </c>
      <c r="S95" s="58">
        <f t="shared" si="23"/>
        <v>519.62121212121224</v>
      </c>
      <c r="T95" s="58">
        <f t="shared" si="24"/>
        <v>112.12121212121218</v>
      </c>
      <c r="U95" s="60">
        <f t="shared" si="25"/>
        <v>1.3827639751552798</v>
      </c>
      <c r="V95" s="60">
        <f t="shared" si="26"/>
        <v>1.0650621118012427</v>
      </c>
      <c r="W95" s="60">
        <f t="shared" si="27"/>
        <v>0.22981366459627345</v>
      </c>
      <c r="X95" s="73">
        <v>43893</v>
      </c>
      <c r="Y95" s="1"/>
      <c r="Z95" s="1"/>
    </row>
    <row r="96" spans="1:26" ht="15.75" customHeight="1">
      <c r="A96" s="54"/>
      <c r="B96" s="162"/>
      <c r="C96" s="43"/>
      <c r="D96" s="55" t="s">
        <v>1156</v>
      </c>
      <c r="E96" s="55" t="s">
        <v>607</v>
      </c>
      <c r="F96" s="56" t="s">
        <v>1007</v>
      </c>
      <c r="G96" s="57" t="s">
        <v>1157</v>
      </c>
      <c r="H96" s="58">
        <v>12000</v>
      </c>
      <c r="I96" s="58">
        <f t="shared" si="14"/>
        <v>12600</v>
      </c>
      <c r="J96" s="58">
        <f t="shared" si="15"/>
        <v>254.54545454545453</v>
      </c>
      <c r="K96" s="58">
        <v>1200</v>
      </c>
      <c r="L96" s="59">
        <f t="shared" si="16"/>
        <v>1450</v>
      </c>
      <c r="M96" s="58">
        <f t="shared" si="17"/>
        <v>1087.5</v>
      </c>
      <c r="N96" s="58">
        <f t="shared" si="18"/>
        <v>942.5</v>
      </c>
      <c r="O96" s="58">
        <f t="shared" si="19"/>
        <v>750</v>
      </c>
      <c r="P96" s="58">
        <f t="shared" si="20"/>
        <v>1131.8181818181818</v>
      </c>
      <c r="Q96" s="60">
        <f t="shared" si="21"/>
        <v>3.5571428571428569</v>
      </c>
      <c r="R96" s="58">
        <f t="shared" si="22"/>
        <v>544.31818181818176</v>
      </c>
      <c r="S96" s="58">
        <f t="shared" si="23"/>
        <v>429.31818181818181</v>
      </c>
      <c r="T96" s="58">
        <f t="shared" si="24"/>
        <v>431.81818181818181</v>
      </c>
      <c r="U96" s="60">
        <f t="shared" si="25"/>
        <v>1.7107142857142854</v>
      </c>
      <c r="V96" s="60">
        <f t="shared" si="26"/>
        <v>1.3492857142857142</v>
      </c>
      <c r="W96" s="60">
        <f t="shared" si="27"/>
        <v>1.3571428571428572</v>
      </c>
      <c r="X96" s="61"/>
      <c r="Y96" s="1"/>
      <c r="Z96" s="1"/>
    </row>
    <row r="97" spans="1:26" ht="15.75" customHeight="1">
      <c r="A97" s="54"/>
      <c r="B97" s="162"/>
      <c r="C97" s="33"/>
      <c r="D97" s="55" t="s">
        <v>1158</v>
      </c>
      <c r="E97" s="55" t="s">
        <v>607</v>
      </c>
      <c r="F97" s="56" t="s">
        <v>1014</v>
      </c>
      <c r="G97" s="57" t="s">
        <v>1159</v>
      </c>
      <c r="H97" s="58">
        <v>16000</v>
      </c>
      <c r="I97" s="58">
        <f t="shared" si="14"/>
        <v>8400</v>
      </c>
      <c r="J97" s="58">
        <f t="shared" si="15"/>
        <v>381.81818181818181</v>
      </c>
      <c r="K97" s="58">
        <v>1200</v>
      </c>
      <c r="L97" s="59">
        <f t="shared" si="16"/>
        <v>1150</v>
      </c>
      <c r="M97" s="58">
        <f t="shared" si="17"/>
        <v>1087.5</v>
      </c>
      <c r="N97" s="58">
        <f t="shared" si="18"/>
        <v>942.5</v>
      </c>
      <c r="O97" s="58">
        <f t="shared" si="19"/>
        <v>600</v>
      </c>
      <c r="P97" s="58">
        <f t="shared" si="20"/>
        <v>1195.4545454545455</v>
      </c>
      <c r="Q97" s="60">
        <f t="shared" si="21"/>
        <v>4.6964285714285721</v>
      </c>
      <c r="R97" s="58">
        <f t="shared" si="22"/>
        <v>832.9545454545455</v>
      </c>
      <c r="S97" s="58">
        <f t="shared" si="23"/>
        <v>687.9545454545455</v>
      </c>
      <c r="T97" s="58">
        <f t="shared" si="24"/>
        <v>495.4545454545455</v>
      </c>
      <c r="U97" s="60">
        <f t="shared" si="25"/>
        <v>3.2723214285714288</v>
      </c>
      <c r="V97" s="60">
        <f t="shared" si="26"/>
        <v>2.7026785714285717</v>
      </c>
      <c r="W97" s="60">
        <f t="shared" si="27"/>
        <v>1.9464285714285716</v>
      </c>
      <c r="X97" s="61" t="s">
        <v>112</v>
      </c>
      <c r="Y97" s="1"/>
      <c r="Z97" s="1"/>
    </row>
    <row r="98" spans="1:26" ht="15.75" customHeight="1">
      <c r="A98" s="54"/>
      <c r="B98" s="162"/>
      <c r="C98" s="33"/>
      <c r="D98" s="55" t="s">
        <v>450</v>
      </c>
      <c r="E98" s="55" t="s">
        <v>607</v>
      </c>
      <c r="F98" s="56" t="s">
        <v>1014</v>
      </c>
      <c r="G98" s="57" t="s">
        <v>1160</v>
      </c>
      <c r="H98" s="58">
        <v>15000</v>
      </c>
      <c r="I98" s="58">
        <f t="shared" si="14"/>
        <v>11200</v>
      </c>
      <c r="J98" s="58">
        <f t="shared" si="15"/>
        <v>254.54545454545453</v>
      </c>
      <c r="K98" s="58">
        <v>1200</v>
      </c>
      <c r="L98" s="59">
        <f t="shared" si="16"/>
        <v>1150</v>
      </c>
      <c r="M98" s="58">
        <f t="shared" si="17"/>
        <v>862.5</v>
      </c>
      <c r="N98" s="58">
        <f t="shared" si="18"/>
        <v>747.5</v>
      </c>
      <c r="O98" s="58">
        <f t="shared" si="19"/>
        <v>600</v>
      </c>
      <c r="P98" s="58">
        <f t="shared" si="20"/>
        <v>768.18181818181824</v>
      </c>
      <c r="Q98" s="60">
        <f t="shared" si="21"/>
        <v>2.0119047619047623</v>
      </c>
      <c r="R98" s="58">
        <f t="shared" si="22"/>
        <v>705.68181818181824</v>
      </c>
      <c r="S98" s="58">
        <f t="shared" si="23"/>
        <v>560.68181818181824</v>
      </c>
      <c r="T98" s="58">
        <f t="shared" si="24"/>
        <v>218.18181818181819</v>
      </c>
      <c r="U98" s="60">
        <f t="shared" si="25"/>
        <v>1.8482142857142858</v>
      </c>
      <c r="V98" s="60">
        <f t="shared" si="26"/>
        <v>1.4684523809523811</v>
      </c>
      <c r="W98" s="60">
        <f t="shared" si="27"/>
        <v>0.5714285714285714</v>
      </c>
      <c r="X98" s="61"/>
      <c r="Y98" s="1"/>
      <c r="Z98" s="1"/>
    </row>
    <row r="99" spans="1:26" ht="15.75" customHeight="1">
      <c r="A99" s="54"/>
      <c r="B99" s="162"/>
      <c r="C99" s="33"/>
      <c r="D99" s="55" t="s">
        <v>450</v>
      </c>
      <c r="E99" s="55" t="s">
        <v>1161</v>
      </c>
      <c r="F99" s="56"/>
      <c r="G99" s="57"/>
      <c r="H99" s="58">
        <v>19000</v>
      </c>
      <c r="I99" s="58">
        <f t="shared" si="14"/>
        <v>10500</v>
      </c>
      <c r="J99" s="58">
        <f t="shared" si="15"/>
        <v>339.39393939393938</v>
      </c>
      <c r="K99" s="58">
        <v>1200</v>
      </c>
      <c r="L99" s="59">
        <f t="shared" si="16"/>
        <v>1150</v>
      </c>
      <c r="M99" s="58">
        <f t="shared" si="17"/>
        <v>862.5</v>
      </c>
      <c r="N99" s="58">
        <f t="shared" si="18"/>
        <v>747.5</v>
      </c>
      <c r="O99" s="58">
        <f t="shared" si="19"/>
        <v>600</v>
      </c>
      <c r="P99" s="58">
        <f t="shared" si="20"/>
        <v>895.4545454545455</v>
      </c>
      <c r="Q99" s="60">
        <f t="shared" si="21"/>
        <v>3.5178571428571432</v>
      </c>
      <c r="R99" s="58">
        <f t="shared" si="22"/>
        <v>607.9545454545455</v>
      </c>
      <c r="S99" s="58">
        <f t="shared" si="23"/>
        <v>492.9545454545455</v>
      </c>
      <c r="T99" s="58">
        <f t="shared" si="24"/>
        <v>345.4545454545455</v>
      </c>
      <c r="U99" s="60">
        <f t="shared" si="25"/>
        <v>2.3883928571428572</v>
      </c>
      <c r="V99" s="60">
        <f t="shared" si="26"/>
        <v>1.9366071428571432</v>
      </c>
      <c r="W99" s="60">
        <f t="shared" si="27"/>
        <v>1.3571428571428574</v>
      </c>
      <c r="X99" s="61"/>
      <c r="Y99" s="1"/>
      <c r="Z99" s="1"/>
    </row>
    <row r="100" spans="1:26" ht="15.75" customHeight="1">
      <c r="A100" s="54"/>
      <c r="B100" s="162"/>
      <c r="C100" s="33"/>
      <c r="D100" s="55" t="s">
        <v>450</v>
      </c>
      <c r="E100" s="55" t="s">
        <v>68</v>
      </c>
      <c r="F100" s="56" t="s">
        <v>1014</v>
      </c>
      <c r="G100" s="57" t="s">
        <v>1162</v>
      </c>
      <c r="H100" s="58">
        <v>20000</v>
      </c>
      <c r="I100" s="58">
        <f t="shared" si="14"/>
        <v>13300</v>
      </c>
      <c r="J100" s="58">
        <f t="shared" si="15"/>
        <v>318.18181818181819</v>
      </c>
      <c r="K100" s="58">
        <v>1500</v>
      </c>
      <c r="L100" s="59">
        <f t="shared" si="16"/>
        <v>1150</v>
      </c>
      <c r="M100" s="58">
        <f t="shared" si="17"/>
        <v>862.5</v>
      </c>
      <c r="N100" s="58">
        <f t="shared" si="18"/>
        <v>747.5</v>
      </c>
      <c r="O100" s="58">
        <f t="shared" si="19"/>
        <v>600</v>
      </c>
      <c r="P100" s="58">
        <f t="shared" si="20"/>
        <v>810.60606060606062</v>
      </c>
      <c r="Q100" s="60">
        <f t="shared" si="21"/>
        <v>2.3883928571428572</v>
      </c>
      <c r="R100" s="58">
        <f t="shared" si="22"/>
        <v>523.10606060606062</v>
      </c>
      <c r="S100" s="58">
        <f t="shared" si="23"/>
        <v>408.10606060606062</v>
      </c>
      <c r="T100" s="58">
        <f t="shared" si="24"/>
        <v>260.60606060606062</v>
      </c>
      <c r="U100" s="60">
        <f t="shared" si="25"/>
        <v>1.541294642857143</v>
      </c>
      <c r="V100" s="60">
        <f t="shared" si="26"/>
        <v>1.2024553571428573</v>
      </c>
      <c r="W100" s="60">
        <f t="shared" si="27"/>
        <v>0.7678571428571429</v>
      </c>
      <c r="X100" s="61"/>
      <c r="Y100" s="1"/>
      <c r="Z100" s="1"/>
    </row>
    <row r="101" spans="1:26" ht="15.75" customHeight="1">
      <c r="A101" s="54"/>
      <c r="B101" s="162"/>
      <c r="C101" s="33"/>
      <c r="D101" s="55" t="s">
        <v>1163</v>
      </c>
      <c r="E101" s="55" t="s">
        <v>607</v>
      </c>
      <c r="F101" s="56" t="s">
        <v>1055</v>
      </c>
      <c r="G101" s="57" t="s">
        <v>1164</v>
      </c>
      <c r="H101" s="58">
        <v>15000</v>
      </c>
      <c r="I101" s="58">
        <f t="shared" si="14"/>
        <v>14000</v>
      </c>
      <c r="J101" s="58">
        <f t="shared" si="15"/>
        <v>403.030303030303</v>
      </c>
      <c r="K101" s="58">
        <v>1200</v>
      </c>
      <c r="L101" s="59">
        <f t="shared" si="16"/>
        <v>1450</v>
      </c>
      <c r="M101" s="58">
        <f t="shared" si="17"/>
        <v>862.5</v>
      </c>
      <c r="N101" s="58">
        <f t="shared" si="18"/>
        <v>747.5</v>
      </c>
      <c r="O101" s="58">
        <f t="shared" si="19"/>
        <v>750</v>
      </c>
      <c r="P101" s="58">
        <f t="shared" si="20"/>
        <v>831.81818181818176</v>
      </c>
      <c r="Q101" s="60">
        <f t="shared" si="21"/>
        <v>2.6142857142857139</v>
      </c>
      <c r="R101" s="58">
        <f t="shared" si="22"/>
        <v>544.31818181818176</v>
      </c>
      <c r="S101" s="58">
        <f t="shared" si="23"/>
        <v>429.31818181818181</v>
      </c>
      <c r="T101" s="58">
        <f t="shared" si="24"/>
        <v>281.81818181818181</v>
      </c>
      <c r="U101" s="60">
        <f t="shared" si="25"/>
        <v>1.7107142857142854</v>
      </c>
      <c r="V101" s="60">
        <f t="shared" si="26"/>
        <v>1.3492857142857142</v>
      </c>
      <c r="W101" s="60">
        <f t="shared" si="27"/>
        <v>0.88571428571428568</v>
      </c>
      <c r="X101" s="61"/>
      <c r="Y101" s="1"/>
      <c r="Z101" s="1"/>
    </row>
    <row r="102" spans="1:26" ht="15.75" customHeight="1">
      <c r="A102" s="54"/>
      <c r="B102" s="162"/>
      <c r="C102" s="33"/>
      <c r="D102" s="55" t="s">
        <v>1165</v>
      </c>
      <c r="E102" s="55" t="s">
        <v>1166</v>
      </c>
      <c r="F102" s="56" t="s">
        <v>1014</v>
      </c>
      <c r="G102" s="57" t="s">
        <v>1167</v>
      </c>
      <c r="H102" s="58">
        <v>20000</v>
      </c>
      <c r="I102" s="58">
        <f t="shared" si="14"/>
        <v>10500</v>
      </c>
      <c r="J102" s="58">
        <f t="shared" si="15"/>
        <v>424.24242424242425</v>
      </c>
      <c r="K102" s="58">
        <v>1500</v>
      </c>
      <c r="L102" s="59">
        <f t="shared" si="16"/>
        <v>1150</v>
      </c>
      <c r="M102" s="58">
        <f t="shared" si="17"/>
        <v>1087.5</v>
      </c>
      <c r="N102" s="58">
        <f t="shared" si="18"/>
        <v>942.5</v>
      </c>
      <c r="O102" s="58">
        <f t="shared" si="19"/>
        <v>600</v>
      </c>
      <c r="P102" s="58">
        <f t="shared" si="20"/>
        <v>1046.969696969697</v>
      </c>
      <c r="Q102" s="60">
        <f t="shared" si="21"/>
        <v>2.5977443609022557</v>
      </c>
      <c r="R102" s="58">
        <f t="shared" si="22"/>
        <v>459.469696969697</v>
      </c>
      <c r="S102" s="58">
        <f t="shared" si="23"/>
        <v>344.469696969697</v>
      </c>
      <c r="T102" s="58">
        <f t="shared" si="24"/>
        <v>346.969696969697</v>
      </c>
      <c r="U102" s="60">
        <f t="shared" si="25"/>
        <v>1.1400375939849625</v>
      </c>
      <c r="V102" s="60">
        <f t="shared" si="26"/>
        <v>0.85469924812030085</v>
      </c>
      <c r="W102" s="60">
        <f t="shared" si="27"/>
        <v>0.86090225563909784</v>
      </c>
      <c r="X102" s="61" t="s">
        <v>52</v>
      </c>
      <c r="Y102" s="1"/>
      <c r="Z102" s="1"/>
    </row>
    <row r="103" spans="1:26" ht="15.75" customHeight="1">
      <c r="A103" s="54"/>
      <c r="B103" s="162"/>
      <c r="C103" s="33"/>
      <c r="D103" s="55" t="s">
        <v>460</v>
      </c>
      <c r="E103" s="55" t="s">
        <v>68</v>
      </c>
      <c r="F103" s="56" t="s">
        <v>1014</v>
      </c>
      <c r="G103" s="57" t="s">
        <v>1168</v>
      </c>
      <c r="H103" s="58">
        <v>18000</v>
      </c>
      <c r="I103" s="58">
        <f t="shared" si="14"/>
        <v>14000</v>
      </c>
      <c r="J103" s="58">
        <f t="shared" si="15"/>
        <v>318.18181818181819</v>
      </c>
      <c r="K103" s="58">
        <v>1500</v>
      </c>
      <c r="L103" s="59">
        <f t="shared" si="16"/>
        <v>1450</v>
      </c>
      <c r="M103" s="58">
        <f t="shared" si="17"/>
        <v>862.5</v>
      </c>
      <c r="N103" s="58">
        <f t="shared" si="18"/>
        <v>747.5</v>
      </c>
      <c r="O103" s="58">
        <f t="shared" si="19"/>
        <v>750</v>
      </c>
      <c r="P103" s="58">
        <f t="shared" si="20"/>
        <v>725.75757575757575</v>
      </c>
      <c r="Q103" s="60">
        <f t="shared" si="21"/>
        <v>1.7107142857142856</v>
      </c>
      <c r="R103" s="58">
        <f t="shared" si="22"/>
        <v>663.25757575757575</v>
      </c>
      <c r="S103" s="58">
        <f t="shared" si="23"/>
        <v>518.25757575757575</v>
      </c>
      <c r="T103" s="58">
        <f t="shared" si="24"/>
        <v>175.75757575757575</v>
      </c>
      <c r="U103" s="60">
        <f t="shared" si="25"/>
        <v>1.563392857142857</v>
      </c>
      <c r="V103" s="60">
        <f t="shared" si="26"/>
        <v>1.2216071428571429</v>
      </c>
      <c r="W103" s="60">
        <f t="shared" si="27"/>
        <v>0.41428571428571426</v>
      </c>
      <c r="X103" s="61" t="s">
        <v>116</v>
      </c>
      <c r="Y103" s="1"/>
      <c r="Z103" s="1"/>
    </row>
    <row r="104" spans="1:26" ht="15.75" customHeight="1">
      <c r="A104" s="54"/>
      <c r="B104" s="162"/>
      <c r="C104" s="33"/>
      <c r="D104" s="55" t="s">
        <v>1169</v>
      </c>
      <c r="E104" s="55" t="s">
        <v>757</v>
      </c>
      <c r="F104" s="56" t="s">
        <v>1014</v>
      </c>
      <c r="G104" s="57" t="s">
        <v>1170</v>
      </c>
      <c r="H104" s="58">
        <v>18000</v>
      </c>
      <c r="I104" s="58">
        <f t="shared" si="14"/>
        <v>12600</v>
      </c>
      <c r="J104" s="58">
        <f t="shared" si="15"/>
        <v>424.24242424242425</v>
      </c>
      <c r="K104" s="58">
        <v>1500</v>
      </c>
      <c r="L104" s="59">
        <f t="shared" si="16"/>
        <v>1450</v>
      </c>
      <c r="M104" s="58">
        <f t="shared" si="17"/>
        <v>1087.5</v>
      </c>
      <c r="N104" s="58">
        <f t="shared" si="18"/>
        <v>942.5</v>
      </c>
      <c r="O104" s="58">
        <f t="shared" si="19"/>
        <v>750</v>
      </c>
      <c r="P104" s="58">
        <f t="shared" si="20"/>
        <v>1131.8181818181818</v>
      </c>
      <c r="Q104" s="60">
        <f t="shared" si="21"/>
        <v>3.5571428571428569</v>
      </c>
      <c r="R104" s="58">
        <f t="shared" si="22"/>
        <v>544.31818181818176</v>
      </c>
      <c r="S104" s="58">
        <f t="shared" si="23"/>
        <v>429.31818181818181</v>
      </c>
      <c r="T104" s="58">
        <f t="shared" si="24"/>
        <v>431.81818181818181</v>
      </c>
      <c r="U104" s="60">
        <f t="shared" si="25"/>
        <v>1.7107142857142854</v>
      </c>
      <c r="V104" s="60">
        <f t="shared" si="26"/>
        <v>1.3492857142857142</v>
      </c>
      <c r="W104" s="60">
        <f t="shared" si="27"/>
        <v>1.3571428571428572</v>
      </c>
      <c r="X104" s="61" t="s">
        <v>116</v>
      </c>
      <c r="Y104" s="1"/>
      <c r="Z104" s="1"/>
    </row>
    <row r="105" spans="1:26" ht="15.75" customHeight="1">
      <c r="A105" s="54"/>
      <c r="B105" s="162"/>
      <c r="C105" s="33"/>
      <c r="D105" s="55" t="s">
        <v>460</v>
      </c>
      <c r="E105" s="55" t="s">
        <v>1171</v>
      </c>
      <c r="F105" s="56" t="s">
        <v>1014</v>
      </c>
      <c r="G105" s="57" t="s">
        <v>1172</v>
      </c>
      <c r="H105" s="58">
        <v>28000</v>
      </c>
      <c r="I105" s="58">
        <f t="shared" si="14"/>
        <v>12600</v>
      </c>
      <c r="J105" s="58">
        <f t="shared" si="15"/>
        <v>381.81818181818181</v>
      </c>
      <c r="K105" s="58">
        <v>1500</v>
      </c>
      <c r="L105" s="59">
        <f t="shared" si="16"/>
        <v>1450</v>
      </c>
      <c r="M105" s="58">
        <f t="shared" si="17"/>
        <v>1087.5</v>
      </c>
      <c r="N105" s="58">
        <f t="shared" si="18"/>
        <v>942.5</v>
      </c>
      <c r="O105" s="58">
        <f t="shared" si="19"/>
        <v>750</v>
      </c>
      <c r="P105" s="58">
        <f t="shared" si="20"/>
        <v>1025.7575757575758</v>
      </c>
      <c r="Q105" s="60">
        <f t="shared" si="21"/>
        <v>2.4178571428571427</v>
      </c>
      <c r="R105" s="58">
        <f t="shared" si="22"/>
        <v>663.25757575757575</v>
      </c>
      <c r="S105" s="58">
        <f t="shared" si="23"/>
        <v>518.25757575757575</v>
      </c>
      <c r="T105" s="58">
        <f t="shared" si="24"/>
        <v>325.75757575757575</v>
      </c>
      <c r="U105" s="60">
        <f t="shared" si="25"/>
        <v>1.563392857142857</v>
      </c>
      <c r="V105" s="60">
        <f t="shared" si="26"/>
        <v>1.2216071428571429</v>
      </c>
      <c r="W105" s="60">
        <f t="shared" si="27"/>
        <v>0.76785714285714279</v>
      </c>
      <c r="X105" s="61" t="s">
        <v>118</v>
      </c>
      <c r="Y105" s="1"/>
      <c r="Z105" s="1"/>
    </row>
    <row r="106" spans="1:26" ht="15.75" customHeight="1">
      <c r="A106" s="54"/>
      <c r="B106" s="162"/>
      <c r="C106" s="33"/>
      <c r="D106" s="55" t="s">
        <v>501</v>
      </c>
      <c r="E106" s="55" t="s">
        <v>68</v>
      </c>
      <c r="F106" s="56" t="s">
        <v>1014</v>
      </c>
      <c r="G106" s="57" t="s">
        <v>1173</v>
      </c>
      <c r="H106" s="58">
        <v>20000</v>
      </c>
      <c r="I106" s="58">
        <f t="shared" si="14"/>
        <v>19600</v>
      </c>
      <c r="J106" s="58">
        <f t="shared" si="15"/>
        <v>381.81818181818181</v>
      </c>
      <c r="K106" s="58">
        <v>1500</v>
      </c>
      <c r="L106" s="59">
        <f t="shared" si="16"/>
        <v>1450</v>
      </c>
      <c r="M106" s="58">
        <f t="shared" si="17"/>
        <v>1087.5</v>
      </c>
      <c r="N106" s="58">
        <f t="shared" si="18"/>
        <v>942.5</v>
      </c>
      <c r="O106" s="58">
        <f t="shared" si="19"/>
        <v>750</v>
      </c>
      <c r="P106" s="58">
        <f t="shared" si="20"/>
        <v>1068.1818181818182</v>
      </c>
      <c r="Q106" s="60">
        <f t="shared" si="21"/>
        <v>2.7976190476190479</v>
      </c>
      <c r="R106" s="58">
        <f t="shared" si="22"/>
        <v>705.68181818181824</v>
      </c>
      <c r="S106" s="58">
        <f t="shared" si="23"/>
        <v>560.68181818181824</v>
      </c>
      <c r="T106" s="58">
        <f t="shared" si="24"/>
        <v>368.18181818181819</v>
      </c>
      <c r="U106" s="60">
        <f t="shared" si="25"/>
        <v>1.8482142857142858</v>
      </c>
      <c r="V106" s="60">
        <f t="shared" si="26"/>
        <v>1.4684523809523811</v>
      </c>
      <c r="W106" s="60">
        <f t="shared" si="27"/>
        <v>0.9642857142857143</v>
      </c>
      <c r="X106" s="61" t="s">
        <v>47</v>
      </c>
      <c r="Y106" s="1"/>
      <c r="Z106" s="1"/>
    </row>
    <row r="107" spans="1:26" ht="15.75" customHeight="1">
      <c r="A107" s="54"/>
      <c r="B107" s="162"/>
      <c r="C107" s="33"/>
      <c r="D107" s="55" t="s">
        <v>1174</v>
      </c>
      <c r="E107" s="55" t="s">
        <v>68</v>
      </c>
      <c r="F107" s="56" t="s">
        <v>1014</v>
      </c>
      <c r="G107" s="57" t="s">
        <v>1175</v>
      </c>
      <c r="H107" s="58">
        <v>20000</v>
      </c>
      <c r="I107" s="58">
        <f t="shared" si="14"/>
        <v>14000</v>
      </c>
      <c r="J107" s="58">
        <f t="shared" si="15"/>
        <v>593.93939393939399</v>
      </c>
      <c r="K107" s="58">
        <v>1500</v>
      </c>
      <c r="L107" s="59">
        <f t="shared" si="16"/>
        <v>1450</v>
      </c>
      <c r="M107" s="58">
        <f t="shared" si="17"/>
        <v>1087.5</v>
      </c>
      <c r="N107" s="58">
        <f t="shared" si="18"/>
        <v>942.5</v>
      </c>
      <c r="O107" s="58">
        <f t="shared" si="19"/>
        <v>750</v>
      </c>
      <c r="P107" s="58">
        <f t="shared" si="20"/>
        <v>1068.1818181818182</v>
      </c>
      <c r="Q107" s="60">
        <f t="shared" si="21"/>
        <v>2.7976190476190479</v>
      </c>
      <c r="R107" s="58">
        <f t="shared" si="22"/>
        <v>705.68181818181824</v>
      </c>
      <c r="S107" s="58">
        <f t="shared" si="23"/>
        <v>560.68181818181824</v>
      </c>
      <c r="T107" s="58">
        <f t="shared" si="24"/>
        <v>368.18181818181819</v>
      </c>
      <c r="U107" s="60">
        <f t="shared" si="25"/>
        <v>1.8482142857142858</v>
      </c>
      <c r="V107" s="60">
        <f t="shared" si="26"/>
        <v>1.4684523809523811</v>
      </c>
      <c r="W107" s="60">
        <f t="shared" si="27"/>
        <v>0.9642857142857143</v>
      </c>
      <c r="X107" s="61" t="s">
        <v>116</v>
      </c>
      <c r="Y107" s="1"/>
      <c r="Z107" s="1"/>
    </row>
    <row r="108" spans="1:26" ht="15.75" customHeight="1">
      <c r="A108" s="54"/>
      <c r="B108" s="162"/>
      <c r="C108" s="33"/>
      <c r="D108" s="55" t="s">
        <v>1176</v>
      </c>
      <c r="E108" s="55" t="s">
        <v>757</v>
      </c>
      <c r="F108" s="56" t="s">
        <v>1014</v>
      </c>
      <c r="G108" s="57" t="s">
        <v>1177</v>
      </c>
      <c r="H108" s="58">
        <v>20000</v>
      </c>
      <c r="I108" s="58">
        <f t="shared" si="14"/>
        <v>14000</v>
      </c>
      <c r="J108" s="58">
        <f t="shared" si="15"/>
        <v>424.24242424242425</v>
      </c>
      <c r="K108" s="58">
        <v>1500</v>
      </c>
      <c r="L108" s="59">
        <f t="shared" si="16"/>
        <v>1450</v>
      </c>
      <c r="M108" s="58">
        <f t="shared" si="17"/>
        <v>1087.5</v>
      </c>
      <c r="N108" s="58">
        <f t="shared" si="18"/>
        <v>942.5</v>
      </c>
      <c r="O108" s="58">
        <f t="shared" si="19"/>
        <v>750</v>
      </c>
      <c r="P108" s="58">
        <f t="shared" si="20"/>
        <v>856.06060606060601</v>
      </c>
      <c r="Q108" s="60">
        <f t="shared" si="21"/>
        <v>1.4413265306122447</v>
      </c>
      <c r="R108" s="58">
        <f t="shared" si="22"/>
        <v>493.56060606060601</v>
      </c>
      <c r="S108" s="58">
        <f t="shared" si="23"/>
        <v>348.56060606060601</v>
      </c>
      <c r="T108" s="58">
        <f t="shared" si="24"/>
        <v>156.06060606060601</v>
      </c>
      <c r="U108" s="60">
        <f t="shared" si="25"/>
        <v>0.83099489795918347</v>
      </c>
      <c r="V108" s="60">
        <f t="shared" si="26"/>
        <v>0.58686224489795902</v>
      </c>
      <c r="W108" s="60">
        <f t="shared" si="27"/>
        <v>0.2627551020408162</v>
      </c>
      <c r="X108" s="61" t="s">
        <v>116</v>
      </c>
      <c r="Y108" s="1"/>
      <c r="Z108" s="1"/>
    </row>
    <row r="109" spans="1:26" ht="15.75" customHeight="1">
      <c r="A109" s="54"/>
      <c r="B109" s="162"/>
      <c r="C109" s="33"/>
      <c r="D109" s="55" t="s">
        <v>1178</v>
      </c>
      <c r="E109" s="55" t="s">
        <v>68</v>
      </c>
      <c r="F109" s="56" t="s">
        <v>1055</v>
      </c>
      <c r="G109" s="57" t="s">
        <v>1179</v>
      </c>
      <c r="H109" s="58">
        <v>20000</v>
      </c>
      <c r="I109" s="58">
        <f t="shared" si="14"/>
        <v>14000</v>
      </c>
      <c r="J109" s="58">
        <f t="shared" si="15"/>
        <v>424.24242424242425</v>
      </c>
      <c r="K109" s="58">
        <v>1500</v>
      </c>
      <c r="L109" s="59">
        <f t="shared" si="16"/>
        <v>1450</v>
      </c>
      <c r="M109" s="58">
        <f t="shared" si="17"/>
        <v>1087.5</v>
      </c>
      <c r="N109" s="58">
        <f t="shared" si="18"/>
        <v>942.5</v>
      </c>
      <c r="O109" s="58">
        <f t="shared" si="19"/>
        <v>750</v>
      </c>
      <c r="P109" s="58">
        <f t="shared" si="20"/>
        <v>1025.7575757575758</v>
      </c>
      <c r="Q109" s="60">
        <f t="shared" si="21"/>
        <v>2.4178571428571427</v>
      </c>
      <c r="R109" s="58">
        <f t="shared" si="22"/>
        <v>663.25757575757575</v>
      </c>
      <c r="S109" s="58">
        <f t="shared" si="23"/>
        <v>518.25757575757575</v>
      </c>
      <c r="T109" s="58">
        <f t="shared" si="24"/>
        <v>325.75757575757575</v>
      </c>
      <c r="U109" s="60">
        <f t="shared" si="25"/>
        <v>1.563392857142857</v>
      </c>
      <c r="V109" s="60">
        <f t="shared" si="26"/>
        <v>1.2216071428571429</v>
      </c>
      <c r="W109" s="60">
        <f t="shared" si="27"/>
        <v>0.76785714285714279</v>
      </c>
      <c r="X109" s="61" t="s">
        <v>120</v>
      </c>
      <c r="Y109" s="1"/>
      <c r="Z109" s="1"/>
    </row>
    <row r="110" spans="1:26" ht="15.75" customHeight="1">
      <c r="A110" s="54"/>
      <c r="B110" s="162"/>
      <c r="C110" s="33"/>
      <c r="D110" s="55" t="s">
        <v>1180</v>
      </c>
      <c r="E110" s="55" t="s">
        <v>68</v>
      </c>
      <c r="F110" s="56" t="s">
        <v>1055</v>
      </c>
      <c r="G110" s="57" t="s">
        <v>1181</v>
      </c>
      <c r="H110" s="58">
        <v>20000</v>
      </c>
      <c r="I110" s="58">
        <f t="shared" si="14"/>
        <v>14000</v>
      </c>
      <c r="J110" s="58">
        <f t="shared" si="15"/>
        <v>424.24242424242425</v>
      </c>
      <c r="K110" s="58">
        <v>1500</v>
      </c>
      <c r="L110" s="59">
        <f t="shared" si="16"/>
        <v>1450</v>
      </c>
      <c r="M110" s="58">
        <f t="shared" si="17"/>
        <v>1087.5</v>
      </c>
      <c r="N110" s="58">
        <f t="shared" si="18"/>
        <v>942.5</v>
      </c>
      <c r="O110" s="58">
        <f t="shared" si="19"/>
        <v>750</v>
      </c>
      <c r="P110" s="58">
        <f t="shared" si="20"/>
        <v>1025.7575757575758</v>
      </c>
      <c r="Q110" s="60">
        <f t="shared" si="21"/>
        <v>2.4178571428571427</v>
      </c>
      <c r="R110" s="58">
        <f t="shared" si="22"/>
        <v>663.25757575757575</v>
      </c>
      <c r="S110" s="58">
        <f t="shared" si="23"/>
        <v>518.25757575757575</v>
      </c>
      <c r="T110" s="58">
        <f t="shared" si="24"/>
        <v>325.75757575757575</v>
      </c>
      <c r="U110" s="60">
        <f t="shared" si="25"/>
        <v>1.563392857142857</v>
      </c>
      <c r="V110" s="60">
        <f t="shared" si="26"/>
        <v>1.2216071428571429</v>
      </c>
      <c r="W110" s="60">
        <f t="shared" si="27"/>
        <v>0.76785714285714279</v>
      </c>
      <c r="X110" s="61" t="s">
        <v>120</v>
      </c>
      <c r="Y110" s="1"/>
      <c r="Z110" s="1"/>
    </row>
    <row r="111" spans="1:26" ht="15.75" customHeight="1">
      <c r="A111" s="54"/>
      <c r="B111" s="162"/>
      <c r="C111" s="33"/>
      <c r="D111" s="55" t="s">
        <v>1182</v>
      </c>
      <c r="E111" s="55" t="s">
        <v>757</v>
      </c>
      <c r="F111" s="56" t="s">
        <v>1055</v>
      </c>
      <c r="G111" s="57" t="s">
        <v>1183</v>
      </c>
      <c r="H111" s="58">
        <v>20000</v>
      </c>
      <c r="I111" s="58">
        <f t="shared" si="14"/>
        <v>14000</v>
      </c>
      <c r="J111" s="58">
        <f t="shared" si="15"/>
        <v>424.24242424242425</v>
      </c>
      <c r="K111" s="58">
        <v>1500</v>
      </c>
      <c r="L111" s="59">
        <f t="shared" si="16"/>
        <v>1450</v>
      </c>
      <c r="M111" s="58">
        <f t="shared" si="17"/>
        <v>1087.5</v>
      </c>
      <c r="N111" s="58">
        <f t="shared" si="18"/>
        <v>942.5</v>
      </c>
      <c r="O111" s="58">
        <f t="shared" si="19"/>
        <v>750</v>
      </c>
      <c r="P111" s="58">
        <f t="shared" si="20"/>
        <v>1025.7575757575758</v>
      </c>
      <c r="Q111" s="60">
        <f t="shared" si="21"/>
        <v>2.4178571428571427</v>
      </c>
      <c r="R111" s="58">
        <f t="shared" si="22"/>
        <v>663.25757575757575</v>
      </c>
      <c r="S111" s="58">
        <f t="shared" si="23"/>
        <v>518.25757575757575</v>
      </c>
      <c r="T111" s="58">
        <f t="shared" si="24"/>
        <v>325.75757575757575</v>
      </c>
      <c r="U111" s="60">
        <f t="shared" si="25"/>
        <v>1.563392857142857</v>
      </c>
      <c r="V111" s="60">
        <f t="shared" si="26"/>
        <v>1.2216071428571429</v>
      </c>
      <c r="W111" s="60">
        <f t="shared" si="27"/>
        <v>0.76785714285714279</v>
      </c>
      <c r="X111" s="61" t="s">
        <v>120</v>
      </c>
      <c r="Y111" s="1"/>
      <c r="Z111" s="1"/>
    </row>
    <row r="112" spans="1:26" ht="15.75" customHeight="1">
      <c r="A112" s="54"/>
      <c r="B112" s="162"/>
      <c r="C112" s="33"/>
      <c r="D112" s="55" t="s">
        <v>1182</v>
      </c>
      <c r="E112" s="55" t="s">
        <v>1026</v>
      </c>
      <c r="F112" s="56" t="s">
        <v>1055</v>
      </c>
      <c r="G112" s="57" t="s">
        <v>1184</v>
      </c>
      <c r="H112" s="58">
        <v>20000</v>
      </c>
      <c r="I112" s="58">
        <f t="shared" si="14"/>
        <v>14000</v>
      </c>
      <c r="J112" s="58">
        <f t="shared" si="15"/>
        <v>424.24242424242425</v>
      </c>
      <c r="K112" s="58">
        <v>1500</v>
      </c>
      <c r="L112" s="59">
        <f t="shared" si="16"/>
        <v>1450</v>
      </c>
      <c r="M112" s="58">
        <f t="shared" si="17"/>
        <v>1087.5</v>
      </c>
      <c r="N112" s="58">
        <f t="shared" si="18"/>
        <v>942.5</v>
      </c>
      <c r="O112" s="58">
        <f t="shared" si="19"/>
        <v>750</v>
      </c>
      <c r="P112" s="58">
        <f t="shared" si="20"/>
        <v>1025.7575757575758</v>
      </c>
      <c r="Q112" s="60">
        <f t="shared" si="21"/>
        <v>2.4178571428571427</v>
      </c>
      <c r="R112" s="58">
        <f t="shared" si="22"/>
        <v>663.25757575757575</v>
      </c>
      <c r="S112" s="58">
        <f t="shared" si="23"/>
        <v>518.25757575757575</v>
      </c>
      <c r="T112" s="58">
        <f t="shared" si="24"/>
        <v>325.75757575757575</v>
      </c>
      <c r="U112" s="60">
        <f t="shared" si="25"/>
        <v>1.563392857142857</v>
      </c>
      <c r="V112" s="60">
        <f t="shared" si="26"/>
        <v>1.2216071428571429</v>
      </c>
      <c r="W112" s="60">
        <f t="shared" si="27"/>
        <v>0.76785714285714279</v>
      </c>
      <c r="X112" s="61" t="s">
        <v>120</v>
      </c>
      <c r="Y112" s="1"/>
      <c r="Z112" s="1"/>
    </row>
    <row r="113" spans="1:26" ht="15.75" customHeight="1">
      <c r="A113" s="54"/>
      <c r="B113" s="162"/>
      <c r="C113" s="33"/>
      <c r="D113" s="55" t="s">
        <v>493</v>
      </c>
      <c r="E113" s="55" t="s">
        <v>607</v>
      </c>
      <c r="F113" s="56" t="s">
        <v>1055</v>
      </c>
      <c r="G113" s="57" t="s">
        <v>1185</v>
      </c>
      <c r="H113" s="58">
        <v>18000</v>
      </c>
      <c r="I113" s="58">
        <f t="shared" si="14"/>
        <v>14000</v>
      </c>
      <c r="J113" s="58">
        <f t="shared" si="15"/>
        <v>424.24242424242425</v>
      </c>
      <c r="K113" s="58">
        <v>1200</v>
      </c>
      <c r="L113" s="59">
        <f t="shared" si="16"/>
        <v>1450</v>
      </c>
      <c r="M113" s="58">
        <f t="shared" si="17"/>
        <v>1087.5</v>
      </c>
      <c r="N113" s="58">
        <f t="shared" si="18"/>
        <v>942.5</v>
      </c>
      <c r="O113" s="58">
        <f t="shared" si="19"/>
        <v>750</v>
      </c>
      <c r="P113" s="58">
        <f t="shared" si="20"/>
        <v>1025.7575757575758</v>
      </c>
      <c r="Q113" s="60">
        <f t="shared" si="21"/>
        <v>2.4178571428571427</v>
      </c>
      <c r="R113" s="58">
        <f t="shared" si="22"/>
        <v>663.25757575757575</v>
      </c>
      <c r="S113" s="58">
        <f t="shared" si="23"/>
        <v>518.25757575757575</v>
      </c>
      <c r="T113" s="58">
        <f t="shared" si="24"/>
        <v>325.75757575757575</v>
      </c>
      <c r="U113" s="60">
        <f t="shared" si="25"/>
        <v>1.563392857142857</v>
      </c>
      <c r="V113" s="60">
        <f t="shared" si="26"/>
        <v>1.2216071428571429</v>
      </c>
      <c r="W113" s="60">
        <f t="shared" si="27"/>
        <v>0.76785714285714279</v>
      </c>
      <c r="X113" s="61" t="s">
        <v>52</v>
      </c>
      <c r="Y113" s="1"/>
      <c r="Z113" s="1"/>
    </row>
    <row r="114" spans="1:26" ht="15.75" customHeight="1">
      <c r="A114" s="54"/>
      <c r="B114" s="162"/>
      <c r="C114" s="33"/>
      <c r="D114" s="55" t="s">
        <v>493</v>
      </c>
      <c r="E114" s="55" t="s">
        <v>582</v>
      </c>
      <c r="F114" s="56" t="s">
        <v>1055</v>
      </c>
      <c r="G114" s="57" t="s">
        <v>1186</v>
      </c>
      <c r="H114" s="58">
        <v>22000</v>
      </c>
      <c r="I114" s="58">
        <f t="shared" si="14"/>
        <v>12600</v>
      </c>
      <c r="J114" s="58">
        <f t="shared" si="15"/>
        <v>424.24242424242425</v>
      </c>
      <c r="K114" s="58">
        <v>1500</v>
      </c>
      <c r="L114" s="59">
        <f t="shared" si="16"/>
        <v>1150</v>
      </c>
      <c r="M114" s="58">
        <f t="shared" si="17"/>
        <v>1087.5</v>
      </c>
      <c r="N114" s="58">
        <f t="shared" si="18"/>
        <v>942.5</v>
      </c>
      <c r="O114" s="58">
        <f t="shared" si="19"/>
        <v>600</v>
      </c>
      <c r="P114" s="58">
        <f t="shared" si="20"/>
        <v>1025.7575757575758</v>
      </c>
      <c r="Q114" s="60">
        <f t="shared" si="21"/>
        <v>2.4178571428571427</v>
      </c>
      <c r="R114" s="58">
        <f t="shared" si="22"/>
        <v>663.25757575757575</v>
      </c>
      <c r="S114" s="58">
        <f t="shared" si="23"/>
        <v>518.25757575757575</v>
      </c>
      <c r="T114" s="58">
        <f t="shared" si="24"/>
        <v>325.75757575757575</v>
      </c>
      <c r="U114" s="60">
        <f t="shared" si="25"/>
        <v>1.563392857142857</v>
      </c>
      <c r="V114" s="60">
        <f t="shared" si="26"/>
        <v>1.2216071428571429</v>
      </c>
      <c r="W114" s="60">
        <f t="shared" si="27"/>
        <v>0.76785714285714279</v>
      </c>
      <c r="X114" s="61" t="s">
        <v>52</v>
      </c>
      <c r="Y114" s="1"/>
      <c r="Z114" s="1"/>
    </row>
    <row r="115" spans="1:26" ht="15.75" customHeight="1">
      <c r="A115" s="54"/>
      <c r="B115" s="162"/>
      <c r="C115" s="33"/>
      <c r="D115" s="55" t="s">
        <v>1187</v>
      </c>
      <c r="E115" s="55" t="s">
        <v>757</v>
      </c>
      <c r="F115" s="56" t="s">
        <v>1055</v>
      </c>
      <c r="G115" s="57" t="s">
        <v>1188</v>
      </c>
      <c r="H115" s="58">
        <v>22000</v>
      </c>
      <c r="I115" s="58">
        <f t="shared" si="14"/>
        <v>15399.999999999998</v>
      </c>
      <c r="J115" s="58">
        <f t="shared" si="15"/>
        <v>381.81818181818181</v>
      </c>
      <c r="K115" s="58">
        <v>1500</v>
      </c>
      <c r="L115" s="59">
        <f t="shared" si="16"/>
        <v>1450</v>
      </c>
      <c r="M115" s="58">
        <f t="shared" si="17"/>
        <v>862.5</v>
      </c>
      <c r="N115" s="58">
        <f t="shared" si="18"/>
        <v>747.5</v>
      </c>
      <c r="O115" s="58">
        <f t="shared" si="19"/>
        <v>750</v>
      </c>
      <c r="P115" s="58">
        <f t="shared" si="20"/>
        <v>725.75757575757575</v>
      </c>
      <c r="Q115" s="60">
        <f t="shared" si="21"/>
        <v>1.7107142857142856</v>
      </c>
      <c r="R115" s="58">
        <f t="shared" si="22"/>
        <v>663.25757575757575</v>
      </c>
      <c r="S115" s="58">
        <f t="shared" si="23"/>
        <v>518.25757575757575</v>
      </c>
      <c r="T115" s="58">
        <f t="shared" si="24"/>
        <v>175.75757575757575</v>
      </c>
      <c r="U115" s="60">
        <f t="shared" si="25"/>
        <v>1.563392857142857</v>
      </c>
      <c r="V115" s="60">
        <f t="shared" si="26"/>
        <v>1.2216071428571429</v>
      </c>
      <c r="W115" s="60">
        <f t="shared" si="27"/>
        <v>0.41428571428571426</v>
      </c>
      <c r="X115" s="61" t="s">
        <v>52</v>
      </c>
      <c r="Y115" s="1"/>
      <c r="Z115" s="1"/>
    </row>
    <row r="116" spans="1:26" ht="15.75" customHeight="1">
      <c r="A116" s="54"/>
      <c r="B116" s="162"/>
      <c r="C116" s="33"/>
      <c r="D116" s="55" t="s">
        <v>493</v>
      </c>
      <c r="E116" s="55" t="s">
        <v>1171</v>
      </c>
      <c r="F116" s="56" t="s">
        <v>1055</v>
      </c>
      <c r="G116" s="57" t="s">
        <v>1189</v>
      </c>
      <c r="H116" s="58">
        <v>28000</v>
      </c>
      <c r="I116" s="58">
        <f t="shared" si="14"/>
        <v>15399.999999999998</v>
      </c>
      <c r="J116" s="58">
        <f t="shared" si="15"/>
        <v>466.66666666666663</v>
      </c>
      <c r="K116" s="58">
        <v>1500</v>
      </c>
      <c r="L116" s="59">
        <f t="shared" si="16"/>
        <v>1450</v>
      </c>
      <c r="M116" s="58">
        <f t="shared" si="17"/>
        <v>1087.5</v>
      </c>
      <c r="N116" s="58">
        <f t="shared" si="18"/>
        <v>942.5</v>
      </c>
      <c r="O116" s="58">
        <f t="shared" si="19"/>
        <v>750</v>
      </c>
      <c r="P116" s="58">
        <f t="shared" si="20"/>
        <v>1068.1818181818182</v>
      </c>
      <c r="Q116" s="60">
        <f t="shared" si="21"/>
        <v>2.7976190476190479</v>
      </c>
      <c r="R116" s="58">
        <f t="shared" si="22"/>
        <v>480.68181818181819</v>
      </c>
      <c r="S116" s="58">
        <f t="shared" si="23"/>
        <v>365.68181818181819</v>
      </c>
      <c r="T116" s="58">
        <f t="shared" si="24"/>
        <v>368.18181818181819</v>
      </c>
      <c r="U116" s="60">
        <f t="shared" si="25"/>
        <v>1.2589285714285714</v>
      </c>
      <c r="V116" s="60">
        <f t="shared" si="26"/>
        <v>0.95773809523809528</v>
      </c>
      <c r="W116" s="60">
        <f t="shared" si="27"/>
        <v>0.9642857142857143</v>
      </c>
      <c r="X116" s="61" t="s">
        <v>123</v>
      </c>
      <c r="Y116" s="1"/>
      <c r="Z116" s="1"/>
    </row>
    <row r="117" spans="1:26" ht="15.75" customHeight="1">
      <c r="A117" s="54"/>
      <c r="B117" s="162"/>
      <c r="C117" s="33"/>
      <c r="D117" s="55" t="s">
        <v>1190</v>
      </c>
      <c r="E117" s="55" t="s">
        <v>1191</v>
      </c>
      <c r="F117" s="56" t="s">
        <v>1055</v>
      </c>
      <c r="G117" s="57" t="s">
        <v>1192</v>
      </c>
      <c r="H117" s="58">
        <v>20000</v>
      </c>
      <c r="I117" s="58">
        <f t="shared" si="14"/>
        <v>19600</v>
      </c>
      <c r="J117" s="58">
        <f t="shared" si="15"/>
        <v>466.66666666666663</v>
      </c>
      <c r="K117" s="58">
        <v>1500</v>
      </c>
      <c r="L117" s="59">
        <f t="shared" si="16"/>
        <v>1450</v>
      </c>
      <c r="M117" s="58">
        <f t="shared" si="17"/>
        <v>1087.5</v>
      </c>
      <c r="N117" s="58">
        <f t="shared" si="18"/>
        <v>942.5</v>
      </c>
      <c r="O117" s="58">
        <f t="shared" si="19"/>
        <v>750</v>
      </c>
      <c r="P117" s="58">
        <f t="shared" si="20"/>
        <v>983.33333333333337</v>
      </c>
      <c r="Q117" s="60">
        <f t="shared" si="21"/>
        <v>2.1071428571428572</v>
      </c>
      <c r="R117" s="58">
        <f t="shared" si="22"/>
        <v>620.83333333333337</v>
      </c>
      <c r="S117" s="58">
        <f t="shared" si="23"/>
        <v>475.83333333333337</v>
      </c>
      <c r="T117" s="58">
        <f t="shared" si="24"/>
        <v>283.33333333333337</v>
      </c>
      <c r="U117" s="60">
        <f t="shared" si="25"/>
        <v>1.330357142857143</v>
      </c>
      <c r="V117" s="60">
        <f t="shared" si="26"/>
        <v>1.0196428571428573</v>
      </c>
      <c r="W117" s="60">
        <f t="shared" si="27"/>
        <v>0.60714285714285732</v>
      </c>
      <c r="X117" s="61" t="s">
        <v>52</v>
      </c>
      <c r="Y117" s="1"/>
      <c r="Z117" s="1"/>
    </row>
    <row r="118" spans="1:26" ht="15.75" customHeight="1">
      <c r="A118" s="54"/>
      <c r="B118" s="162"/>
      <c r="C118" s="33"/>
      <c r="D118" s="55" t="s">
        <v>583</v>
      </c>
      <c r="E118" s="55" t="s">
        <v>582</v>
      </c>
      <c r="F118" s="56" t="s">
        <v>1055</v>
      </c>
      <c r="G118" s="57" t="s">
        <v>1193</v>
      </c>
      <c r="H118" s="58">
        <v>20000</v>
      </c>
      <c r="I118" s="58">
        <f t="shared" si="14"/>
        <v>14000</v>
      </c>
      <c r="J118" s="58">
        <f t="shared" si="15"/>
        <v>593.93939393939399</v>
      </c>
      <c r="K118" s="58">
        <v>1500</v>
      </c>
      <c r="L118" s="59">
        <f t="shared" si="16"/>
        <v>1450</v>
      </c>
      <c r="M118" s="58">
        <f t="shared" si="17"/>
        <v>1087.5</v>
      </c>
      <c r="N118" s="58">
        <f t="shared" si="18"/>
        <v>942.5</v>
      </c>
      <c r="O118" s="58">
        <f t="shared" si="19"/>
        <v>750</v>
      </c>
      <c r="P118" s="58">
        <f t="shared" si="20"/>
        <v>983.33333333333337</v>
      </c>
      <c r="Q118" s="60">
        <f t="shared" si="21"/>
        <v>2.1071428571428572</v>
      </c>
      <c r="R118" s="58">
        <f t="shared" si="22"/>
        <v>620.83333333333337</v>
      </c>
      <c r="S118" s="58">
        <f t="shared" si="23"/>
        <v>475.83333333333337</v>
      </c>
      <c r="T118" s="58">
        <f t="shared" si="24"/>
        <v>283.33333333333337</v>
      </c>
      <c r="U118" s="60">
        <f t="shared" si="25"/>
        <v>1.330357142857143</v>
      </c>
      <c r="V118" s="60">
        <f t="shared" si="26"/>
        <v>1.0196428571428573</v>
      </c>
      <c r="W118" s="60">
        <f t="shared" si="27"/>
        <v>0.60714285714285732</v>
      </c>
      <c r="X118" s="61" t="s">
        <v>52</v>
      </c>
      <c r="Y118" s="1"/>
      <c r="Z118" s="1"/>
    </row>
    <row r="119" spans="1:26" ht="15.75" customHeight="1">
      <c r="A119" s="54"/>
      <c r="B119" s="162"/>
      <c r="C119" s="33"/>
      <c r="D119" s="55" t="s">
        <v>1194</v>
      </c>
      <c r="E119" s="55" t="s">
        <v>1191</v>
      </c>
      <c r="F119" s="56" t="s">
        <v>1055</v>
      </c>
      <c r="G119" s="57" t="s">
        <v>1195</v>
      </c>
      <c r="H119" s="58">
        <v>20000</v>
      </c>
      <c r="I119" s="58">
        <f t="shared" si="14"/>
        <v>14000</v>
      </c>
      <c r="J119" s="58">
        <f t="shared" si="15"/>
        <v>424.24242424242425</v>
      </c>
      <c r="K119" s="58">
        <v>1500</v>
      </c>
      <c r="L119" s="59">
        <f t="shared" si="16"/>
        <v>1450</v>
      </c>
      <c r="M119" s="58">
        <f t="shared" si="17"/>
        <v>1087.5</v>
      </c>
      <c r="N119" s="58">
        <f t="shared" si="18"/>
        <v>942.5</v>
      </c>
      <c r="O119" s="58">
        <f t="shared" si="19"/>
        <v>750</v>
      </c>
      <c r="P119" s="58">
        <f t="shared" si="20"/>
        <v>856.06060606060601</v>
      </c>
      <c r="Q119" s="60">
        <f t="shared" si="21"/>
        <v>1.4413265306122447</v>
      </c>
      <c r="R119" s="58">
        <f t="shared" si="22"/>
        <v>493.56060606060601</v>
      </c>
      <c r="S119" s="58">
        <f t="shared" si="23"/>
        <v>348.56060606060601</v>
      </c>
      <c r="T119" s="58">
        <f t="shared" si="24"/>
        <v>156.06060606060601</v>
      </c>
      <c r="U119" s="60">
        <f t="shared" si="25"/>
        <v>0.83099489795918347</v>
      </c>
      <c r="V119" s="60">
        <f t="shared" si="26"/>
        <v>0.58686224489795902</v>
      </c>
      <c r="W119" s="60">
        <f t="shared" si="27"/>
        <v>0.2627551020408162</v>
      </c>
      <c r="X119" s="61" t="s">
        <v>52</v>
      </c>
      <c r="Y119" s="1"/>
      <c r="Z119" s="1"/>
    </row>
    <row r="120" spans="1:26" ht="15.75" customHeight="1">
      <c r="A120" s="54"/>
      <c r="B120" s="162"/>
      <c r="C120" s="33"/>
      <c r="D120" s="55" t="s">
        <v>593</v>
      </c>
      <c r="E120" s="55" t="s">
        <v>582</v>
      </c>
      <c r="F120" s="56" t="s">
        <v>1055</v>
      </c>
      <c r="G120" s="57" t="s">
        <v>1196</v>
      </c>
      <c r="H120" s="58">
        <v>20000</v>
      </c>
      <c r="I120" s="58">
        <f t="shared" si="14"/>
        <v>14000</v>
      </c>
      <c r="J120" s="58">
        <f t="shared" si="15"/>
        <v>424.24242424242425</v>
      </c>
      <c r="K120" s="58">
        <v>1500</v>
      </c>
      <c r="L120" s="59">
        <f t="shared" si="16"/>
        <v>1450</v>
      </c>
      <c r="M120" s="58">
        <f t="shared" si="17"/>
        <v>1087.5</v>
      </c>
      <c r="N120" s="58">
        <f t="shared" si="18"/>
        <v>942.5</v>
      </c>
      <c r="O120" s="58">
        <f t="shared" si="19"/>
        <v>750</v>
      </c>
      <c r="P120" s="58">
        <f t="shared" si="20"/>
        <v>1025.7575757575758</v>
      </c>
      <c r="Q120" s="60">
        <f t="shared" si="21"/>
        <v>2.4178571428571427</v>
      </c>
      <c r="R120" s="58">
        <f t="shared" si="22"/>
        <v>663.25757575757575</v>
      </c>
      <c r="S120" s="58">
        <f t="shared" si="23"/>
        <v>518.25757575757575</v>
      </c>
      <c r="T120" s="58">
        <f t="shared" si="24"/>
        <v>325.75757575757575</v>
      </c>
      <c r="U120" s="60">
        <f t="shared" si="25"/>
        <v>1.563392857142857</v>
      </c>
      <c r="V120" s="60">
        <f t="shared" si="26"/>
        <v>1.2216071428571429</v>
      </c>
      <c r="W120" s="60">
        <f t="shared" si="27"/>
        <v>0.76785714285714279</v>
      </c>
      <c r="X120" s="61" t="s">
        <v>116</v>
      </c>
      <c r="Y120" s="1"/>
      <c r="Z120" s="1"/>
    </row>
    <row r="121" spans="1:26" ht="15.75" customHeight="1">
      <c r="A121" s="54"/>
      <c r="B121" s="162"/>
      <c r="C121" s="33"/>
      <c r="D121" s="55" t="s">
        <v>593</v>
      </c>
      <c r="E121" s="55" t="s">
        <v>1197</v>
      </c>
      <c r="F121" s="56" t="s">
        <v>1055</v>
      </c>
      <c r="G121" s="57" t="s">
        <v>1198</v>
      </c>
      <c r="H121" s="58">
        <v>25000</v>
      </c>
      <c r="I121" s="58">
        <f t="shared" si="14"/>
        <v>14000</v>
      </c>
      <c r="J121" s="58">
        <f t="shared" si="15"/>
        <v>424.24242424242425</v>
      </c>
      <c r="K121" s="58">
        <v>1500</v>
      </c>
      <c r="L121" s="59">
        <f t="shared" si="16"/>
        <v>1450</v>
      </c>
      <c r="M121" s="58">
        <f t="shared" si="17"/>
        <v>1087.5</v>
      </c>
      <c r="N121" s="58">
        <f t="shared" si="18"/>
        <v>942.5</v>
      </c>
      <c r="O121" s="58">
        <f t="shared" si="19"/>
        <v>750</v>
      </c>
      <c r="P121" s="58">
        <f t="shared" si="20"/>
        <v>1025.7575757575758</v>
      </c>
      <c r="Q121" s="60">
        <f t="shared" si="21"/>
        <v>2.4178571428571427</v>
      </c>
      <c r="R121" s="58">
        <f t="shared" si="22"/>
        <v>663.25757575757575</v>
      </c>
      <c r="S121" s="58">
        <f t="shared" si="23"/>
        <v>518.25757575757575</v>
      </c>
      <c r="T121" s="58">
        <f t="shared" si="24"/>
        <v>325.75757575757575</v>
      </c>
      <c r="U121" s="60">
        <f t="shared" si="25"/>
        <v>1.563392857142857</v>
      </c>
      <c r="V121" s="60">
        <f t="shared" si="26"/>
        <v>1.2216071428571429</v>
      </c>
      <c r="W121" s="60">
        <f t="shared" si="27"/>
        <v>0.76785714285714279</v>
      </c>
      <c r="X121" s="61" t="s">
        <v>116</v>
      </c>
      <c r="Y121" s="1"/>
      <c r="Z121" s="1"/>
    </row>
    <row r="122" spans="1:26" ht="15.75" customHeight="1">
      <c r="A122" s="54"/>
      <c r="B122" s="162"/>
      <c r="C122" s="33"/>
      <c r="D122" s="55" t="s">
        <v>1199</v>
      </c>
      <c r="E122" s="55" t="s">
        <v>1197</v>
      </c>
      <c r="F122" s="56"/>
      <c r="G122" s="74" t="s">
        <v>1200</v>
      </c>
      <c r="H122" s="58">
        <v>3000</v>
      </c>
      <c r="I122" s="58">
        <f t="shared" si="14"/>
        <v>17500</v>
      </c>
      <c r="J122" s="58">
        <f t="shared" si="15"/>
        <v>424.24242424242425</v>
      </c>
      <c r="K122" s="58">
        <v>1500</v>
      </c>
      <c r="L122" s="59">
        <f t="shared" si="16"/>
        <v>1450</v>
      </c>
      <c r="M122" s="58">
        <f t="shared" si="17"/>
        <v>1087.5</v>
      </c>
      <c r="N122" s="58">
        <f t="shared" si="18"/>
        <v>942.5</v>
      </c>
      <c r="O122" s="58">
        <f t="shared" si="19"/>
        <v>750</v>
      </c>
      <c r="P122" s="58">
        <f t="shared" si="20"/>
        <v>1025.7575757575758</v>
      </c>
      <c r="Q122" s="60">
        <f t="shared" si="21"/>
        <v>2.4178571428571427</v>
      </c>
      <c r="R122" s="58">
        <f t="shared" si="22"/>
        <v>663.25757575757575</v>
      </c>
      <c r="S122" s="58">
        <f t="shared" si="23"/>
        <v>518.25757575757575</v>
      </c>
      <c r="T122" s="58">
        <f t="shared" si="24"/>
        <v>325.75757575757575</v>
      </c>
      <c r="U122" s="60">
        <f t="shared" si="25"/>
        <v>1.563392857142857</v>
      </c>
      <c r="V122" s="60">
        <f t="shared" si="26"/>
        <v>1.2216071428571429</v>
      </c>
      <c r="W122" s="60">
        <f t="shared" si="27"/>
        <v>0.76785714285714279</v>
      </c>
      <c r="X122" s="61" t="s">
        <v>116</v>
      </c>
      <c r="Y122" s="1"/>
      <c r="Z122" s="1"/>
    </row>
    <row r="123" spans="1:26" ht="15.75" customHeight="1">
      <c r="A123" s="54"/>
      <c r="B123" s="162"/>
      <c r="C123" s="33"/>
      <c r="D123" s="55" t="s">
        <v>1201</v>
      </c>
      <c r="E123" s="55" t="s">
        <v>607</v>
      </c>
      <c r="F123" s="56" t="s">
        <v>1055</v>
      </c>
      <c r="G123" s="57" t="s">
        <v>1202</v>
      </c>
      <c r="H123" s="58">
        <v>20000</v>
      </c>
      <c r="I123" s="58">
        <f t="shared" si="14"/>
        <v>2100</v>
      </c>
      <c r="J123" s="58">
        <f t="shared" si="15"/>
        <v>530.30303030303025</v>
      </c>
      <c r="K123" s="58">
        <v>1200</v>
      </c>
      <c r="L123" s="59">
        <f t="shared" si="16"/>
        <v>1450</v>
      </c>
      <c r="M123" s="58">
        <f t="shared" si="17"/>
        <v>1087.5</v>
      </c>
      <c r="N123" s="58">
        <f t="shared" si="18"/>
        <v>942.5</v>
      </c>
      <c r="O123" s="58">
        <f t="shared" si="19"/>
        <v>750</v>
      </c>
      <c r="P123" s="58">
        <f t="shared" si="20"/>
        <v>1025.7575757575758</v>
      </c>
      <c r="Q123" s="60">
        <f t="shared" si="21"/>
        <v>2.4178571428571427</v>
      </c>
      <c r="R123" s="58">
        <f t="shared" si="22"/>
        <v>663.25757575757575</v>
      </c>
      <c r="S123" s="58">
        <f t="shared" si="23"/>
        <v>518.25757575757575</v>
      </c>
      <c r="T123" s="58">
        <f t="shared" si="24"/>
        <v>325.75757575757575</v>
      </c>
      <c r="U123" s="60">
        <f t="shared" si="25"/>
        <v>1.563392857142857</v>
      </c>
      <c r="V123" s="60">
        <f t="shared" si="26"/>
        <v>1.2216071428571429</v>
      </c>
      <c r="W123" s="60">
        <f t="shared" si="27"/>
        <v>0.76785714285714279</v>
      </c>
      <c r="X123" s="61" t="s">
        <v>128</v>
      </c>
      <c r="Y123" s="1"/>
      <c r="Z123" s="1"/>
    </row>
    <row r="124" spans="1:26" ht="15.75" customHeight="1">
      <c r="A124" s="54"/>
      <c r="B124" s="162"/>
      <c r="C124" s="33"/>
      <c r="D124" s="55" t="s">
        <v>1203</v>
      </c>
      <c r="E124" s="55" t="s">
        <v>607</v>
      </c>
      <c r="F124" s="56" t="s">
        <v>1055</v>
      </c>
      <c r="G124" s="57" t="s">
        <v>1204</v>
      </c>
      <c r="H124" s="58">
        <v>18000</v>
      </c>
      <c r="I124" s="58">
        <f t="shared" si="14"/>
        <v>14000</v>
      </c>
      <c r="J124" s="58">
        <f t="shared" si="15"/>
        <v>63.636363636363633</v>
      </c>
      <c r="K124" s="58">
        <v>1200</v>
      </c>
      <c r="L124" s="59">
        <f t="shared" si="16"/>
        <v>1150</v>
      </c>
      <c r="M124" s="58">
        <f t="shared" si="17"/>
        <v>1087.5</v>
      </c>
      <c r="N124" s="58">
        <f t="shared" si="18"/>
        <v>942.5</v>
      </c>
      <c r="O124" s="58">
        <f t="shared" si="19"/>
        <v>600</v>
      </c>
      <c r="P124" s="58">
        <f t="shared" si="20"/>
        <v>919.69696969696975</v>
      </c>
      <c r="Q124" s="60">
        <f t="shared" si="21"/>
        <v>1.7342857142857144</v>
      </c>
      <c r="R124" s="58">
        <f t="shared" si="22"/>
        <v>557.19696969696975</v>
      </c>
      <c r="S124" s="58">
        <f t="shared" si="23"/>
        <v>412.19696969696975</v>
      </c>
      <c r="T124" s="58">
        <f t="shared" si="24"/>
        <v>219.69696969696975</v>
      </c>
      <c r="U124" s="60">
        <f t="shared" si="25"/>
        <v>1.0507142857142859</v>
      </c>
      <c r="V124" s="60">
        <f t="shared" si="26"/>
        <v>0.77728571428571447</v>
      </c>
      <c r="W124" s="60">
        <f t="shared" si="27"/>
        <v>0.41428571428571442</v>
      </c>
      <c r="X124" s="61" t="s">
        <v>129</v>
      </c>
      <c r="Y124" s="1"/>
      <c r="Z124" s="1"/>
    </row>
    <row r="125" spans="1:26" ht="15.75" customHeight="1">
      <c r="A125" s="54"/>
      <c r="B125" s="162"/>
      <c r="C125" s="33"/>
      <c r="D125" s="55" t="s">
        <v>1203</v>
      </c>
      <c r="E125" s="55" t="s">
        <v>68</v>
      </c>
      <c r="F125" s="56" t="s">
        <v>1055</v>
      </c>
      <c r="G125" s="57" t="s">
        <v>1205</v>
      </c>
      <c r="H125" s="58">
        <v>22000</v>
      </c>
      <c r="I125" s="58">
        <f t="shared" si="14"/>
        <v>12600</v>
      </c>
      <c r="J125" s="58">
        <f t="shared" si="15"/>
        <v>424.24242424242425</v>
      </c>
      <c r="K125" s="58">
        <v>1500</v>
      </c>
      <c r="L125" s="59">
        <f t="shared" si="16"/>
        <v>1150</v>
      </c>
      <c r="M125" s="58">
        <f t="shared" si="17"/>
        <v>862.5</v>
      </c>
      <c r="N125" s="58">
        <f t="shared" si="18"/>
        <v>747.5</v>
      </c>
      <c r="O125" s="58">
        <f t="shared" si="19"/>
        <v>600</v>
      </c>
      <c r="P125" s="58">
        <f t="shared" si="20"/>
        <v>1086.3636363636363</v>
      </c>
      <c r="Q125" s="60">
        <f t="shared" si="21"/>
        <v>17.071428571428569</v>
      </c>
      <c r="R125" s="58">
        <f t="shared" si="22"/>
        <v>1023.8636363636364</v>
      </c>
      <c r="S125" s="58">
        <f t="shared" si="23"/>
        <v>878.86363636363637</v>
      </c>
      <c r="T125" s="58">
        <f t="shared" si="24"/>
        <v>536.36363636363637</v>
      </c>
      <c r="U125" s="60">
        <f t="shared" si="25"/>
        <v>16.089285714285715</v>
      </c>
      <c r="V125" s="60">
        <f t="shared" si="26"/>
        <v>13.810714285714287</v>
      </c>
      <c r="W125" s="60">
        <f t="shared" si="27"/>
        <v>8.4285714285714288</v>
      </c>
      <c r="X125" s="61" t="s">
        <v>129</v>
      </c>
      <c r="Y125" s="1"/>
      <c r="Z125" s="1"/>
    </row>
    <row r="126" spans="1:26" ht="15.75" customHeight="1">
      <c r="A126" s="54"/>
      <c r="B126" s="162"/>
      <c r="C126" s="33"/>
      <c r="D126" s="55" t="s">
        <v>597</v>
      </c>
      <c r="E126" s="55" t="s">
        <v>556</v>
      </c>
      <c r="F126" s="56" t="s">
        <v>1055</v>
      </c>
      <c r="G126" s="57" t="s">
        <v>1206</v>
      </c>
      <c r="H126" s="58">
        <v>25000</v>
      </c>
      <c r="I126" s="58">
        <f t="shared" si="14"/>
        <v>15399.999999999998</v>
      </c>
      <c r="J126" s="58">
        <f t="shared" si="15"/>
        <v>381.81818181818181</v>
      </c>
      <c r="K126" s="58">
        <v>1500</v>
      </c>
      <c r="L126" s="59">
        <f t="shared" si="16"/>
        <v>1450</v>
      </c>
      <c r="M126" s="58">
        <f t="shared" si="17"/>
        <v>862.5</v>
      </c>
      <c r="N126" s="58">
        <f t="shared" si="18"/>
        <v>747.5</v>
      </c>
      <c r="O126" s="58">
        <f t="shared" si="19"/>
        <v>750</v>
      </c>
      <c r="P126" s="58">
        <f t="shared" si="20"/>
        <v>725.75757575757575</v>
      </c>
      <c r="Q126" s="60">
        <f t="shared" si="21"/>
        <v>1.7107142857142856</v>
      </c>
      <c r="R126" s="58">
        <f t="shared" si="22"/>
        <v>438.25757575757575</v>
      </c>
      <c r="S126" s="58">
        <f t="shared" si="23"/>
        <v>323.25757575757575</v>
      </c>
      <c r="T126" s="58">
        <f t="shared" si="24"/>
        <v>175.75757575757575</v>
      </c>
      <c r="U126" s="60">
        <f t="shared" si="25"/>
        <v>1.0330357142857143</v>
      </c>
      <c r="V126" s="60">
        <f t="shared" si="26"/>
        <v>0.76196428571428565</v>
      </c>
      <c r="W126" s="60">
        <f t="shared" si="27"/>
        <v>0.41428571428571426</v>
      </c>
      <c r="X126" s="61" t="s">
        <v>132</v>
      </c>
      <c r="Y126" s="1"/>
      <c r="Z126" s="1"/>
    </row>
    <row r="127" spans="1:26" ht="15.75" customHeight="1">
      <c r="A127" s="54"/>
      <c r="B127" s="162"/>
      <c r="C127" s="33"/>
      <c r="D127" s="55" t="s">
        <v>1207</v>
      </c>
      <c r="E127" s="55" t="s">
        <v>1208</v>
      </c>
      <c r="F127" s="56" t="s">
        <v>1055</v>
      </c>
      <c r="G127" s="57" t="s">
        <v>1209</v>
      </c>
      <c r="H127" s="58">
        <v>35000</v>
      </c>
      <c r="I127" s="58">
        <f t="shared" si="14"/>
        <v>17500</v>
      </c>
      <c r="J127" s="58">
        <f t="shared" si="15"/>
        <v>466.66666666666663</v>
      </c>
      <c r="K127" s="58">
        <v>2200</v>
      </c>
      <c r="L127" s="59">
        <f t="shared" si="16"/>
        <v>1450</v>
      </c>
      <c r="M127" s="58">
        <f t="shared" si="17"/>
        <v>1087.5</v>
      </c>
      <c r="N127" s="58">
        <f t="shared" si="18"/>
        <v>942.5</v>
      </c>
      <c r="O127" s="58">
        <f t="shared" si="19"/>
        <v>750</v>
      </c>
      <c r="P127" s="58">
        <f t="shared" si="20"/>
        <v>1068.1818181818182</v>
      </c>
      <c r="Q127" s="60">
        <f t="shared" si="21"/>
        <v>2.7976190476190479</v>
      </c>
      <c r="R127" s="58">
        <f t="shared" si="22"/>
        <v>480.68181818181819</v>
      </c>
      <c r="S127" s="58">
        <f t="shared" si="23"/>
        <v>365.68181818181819</v>
      </c>
      <c r="T127" s="58">
        <f t="shared" si="24"/>
        <v>368.18181818181819</v>
      </c>
      <c r="U127" s="60">
        <f t="shared" si="25"/>
        <v>1.2589285714285714</v>
      </c>
      <c r="V127" s="60">
        <f t="shared" si="26"/>
        <v>0.95773809523809528</v>
      </c>
      <c r="W127" s="60">
        <f t="shared" si="27"/>
        <v>0.9642857142857143</v>
      </c>
      <c r="X127" s="61" t="s">
        <v>132</v>
      </c>
      <c r="Y127" s="1"/>
      <c r="Z127" s="1"/>
    </row>
    <row r="128" spans="1:26" ht="15.75" customHeight="1">
      <c r="A128" s="54"/>
      <c r="B128" s="162"/>
      <c r="C128" s="33"/>
      <c r="D128" s="55" t="s">
        <v>1207</v>
      </c>
      <c r="E128" s="55" t="s">
        <v>465</v>
      </c>
      <c r="F128" s="56" t="s">
        <v>1055</v>
      </c>
      <c r="G128" s="57" t="s">
        <v>1210</v>
      </c>
      <c r="H128" s="58">
        <v>35000</v>
      </c>
      <c r="I128" s="58">
        <f t="shared" si="14"/>
        <v>24500</v>
      </c>
      <c r="J128" s="58">
        <f t="shared" si="15"/>
        <v>530.30303030303025</v>
      </c>
      <c r="K128" s="58">
        <v>2500</v>
      </c>
      <c r="L128" s="59">
        <f t="shared" si="16"/>
        <v>2150</v>
      </c>
      <c r="M128" s="58">
        <f t="shared" si="17"/>
        <v>1087.5</v>
      </c>
      <c r="N128" s="58">
        <f t="shared" si="18"/>
        <v>942.5</v>
      </c>
      <c r="O128" s="58">
        <f t="shared" si="19"/>
        <v>1100</v>
      </c>
      <c r="P128" s="58">
        <f t="shared" si="20"/>
        <v>983.33333333333337</v>
      </c>
      <c r="Q128" s="60">
        <f t="shared" si="21"/>
        <v>2.1071428571428572</v>
      </c>
      <c r="R128" s="58">
        <f t="shared" si="22"/>
        <v>620.83333333333337</v>
      </c>
      <c r="S128" s="58">
        <f t="shared" si="23"/>
        <v>475.83333333333337</v>
      </c>
      <c r="T128" s="58">
        <f t="shared" si="24"/>
        <v>283.33333333333337</v>
      </c>
      <c r="U128" s="60">
        <f t="shared" si="25"/>
        <v>1.330357142857143</v>
      </c>
      <c r="V128" s="60">
        <f t="shared" si="26"/>
        <v>1.0196428571428573</v>
      </c>
      <c r="W128" s="60">
        <f t="shared" si="27"/>
        <v>0.60714285714285732</v>
      </c>
      <c r="X128" s="61" t="s">
        <v>132</v>
      </c>
      <c r="Y128" s="1"/>
      <c r="Z128" s="1"/>
    </row>
    <row r="129" spans="1:26" ht="15.75" customHeight="1">
      <c r="A129" s="54"/>
      <c r="B129" s="162"/>
      <c r="C129" s="33"/>
      <c r="D129" s="55" t="s">
        <v>1207</v>
      </c>
      <c r="E129" s="55" t="s">
        <v>1211</v>
      </c>
      <c r="F129" s="56"/>
      <c r="G129" s="74" t="s">
        <v>1212</v>
      </c>
      <c r="H129" s="58">
        <v>3000</v>
      </c>
      <c r="I129" s="58">
        <f t="shared" si="14"/>
        <v>24500</v>
      </c>
      <c r="J129" s="58">
        <f t="shared" si="15"/>
        <v>742.42424242424238</v>
      </c>
      <c r="K129" s="58">
        <v>725</v>
      </c>
      <c r="L129" s="59">
        <f t="shared" si="16"/>
        <v>2450</v>
      </c>
      <c r="M129" s="58">
        <f t="shared" si="17"/>
        <v>1612.5</v>
      </c>
      <c r="N129" s="58">
        <f t="shared" si="18"/>
        <v>1397.5</v>
      </c>
      <c r="O129" s="58">
        <f t="shared" si="19"/>
        <v>1250</v>
      </c>
      <c r="P129" s="58">
        <f t="shared" si="20"/>
        <v>1619.6969696969697</v>
      </c>
      <c r="Q129" s="60">
        <f t="shared" si="21"/>
        <v>3.0542857142857147</v>
      </c>
      <c r="R129" s="58">
        <f t="shared" si="22"/>
        <v>557.19696969696975</v>
      </c>
      <c r="S129" s="58">
        <f t="shared" si="23"/>
        <v>412.19696969696975</v>
      </c>
      <c r="T129" s="58">
        <f t="shared" si="24"/>
        <v>569.69696969696975</v>
      </c>
      <c r="U129" s="60">
        <f t="shared" si="25"/>
        <v>1.0507142857142859</v>
      </c>
      <c r="V129" s="60">
        <f t="shared" si="26"/>
        <v>0.77728571428571447</v>
      </c>
      <c r="W129" s="60">
        <f t="shared" si="27"/>
        <v>1.0742857142857145</v>
      </c>
      <c r="X129" s="61" t="s">
        <v>132</v>
      </c>
      <c r="Y129" s="1"/>
      <c r="Z129" s="1"/>
    </row>
    <row r="130" spans="1:26" ht="15.75" customHeight="1">
      <c r="A130" s="54"/>
      <c r="B130" s="162"/>
      <c r="C130" s="33"/>
      <c r="D130" s="55" t="s">
        <v>1207</v>
      </c>
      <c r="E130" s="55" t="s">
        <v>1213</v>
      </c>
      <c r="F130" s="56"/>
      <c r="G130" s="74" t="s">
        <v>1214</v>
      </c>
      <c r="H130" s="58">
        <v>4500</v>
      </c>
      <c r="I130" s="58">
        <f t="shared" si="14"/>
        <v>2100</v>
      </c>
      <c r="J130" s="58">
        <f t="shared" si="15"/>
        <v>742.42424242424238</v>
      </c>
      <c r="K130" s="58">
        <v>655</v>
      </c>
      <c r="L130" s="59">
        <f t="shared" si="16"/>
        <v>675</v>
      </c>
      <c r="M130" s="58">
        <f t="shared" si="17"/>
        <v>1837.5</v>
      </c>
      <c r="N130" s="58">
        <f t="shared" si="18"/>
        <v>1592.5</v>
      </c>
      <c r="O130" s="58">
        <f t="shared" si="19"/>
        <v>362.5</v>
      </c>
      <c r="P130" s="58">
        <f t="shared" si="20"/>
        <v>1707.5757575757575</v>
      </c>
      <c r="Q130" s="60">
        <f t="shared" si="21"/>
        <v>2.3000000000000003</v>
      </c>
      <c r="R130" s="58">
        <f t="shared" si="22"/>
        <v>870.07575757575762</v>
      </c>
      <c r="S130" s="58">
        <f t="shared" si="23"/>
        <v>655.07575757575762</v>
      </c>
      <c r="T130" s="58">
        <f t="shared" si="24"/>
        <v>507.57575757575762</v>
      </c>
      <c r="U130" s="60">
        <f t="shared" si="25"/>
        <v>1.1719387755102042</v>
      </c>
      <c r="V130" s="60">
        <f t="shared" si="26"/>
        <v>0.88234693877551029</v>
      </c>
      <c r="W130" s="60">
        <f t="shared" si="27"/>
        <v>0.68367346938775519</v>
      </c>
      <c r="X130" s="61" t="s">
        <v>132</v>
      </c>
      <c r="Y130" s="1"/>
      <c r="Z130" s="1"/>
    </row>
    <row r="131" spans="1:26" ht="15.75" customHeight="1">
      <c r="A131" s="54"/>
      <c r="B131" s="162"/>
      <c r="C131" s="33"/>
      <c r="D131" s="55" t="s">
        <v>1207</v>
      </c>
      <c r="E131" s="55" t="s">
        <v>1215</v>
      </c>
      <c r="F131" s="56" t="s">
        <v>1055</v>
      </c>
      <c r="G131" s="57" t="s">
        <v>1216</v>
      </c>
      <c r="H131" s="58">
        <v>45000</v>
      </c>
      <c r="I131" s="58">
        <f t="shared" si="14"/>
        <v>3150</v>
      </c>
      <c r="J131" s="58">
        <f t="shared" si="15"/>
        <v>63.636363636363633</v>
      </c>
      <c r="K131" s="58">
        <v>2500</v>
      </c>
      <c r="L131" s="59">
        <f t="shared" si="16"/>
        <v>605</v>
      </c>
      <c r="M131" s="58">
        <f t="shared" si="17"/>
        <v>506.25</v>
      </c>
      <c r="N131" s="58">
        <f t="shared" si="18"/>
        <v>438.75</v>
      </c>
      <c r="O131" s="58">
        <f t="shared" si="19"/>
        <v>327.5</v>
      </c>
      <c r="P131" s="58">
        <f t="shared" si="20"/>
        <v>-67.424242424242379</v>
      </c>
      <c r="Q131" s="60">
        <f t="shared" si="21"/>
        <v>-9.0816326530612196E-2</v>
      </c>
      <c r="R131" s="58">
        <f t="shared" si="22"/>
        <v>1095.0757575757575</v>
      </c>
      <c r="S131" s="58">
        <f t="shared" si="23"/>
        <v>850.07575757575762</v>
      </c>
      <c r="T131" s="58">
        <f t="shared" si="24"/>
        <v>-379.92424242424238</v>
      </c>
      <c r="U131" s="60">
        <f t="shared" si="25"/>
        <v>1.4750000000000001</v>
      </c>
      <c r="V131" s="60">
        <f t="shared" si="26"/>
        <v>1.1450000000000002</v>
      </c>
      <c r="W131" s="60">
        <f t="shared" si="27"/>
        <v>-0.51173469387755099</v>
      </c>
      <c r="X131" s="61" t="s">
        <v>132</v>
      </c>
      <c r="Y131" s="1"/>
      <c r="Z131" s="1"/>
    </row>
    <row r="132" spans="1:26" ht="15.75" customHeight="1">
      <c r="A132" s="54"/>
      <c r="B132" s="162"/>
      <c r="C132" s="33"/>
      <c r="D132" s="55" t="s">
        <v>1217</v>
      </c>
      <c r="E132" s="55" t="s">
        <v>607</v>
      </c>
      <c r="F132" s="56" t="s">
        <v>1055</v>
      </c>
      <c r="G132" s="57" t="s">
        <v>1218</v>
      </c>
      <c r="H132" s="58">
        <v>20000</v>
      </c>
      <c r="I132" s="58">
        <f t="shared" si="14"/>
        <v>31499.999999999996</v>
      </c>
      <c r="J132" s="58">
        <f t="shared" si="15"/>
        <v>95.454545454545453</v>
      </c>
      <c r="K132" s="58">
        <v>1500</v>
      </c>
      <c r="L132" s="59">
        <f t="shared" si="16"/>
        <v>2450</v>
      </c>
      <c r="M132" s="58">
        <f t="shared" si="17"/>
        <v>453.75</v>
      </c>
      <c r="N132" s="58">
        <f t="shared" si="18"/>
        <v>393.25</v>
      </c>
      <c r="O132" s="58">
        <f t="shared" si="19"/>
        <v>1250</v>
      </c>
      <c r="P132" s="58">
        <f t="shared" si="20"/>
        <v>541.36363636363637</v>
      </c>
      <c r="Q132" s="60">
        <f t="shared" si="21"/>
        <v>8.507142857142858</v>
      </c>
      <c r="R132" s="58">
        <f t="shared" si="22"/>
        <v>442.61363636363637</v>
      </c>
      <c r="S132" s="58">
        <f t="shared" si="23"/>
        <v>375.11363636363637</v>
      </c>
      <c r="T132" s="58">
        <f t="shared" si="24"/>
        <v>263.86363636363637</v>
      </c>
      <c r="U132" s="60">
        <f t="shared" si="25"/>
        <v>6.9553571428571432</v>
      </c>
      <c r="V132" s="60">
        <f t="shared" si="26"/>
        <v>5.8946428571428573</v>
      </c>
      <c r="W132" s="60">
        <f t="shared" si="27"/>
        <v>4.1464285714285722</v>
      </c>
      <c r="X132" s="61" t="s">
        <v>59</v>
      </c>
      <c r="Y132" s="1"/>
      <c r="Z132" s="1"/>
    </row>
    <row r="133" spans="1:26" ht="15.75" customHeight="1">
      <c r="A133" s="54"/>
      <c r="B133" s="162"/>
      <c r="C133" s="33"/>
      <c r="D133" s="55" t="s">
        <v>1217</v>
      </c>
      <c r="E133" s="55" t="s">
        <v>1219</v>
      </c>
      <c r="F133" s="56" t="s">
        <v>1055</v>
      </c>
      <c r="G133" s="57" t="s">
        <v>1220</v>
      </c>
      <c r="H133" s="58">
        <v>23000</v>
      </c>
      <c r="I133" s="58">
        <f t="shared" ref="I133:I196" si="28">H132*0.7</f>
        <v>14000</v>
      </c>
      <c r="J133" s="58">
        <f t="shared" ref="J133:J196" si="29">I132/33</f>
        <v>954.54545454545439</v>
      </c>
      <c r="K133" s="58">
        <v>1600</v>
      </c>
      <c r="L133" s="59">
        <f t="shared" ref="L133:L196" si="30">K132-50</f>
        <v>1450</v>
      </c>
      <c r="M133" s="58">
        <f t="shared" ref="M133:M196" si="31">L132*0.75</f>
        <v>1837.5</v>
      </c>
      <c r="N133" s="58">
        <f t="shared" ref="N133:N196" si="32">L132*0.65</f>
        <v>1592.5</v>
      </c>
      <c r="O133" s="58">
        <f t="shared" ref="O133:O196" si="33">K132*0.5</f>
        <v>750</v>
      </c>
      <c r="P133" s="58">
        <f t="shared" ref="P133:P196" si="34">L132-J132</f>
        <v>2354.5454545454545</v>
      </c>
      <c r="Q133" s="60">
        <f t="shared" ref="Q133:Q196" si="35">((L132-J132)/J132)</f>
        <v>24.666666666666668</v>
      </c>
      <c r="R133" s="58">
        <f t="shared" ref="R133:R196" si="36">M132-J132</f>
        <v>358.29545454545456</v>
      </c>
      <c r="S133" s="58">
        <f t="shared" ref="S133:S196" si="37">N132-J132</f>
        <v>297.79545454545456</v>
      </c>
      <c r="T133" s="58">
        <f t="shared" ref="T133:T196" si="38">O132-J132</f>
        <v>1154.5454545454545</v>
      </c>
      <c r="U133" s="60">
        <f t="shared" ref="U133:U196" si="39">(M132-J132)/J132</f>
        <v>3.753571428571429</v>
      </c>
      <c r="V133" s="60">
        <f t="shared" ref="V133:V196" si="40">(N132-J132)/J132</f>
        <v>3.119761904761905</v>
      </c>
      <c r="W133" s="60">
        <f t="shared" ref="W133:W196" si="41">(O132-J132)/J132</f>
        <v>12.095238095238095</v>
      </c>
      <c r="X133" s="61" t="s">
        <v>59</v>
      </c>
      <c r="Y133" s="1"/>
      <c r="Z133" s="1"/>
    </row>
    <row r="134" spans="1:26" ht="15.75" customHeight="1">
      <c r="A134" s="54"/>
      <c r="B134" s="162"/>
      <c r="C134" s="33"/>
      <c r="D134" s="55" t="s">
        <v>524</v>
      </c>
      <c r="E134" s="55" t="s">
        <v>358</v>
      </c>
      <c r="F134" s="56" t="s">
        <v>1055</v>
      </c>
      <c r="G134" s="57" t="s">
        <v>1221</v>
      </c>
      <c r="H134" s="58">
        <v>25000</v>
      </c>
      <c r="I134" s="58">
        <f t="shared" si="28"/>
        <v>16099.999999999998</v>
      </c>
      <c r="J134" s="58">
        <f t="shared" si="29"/>
        <v>424.24242424242425</v>
      </c>
      <c r="K134" s="58">
        <v>1600</v>
      </c>
      <c r="L134" s="59">
        <f t="shared" si="30"/>
        <v>1550</v>
      </c>
      <c r="M134" s="58">
        <f t="shared" si="31"/>
        <v>1087.5</v>
      </c>
      <c r="N134" s="58">
        <f t="shared" si="32"/>
        <v>942.5</v>
      </c>
      <c r="O134" s="58">
        <f t="shared" si="33"/>
        <v>800</v>
      </c>
      <c r="P134" s="58">
        <f t="shared" si="34"/>
        <v>495.45454545454561</v>
      </c>
      <c r="Q134" s="60">
        <f t="shared" si="35"/>
        <v>0.51904761904761931</v>
      </c>
      <c r="R134" s="58">
        <f t="shared" si="36"/>
        <v>882.95454545454561</v>
      </c>
      <c r="S134" s="58">
        <f t="shared" si="37"/>
        <v>637.95454545454561</v>
      </c>
      <c r="T134" s="58">
        <f t="shared" si="38"/>
        <v>-204.54545454545439</v>
      </c>
      <c r="U134" s="60">
        <f t="shared" si="39"/>
        <v>0.92500000000000027</v>
      </c>
      <c r="V134" s="60">
        <f t="shared" si="40"/>
        <v>0.66833333333333356</v>
      </c>
      <c r="W134" s="60">
        <f t="shared" si="41"/>
        <v>-0.21428571428571416</v>
      </c>
      <c r="X134" s="61" t="s">
        <v>59</v>
      </c>
      <c r="Y134" s="1"/>
      <c r="Z134" s="1"/>
    </row>
    <row r="135" spans="1:26" ht="15.75" customHeight="1">
      <c r="A135" s="54"/>
      <c r="B135" s="162"/>
      <c r="C135" s="33"/>
      <c r="D135" s="55" t="s">
        <v>524</v>
      </c>
      <c r="E135" s="55" t="s">
        <v>465</v>
      </c>
      <c r="F135" s="56" t="s">
        <v>1055</v>
      </c>
      <c r="G135" s="57" t="s">
        <v>1222</v>
      </c>
      <c r="H135" s="58">
        <v>25000</v>
      </c>
      <c r="I135" s="58">
        <f t="shared" si="28"/>
        <v>17500</v>
      </c>
      <c r="J135" s="58">
        <f t="shared" si="29"/>
        <v>487.87878787878782</v>
      </c>
      <c r="K135" s="58">
        <v>1600</v>
      </c>
      <c r="L135" s="59">
        <f t="shared" si="30"/>
        <v>1550</v>
      </c>
      <c r="M135" s="58">
        <f t="shared" si="31"/>
        <v>1162.5</v>
      </c>
      <c r="N135" s="58">
        <f t="shared" si="32"/>
        <v>1007.5</v>
      </c>
      <c r="O135" s="58">
        <f t="shared" si="33"/>
        <v>800</v>
      </c>
      <c r="P135" s="58">
        <f t="shared" si="34"/>
        <v>1125.7575757575758</v>
      </c>
      <c r="Q135" s="60">
        <f t="shared" si="35"/>
        <v>2.6535714285714285</v>
      </c>
      <c r="R135" s="58">
        <f t="shared" si="36"/>
        <v>663.25757575757575</v>
      </c>
      <c r="S135" s="58">
        <f t="shared" si="37"/>
        <v>518.25757575757575</v>
      </c>
      <c r="T135" s="58">
        <f t="shared" si="38"/>
        <v>375.75757575757575</v>
      </c>
      <c r="U135" s="60">
        <f t="shared" si="39"/>
        <v>1.563392857142857</v>
      </c>
      <c r="V135" s="60">
        <f t="shared" si="40"/>
        <v>1.2216071428571429</v>
      </c>
      <c r="W135" s="60">
        <f t="shared" si="41"/>
        <v>0.88571428571428568</v>
      </c>
      <c r="X135" s="61" t="s">
        <v>59</v>
      </c>
      <c r="Y135" s="1"/>
      <c r="Z135" s="1"/>
    </row>
    <row r="136" spans="1:26" ht="15.75" customHeight="1">
      <c r="A136" s="54"/>
      <c r="B136" s="162"/>
      <c r="C136" s="33"/>
      <c r="D136" s="55" t="s">
        <v>1223</v>
      </c>
      <c r="E136" s="55" t="s">
        <v>607</v>
      </c>
      <c r="F136" s="56" t="s">
        <v>1055</v>
      </c>
      <c r="G136" s="57" t="s">
        <v>1224</v>
      </c>
      <c r="H136" s="58">
        <v>20000</v>
      </c>
      <c r="I136" s="58">
        <f t="shared" si="28"/>
        <v>17500</v>
      </c>
      <c r="J136" s="58">
        <f t="shared" si="29"/>
        <v>530.30303030303025</v>
      </c>
      <c r="K136" s="58">
        <v>1600</v>
      </c>
      <c r="L136" s="59">
        <f t="shared" si="30"/>
        <v>1550</v>
      </c>
      <c r="M136" s="58">
        <f t="shared" si="31"/>
        <v>1162.5</v>
      </c>
      <c r="N136" s="58">
        <f t="shared" si="32"/>
        <v>1007.5</v>
      </c>
      <c r="O136" s="58">
        <f t="shared" si="33"/>
        <v>800</v>
      </c>
      <c r="P136" s="58">
        <f t="shared" si="34"/>
        <v>1062.1212121212122</v>
      </c>
      <c r="Q136" s="60">
        <f t="shared" si="35"/>
        <v>2.1770186335403734</v>
      </c>
      <c r="R136" s="58">
        <f t="shared" si="36"/>
        <v>674.62121212121224</v>
      </c>
      <c r="S136" s="58">
        <f t="shared" si="37"/>
        <v>519.62121212121224</v>
      </c>
      <c r="T136" s="58">
        <f t="shared" si="38"/>
        <v>312.12121212121218</v>
      </c>
      <c r="U136" s="60">
        <f t="shared" si="39"/>
        <v>1.3827639751552798</v>
      </c>
      <c r="V136" s="60">
        <f t="shared" si="40"/>
        <v>1.0650621118012427</v>
      </c>
      <c r="W136" s="60">
        <f t="shared" si="41"/>
        <v>0.63975155279503126</v>
      </c>
      <c r="X136" s="61" t="s">
        <v>59</v>
      </c>
      <c r="Y136" s="1"/>
      <c r="Z136" s="1"/>
    </row>
    <row r="137" spans="1:26" ht="15.75" customHeight="1">
      <c r="A137" s="54"/>
      <c r="B137" s="162"/>
      <c r="C137" s="33"/>
      <c r="D137" s="55" t="s">
        <v>1223</v>
      </c>
      <c r="E137" s="55" t="s">
        <v>68</v>
      </c>
      <c r="F137" s="56" t="s">
        <v>1055</v>
      </c>
      <c r="G137" s="57" t="s">
        <v>1225</v>
      </c>
      <c r="H137" s="58">
        <v>25000</v>
      </c>
      <c r="I137" s="58">
        <f t="shared" si="28"/>
        <v>14000</v>
      </c>
      <c r="J137" s="58">
        <f t="shared" si="29"/>
        <v>530.30303030303025</v>
      </c>
      <c r="K137" s="58">
        <v>1600</v>
      </c>
      <c r="L137" s="59">
        <f t="shared" si="30"/>
        <v>1550</v>
      </c>
      <c r="M137" s="58">
        <f t="shared" si="31"/>
        <v>1162.5</v>
      </c>
      <c r="N137" s="58">
        <f t="shared" si="32"/>
        <v>1007.5</v>
      </c>
      <c r="O137" s="58">
        <f t="shared" si="33"/>
        <v>800</v>
      </c>
      <c r="P137" s="58">
        <f t="shared" si="34"/>
        <v>1019.6969696969697</v>
      </c>
      <c r="Q137" s="60">
        <f t="shared" si="35"/>
        <v>1.922857142857143</v>
      </c>
      <c r="R137" s="58">
        <f t="shared" si="36"/>
        <v>632.19696969696975</v>
      </c>
      <c r="S137" s="58">
        <f t="shared" si="37"/>
        <v>477.19696969696975</v>
      </c>
      <c r="T137" s="58">
        <f t="shared" si="38"/>
        <v>269.69696969696975</v>
      </c>
      <c r="U137" s="60">
        <f t="shared" si="39"/>
        <v>1.1921428571428574</v>
      </c>
      <c r="V137" s="60">
        <f t="shared" si="40"/>
        <v>0.89985714285714302</v>
      </c>
      <c r="W137" s="60">
        <f t="shared" si="41"/>
        <v>0.50857142857142867</v>
      </c>
      <c r="X137" s="61" t="s">
        <v>59</v>
      </c>
      <c r="Y137" s="1"/>
      <c r="Z137" s="1"/>
    </row>
    <row r="138" spans="1:26" ht="15.75" customHeight="1">
      <c r="A138" s="54"/>
      <c r="B138" s="162"/>
      <c r="C138" s="33"/>
      <c r="D138" s="55" t="s">
        <v>1223</v>
      </c>
      <c r="E138" s="55" t="s">
        <v>525</v>
      </c>
      <c r="F138" s="56" t="s">
        <v>1055</v>
      </c>
      <c r="G138" s="57" t="s">
        <v>1226</v>
      </c>
      <c r="H138" s="58">
        <v>28000</v>
      </c>
      <c r="I138" s="58">
        <f t="shared" si="28"/>
        <v>17500</v>
      </c>
      <c r="J138" s="58">
        <f t="shared" si="29"/>
        <v>424.24242424242425</v>
      </c>
      <c r="K138" s="58">
        <v>1600</v>
      </c>
      <c r="L138" s="59">
        <f t="shared" si="30"/>
        <v>1550</v>
      </c>
      <c r="M138" s="58">
        <f t="shared" si="31"/>
        <v>1162.5</v>
      </c>
      <c r="N138" s="58">
        <f t="shared" si="32"/>
        <v>1007.5</v>
      </c>
      <c r="O138" s="58">
        <f t="shared" si="33"/>
        <v>800</v>
      </c>
      <c r="P138" s="58">
        <f t="shared" si="34"/>
        <v>1019.6969696969697</v>
      </c>
      <c r="Q138" s="60">
        <f t="shared" si="35"/>
        <v>1.922857142857143</v>
      </c>
      <c r="R138" s="58">
        <f t="shared" si="36"/>
        <v>632.19696969696975</v>
      </c>
      <c r="S138" s="58">
        <f t="shared" si="37"/>
        <v>477.19696969696975</v>
      </c>
      <c r="T138" s="58">
        <f t="shared" si="38"/>
        <v>269.69696969696975</v>
      </c>
      <c r="U138" s="60">
        <f t="shared" si="39"/>
        <v>1.1921428571428574</v>
      </c>
      <c r="V138" s="60">
        <f t="shared" si="40"/>
        <v>0.89985714285714302</v>
      </c>
      <c r="W138" s="60">
        <f t="shared" si="41"/>
        <v>0.50857142857142867</v>
      </c>
      <c r="X138" s="61" t="s">
        <v>59</v>
      </c>
      <c r="Y138" s="1"/>
      <c r="Z138" s="1"/>
    </row>
    <row r="139" spans="1:26" ht="15.75" customHeight="1">
      <c r="A139" s="54"/>
      <c r="B139" s="162"/>
      <c r="C139" s="33"/>
      <c r="D139" s="55" t="s">
        <v>1223</v>
      </c>
      <c r="E139" s="55" t="s">
        <v>529</v>
      </c>
      <c r="F139" s="56" t="s">
        <v>1055</v>
      </c>
      <c r="G139" s="57" t="s">
        <v>1227</v>
      </c>
      <c r="H139" s="58">
        <v>35000</v>
      </c>
      <c r="I139" s="58">
        <f t="shared" si="28"/>
        <v>19600</v>
      </c>
      <c r="J139" s="58">
        <f t="shared" si="29"/>
        <v>530.30303030303025</v>
      </c>
      <c r="K139" s="58">
        <v>1600</v>
      </c>
      <c r="L139" s="59">
        <f t="shared" si="30"/>
        <v>1550</v>
      </c>
      <c r="M139" s="58">
        <f t="shared" si="31"/>
        <v>1162.5</v>
      </c>
      <c r="N139" s="58">
        <f t="shared" si="32"/>
        <v>1007.5</v>
      </c>
      <c r="O139" s="58">
        <f t="shared" si="33"/>
        <v>800</v>
      </c>
      <c r="P139" s="58">
        <f t="shared" si="34"/>
        <v>1125.7575757575758</v>
      </c>
      <c r="Q139" s="60">
        <f t="shared" si="35"/>
        <v>2.6535714285714285</v>
      </c>
      <c r="R139" s="58">
        <f t="shared" si="36"/>
        <v>738.25757575757575</v>
      </c>
      <c r="S139" s="58">
        <f t="shared" si="37"/>
        <v>583.25757575757575</v>
      </c>
      <c r="T139" s="58">
        <f t="shared" si="38"/>
        <v>375.75757575757575</v>
      </c>
      <c r="U139" s="60">
        <f t="shared" si="39"/>
        <v>1.7401785714285714</v>
      </c>
      <c r="V139" s="60">
        <f t="shared" si="40"/>
        <v>1.3748214285714286</v>
      </c>
      <c r="W139" s="60">
        <f t="shared" si="41"/>
        <v>0.88571428571428568</v>
      </c>
      <c r="X139" s="61" t="s">
        <v>59</v>
      </c>
      <c r="Y139" s="1"/>
      <c r="Z139" s="1"/>
    </row>
    <row r="140" spans="1:26" ht="15.75" customHeight="1">
      <c r="A140" s="54"/>
      <c r="B140" s="162"/>
      <c r="C140" s="33"/>
      <c r="D140" s="55" t="s">
        <v>1223</v>
      </c>
      <c r="E140" s="55" t="s">
        <v>1228</v>
      </c>
      <c r="F140" s="56" t="s">
        <v>1055</v>
      </c>
      <c r="G140" s="57" t="s">
        <v>1229</v>
      </c>
      <c r="H140" s="58">
        <v>28000</v>
      </c>
      <c r="I140" s="58">
        <f t="shared" si="28"/>
        <v>24500</v>
      </c>
      <c r="J140" s="58">
        <f t="shared" si="29"/>
        <v>593.93939393939399</v>
      </c>
      <c r="K140" s="58">
        <v>1600</v>
      </c>
      <c r="L140" s="59">
        <f t="shared" si="30"/>
        <v>1550</v>
      </c>
      <c r="M140" s="58">
        <f t="shared" si="31"/>
        <v>1162.5</v>
      </c>
      <c r="N140" s="58">
        <f t="shared" si="32"/>
        <v>1007.5</v>
      </c>
      <c r="O140" s="58">
        <f t="shared" si="33"/>
        <v>800</v>
      </c>
      <c r="P140" s="58">
        <f t="shared" si="34"/>
        <v>1019.6969696969697</v>
      </c>
      <c r="Q140" s="60">
        <f t="shared" si="35"/>
        <v>1.922857142857143</v>
      </c>
      <c r="R140" s="58">
        <f t="shared" si="36"/>
        <v>632.19696969696975</v>
      </c>
      <c r="S140" s="58">
        <f t="shared" si="37"/>
        <v>477.19696969696975</v>
      </c>
      <c r="T140" s="58">
        <f t="shared" si="38"/>
        <v>269.69696969696975</v>
      </c>
      <c r="U140" s="60">
        <f t="shared" si="39"/>
        <v>1.1921428571428574</v>
      </c>
      <c r="V140" s="60">
        <f t="shared" si="40"/>
        <v>0.89985714285714302</v>
      </c>
      <c r="W140" s="60">
        <f t="shared" si="41"/>
        <v>0.50857142857142867</v>
      </c>
      <c r="X140" s="61" t="s">
        <v>59</v>
      </c>
      <c r="Y140" s="1"/>
      <c r="Z140" s="1"/>
    </row>
    <row r="141" spans="1:26" ht="15.75" customHeight="1">
      <c r="A141" s="54"/>
      <c r="B141" s="162"/>
      <c r="C141" s="33"/>
      <c r="D141" s="55" t="s">
        <v>1230</v>
      </c>
      <c r="E141" s="55" t="s">
        <v>607</v>
      </c>
      <c r="F141" s="56" t="s">
        <v>1055</v>
      </c>
      <c r="G141" s="57" t="s">
        <v>1231</v>
      </c>
      <c r="H141" s="58">
        <v>20000</v>
      </c>
      <c r="I141" s="58">
        <f t="shared" si="28"/>
        <v>19600</v>
      </c>
      <c r="J141" s="58">
        <f t="shared" si="29"/>
        <v>742.42424242424238</v>
      </c>
      <c r="K141" s="58">
        <v>1500</v>
      </c>
      <c r="L141" s="59">
        <f t="shared" si="30"/>
        <v>1550</v>
      </c>
      <c r="M141" s="58">
        <f t="shared" si="31"/>
        <v>1162.5</v>
      </c>
      <c r="N141" s="58">
        <f t="shared" si="32"/>
        <v>1007.5</v>
      </c>
      <c r="O141" s="58">
        <f t="shared" si="33"/>
        <v>800</v>
      </c>
      <c r="P141" s="58">
        <f t="shared" si="34"/>
        <v>956.06060606060601</v>
      </c>
      <c r="Q141" s="60">
        <f t="shared" si="35"/>
        <v>1.6096938775510201</v>
      </c>
      <c r="R141" s="58">
        <f t="shared" si="36"/>
        <v>568.56060606060601</v>
      </c>
      <c r="S141" s="58">
        <f t="shared" si="37"/>
        <v>413.56060606060601</v>
      </c>
      <c r="T141" s="58">
        <f t="shared" si="38"/>
        <v>206.06060606060601</v>
      </c>
      <c r="U141" s="60">
        <f t="shared" si="39"/>
        <v>0.95727040816326514</v>
      </c>
      <c r="V141" s="60">
        <f t="shared" si="40"/>
        <v>0.69630102040816311</v>
      </c>
      <c r="W141" s="60">
        <f t="shared" si="41"/>
        <v>0.34693877551020397</v>
      </c>
      <c r="X141" s="61" t="s">
        <v>100</v>
      </c>
      <c r="Y141" s="1"/>
      <c r="Z141" s="1"/>
    </row>
    <row r="142" spans="1:26" ht="15.75" customHeight="1">
      <c r="A142" s="54"/>
      <c r="B142" s="162"/>
      <c r="C142" s="33"/>
      <c r="D142" s="65" t="s">
        <v>1230</v>
      </c>
      <c r="E142" s="65" t="s">
        <v>525</v>
      </c>
      <c r="F142" s="66" t="s">
        <v>1055</v>
      </c>
      <c r="G142" s="67" t="s">
        <v>1232</v>
      </c>
      <c r="H142" s="68">
        <v>28000</v>
      </c>
      <c r="I142" s="58">
        <f t="shared" si="28"/>
        <v>14000</v>
      </c>
      <c r="J142" s="58">
        <f t="shared" si="29"/>
        <v>593.93939393939399</v>
      </c>
      <c r="K142" s="58">
        <v>1600</v>
      </c>
      <c r="L142" s="59">
        <f t="shared" si="30"/>
        <v>1450</v>
      </c>
      <c r="M142" s="58">
        <f t="shared" si="31"/>
        <v>1162.5</v>
      </c>
      <c r="N142" s="58">
        <f t="shared" si="32"/>
        <v>1007.5</v>
      </c>
      <c r="O142" s="58">
        <f t="shared" si="33"/>
        <v>750</v>
      </c>
      <c r="P142" s="58">
        <f t="shared" si="34"/>
        <v>807.57575757575762</v>
      </c>
      <c r="Q142" s="60">
        <f t="shared" si="35"/>
        <v>1.0877551020408165</v>
      </c>
      <c r="R142" s="58">
        <f t="shared" si="36"/>
        <v>420.07575757575762</v>
      </c>
      <c r="S142" s="58">
        <f t="shared" si="37"/>
        <v>265.07575757575762</v>
      </c>
      <c r="T142" s="58">
        <f t="shared" si="38"/>
        <v>57.575757575757621</v>
      </c>
      <c r="U142" s="60">
        <f t="shared" si="39"/>
        <v>0.56581632653061231</v>
      </c>
      <c r="V142" s="60">
        <f t="shared" si="40"/>
        <v>0.35704081632653067</v>
      </c>
      <c r="W142" s="60">
        <f t="shared" si="41"/>
        <v>7.7551020408163335E-2</v>
      </c>
      <c r="X142" s="61" t="s">
        <v>100</v>
      </c>
      <c r="Y142" s="1"/>
      <c r="Z142" s="1"/>
    </row>
    <row r="143" spans="1:26" ht="15.75" customHeight="1">
      <c r="A143" s="54"/>
      <c r="B143" s="162"/>
      <c r="C143" s="33"/>
      <c r="D143" s="65" t="s">
        <v>1230</v>
      </c>
      <c r="E143" s="65" t="s">
        <v>465</v>
      </c>
      <c r="F143" s="66" t="s">
        <v>1055</v>
      </c>
      <c r="G143" s="67" t="s">
        <v>1233</v>
      </c>
      <c r="H143" s="68">
        <v>28000</v>
      </c>
      <c r="I143" s="58">
        <f t="shared" si="28"/>
        <v>19600</v>
      </c>
      <c r="J143" s="58">
        <f t="shared" si="29"/>
        <v>424.24242424242425</v>
      </c>
      <c r="K143" s="58">
        <v>1600</v>
      </c>
      <c r="L143" s="59">
        <f t="shared" si="30"/>
        <v>1550</v>
      </c>
      <c r="M143" s="58">
        <f t="shared" si="31"/>
        <v>1087.5</v>
      </c>
      <c r="N143" s="58">
        <f t="shared" si="32"/>
        <v>942.5</v>
      </c>
      <c r="O143" s="58">
        <f t="shared" si="33"/>
        <v>800</v>
      </c>
      <c r="P143" s="58">
        <f t="shared" si="34"/>
        <v>856.06060606060601</v>
      </c>
      <c r="Q143" s="60">
        <f t="shared" si="35"/>
        <v>1.4413265306122447</v>
      </c>
      <c r="R143" s="58">
        <f t="shared" si="36"/>
        <v>568.56060606060601</v>
      </c>
      <c r="S143" s="58">
        <f t="shared" si="37"/>
        <v>413.56060606060601</v>
      </c>
      <c r="T143" s="58">
        <f t="shared" si="38"/>
        <v>156.06060606060601</v>
      </c>
      <c r="U143" s="60">
        <f t="shared" si="39"/>
        <v>0.95727040816326514</v>
      </c>
      <c r="V143" s="60">
        <f t="shared" si="40"/>
        <v>0.69630102040816311</v>
      </c>
      <c r="W143" s="60">
        <f t="shared" si="41"/>
        <v>0.2627551020408162</v>
      </c>
      <c r="X143" s="61" t="s">
        <v>100</v>
      </c>
      <c r="Y143" s="1"/>
      <c r="Z143" s="1"/>
    </row>
    <row r="144" spans="1:26" ht="15.75" customHeight="1">
      <c r="A144" s="54"/>
      <c r="B144" s="161"/>
      <c r="C144" s="33"/>
      <c r="D144" s="65" t="s">
        <v>1230</v>
      </c>
      <c r="E144" s="65" t="s">
        <v>68</v>
      </c>
      <c r="F144" s="66" t="s">
        <v>1055</v>
      </c>
      <c r="G144" s="67" t="s">
        <v>1234</v>
      </c>
      <c r="H144" s="68">
        <v>28000</v>
      </c>
      <c r="I144" s="58">
        <f t="shared" si="28"/>
        <v>19600</v>
      </c>
      <c r="J144" s="58">
        <f t="shared" si="29"/>
        <v>593.93939393939399</v>
      </c>
      <c r="K144" s="58">
        <v>1600</v>
      </c>
      <c r="L144" s="59">
        <f t="shared" si="30"/>
        <v>1550</v>
      </c>
      <c r="M144" s="58">
        <f t="shared" si="31"/>
        <v>1162.5</v>
      </c>
      <c r="N144" s="58">
        <f t="shared" si="32"/>
        <v>1007.5</v>
      </c>
      <c r="O144" s="58">
        <f t="shared" si="33"/>
        <v>800</v>
      </c>
      <c r="P144" s="58">
        <f t="shared" si="34"/>
        <v>1125.7575757575758</v>
      </c>
      <c r="Q144" s="60">
        <f t="shared" si="35"/>
        <v>2.6535714285714285</v>
      </c>
      <c r="R144" s="58">
        <f t="shared" si="36"/>
        <v>663.25757575757575</v>
      </c>
      <c r="S144" s="58">
        <f t="shared" si="37"/>
        <v>518.25757575757575</v>
      </c>
      <c r="T144" s="58">
        <f t="shared" si="38"/>
        <v>375.75757575757575</v>
      </c>
      <c r="U144" s="60">
        <f t="shared" si="39"/>
        <v>1.563392857142857</v>
      </c>
      <c r="V144" s="60">
        <f t="shared" si="40"/>
        <v>1.2216071428571429</v>
      </c>
      <c r="W144" s="60">
        <f t="shared" si="41"/>
        <v>0.88571428571428568</v>
      </c>
      <c r="X144" s="61" t="s">
        <v>100</v>
      </c>
      <c r="Y144" s="1"/>
      <c r="Z144" s="1"/>
    </row>
    <row r="145" spans="1:26" ht="15.75" customHeight="1">
      <c r="A145" s="54"/>
      <c r="B145" s="161"/>
      <c r="C145" s="33"/>
      <c r="D145" s="65" t="s">
        <v>1230</v>
      </c>
      <c r="E145" s="65" t="s">
        <v>577</v>
      </c>
      <c r="F145" s="66" t="s">
        <v>1055</v>
      </c>
      <c r="G145" s="67" t="s">
        <v>1235</v>
      </c>
      <c r="H145" s="68">
        <v>28000</v>
      </c>
      <c r="I145" s="58">
        <f t="shared" si="28"/>
        <v>19600</v>
      </c>
      <c r="J145" s="58">
        <f t="shared" si="29"/>
        <v>593.93939393939399</v>
      </c>
      <c r="K145" s="58">
        <v>1600</v>
      </c>
      <c r="L145" s="59">
        <f t="shared" si="30"/>
        <v>1550</v>
      </c>
      <c r="M145" s="58">
        <f t="shared" si="31"/>
        <v>1162.5</v>
      </c>
      <c r="N145" s="58">
        <f t="shared" si="32"/>
        <v>1007.5</v>
      </c>
      <c r="O145" s="58">
        <f t="shared" si="33"/>
        <v>800</v>
      </c>
      <c r="P145" s="58">
        <f t="shared" si="34"/>
        <v>956.06060606060601</v>
      </c>
      <c r="Q145" s="60">
        <f t="shared" si="35"/>
        <v>1.6096938775510201</v>
      </c>
      <c r="R145" s="58">
        <f t="shared" si="36"/>
        <v>568.56060606060601</v>
      </c>
      <c r="S145" s="58">
        <f t="shared" si="37"/>
        <v>413.56060606060601</v>
      </c>
      <c r="T145" s="58">
        <f t="shared" si="38"/>
        <v>206.06060606060601</v>
      </c>
      <c r="U145" s="60">
        <f t="shared" si="39"/>
        <v>0.95727040816326514</v>
      </c>
      <c r="V145" s="60">
        <f t="shared" si="40"/>
        <v>0.69630102040816311</v>
      </c>
      <c r="W145" s="60">
        <f t="shared" si="41"/>
        <v>0.34693877551020397</v>
      </c>
      <c r="X145" s="61" t="s">
        <v>100</v>
      </c>
      <c r="Y145" s="1"/>
      <c r="Z145" s="1"/>
    </row>
    <row r="146" spans="1:26" ht="15.75" customHeight="1">
      <c r="A146" s="54"/>
      <c r="B146" s="162"/>
      <c r="C146" s="43"/>
      <c r="D146" s="55" t="s">
        <v>1236</v>
      </c>
      <c r="E146" s="55" t="s">
        <v>1237</v>
      </c>
      <c r="F146" s="56" t="s">
        <v>1014</v>
      </c>
      <c r="G146" s="57" t="s">
        <v>1238</v>
      </c>
      <c r="H146" s="58">
        <v>25000</v>
      </c>
      <c r="I146" s="58">
        <f t="shared" si="28"/>
        <v>19600</v>
      </c>
      <c r="J146" s="58">
        <f t="shared" si="29"/>
        <v>593.93939393939399</v>
      </c>
      <c r="K146" s="58">
        <v>1500</v>
      </c>
      <c r="L146" s="59">
        <f t="shared" si="30"/>
        <v>1550</v>
      </c>
      <c r="M146" s="58">
        <f t="shared" si="31"/>
        <v>1162.5</v>
      </c>
      <c r="N146" s="58">
        <f t="shared" si="32"/>
        <v>1007.5</v>
      </c>
      <c r="O146" s="58">
        <f t="shared" si="33"/>
        <v>800</v>
      </c>
      <c r="P146" s="58">
        <f t="shared" si="34"/>
        <v>956.06060606060601</v>
      </c>
      <c r="Q146" s="60">
        <f t="shared" si="35"/>
        <v>1.6096938775510201</v>
      </c>
      <c r="R146" s="58">
        <f t="shared" si="36"/>
        <v>568.56060606060601</v>
      </c>
      <c r="S146" s="58">
        <f t="shared" si="37"/>
        <v>413.56060606060601</v>
      </c>
      <c r="T146" s="58">
        <f t="shared" si="38"/>
        <v>206.06060606060601</v>
      </c>
      <c r="U146" s="60">
        <f t="shared" si="39"/>
        <v>0.95727040816326514</v>
      </c>
      <c r="V146" s="60">
        <f t="shared" si="40"/>
        <v>0.69630102040816311</v>
      </c>
      <c r="W146" s="60">
        <f t="shared" si="41"/>
        <v>0.34693877551020397</v>
      </c>
      <c r="X146" s="61" t="s">
        <v>140</v>
      </c>
      <c r="Y146" s="1"/>
      <c r="Z146" s="1"/>
    </row>
    <row r="147" spans="1:26" ht="15.75" customHeight="1">
      <c r="A147" s="54"/>
      <c r="B147" s="162"/>
      <c r="C147" s="33"/>
      <c r="D147" s="65" t="s">
        <v>1236</v>
      </c>
      <c r="E147" s="65" t="s">
        <v>430</v>
      </c>
      <c r="F147" s="66" t="s">
        <v>1014</v>
      </c>
      <c r="G147" s="67" t="s">
        <v>1239</v>
      </c>
      <c r="H147" s="68">
        <v>28000</v>
      </c>
      <c r="I147" s="58">
        <f t="shared" si="28"/>
        <v>17500</v>
      </c>
      <c r="J147" s="58">
        <f t="shared" si="29"/>
        <v>593.93939393939399</v>
      </c>
      <c r="K147" s="58">
        <v>1500</v>
      </c>
      <c r="L147" s="59">
        <f t="shared" si="30"/>
        <v>1450</v>
      </c>
      <c r="M147" s="58">
        <f t="shared" si="31"/>
        <v>1162.5</v>
      </c>
      <c r="N147" s="58">
        <f t="shared" si="32"/>
        <v>1007.5</v>
      </c>
      <c r="O147" s="58">
        <f t="shared" si="33"/>
        <v>750</v>
      </c>
      <c r="P147" s="58">
        <f t="shared" si="34"/>
        <v>956.06060606060601</v>
      </c>
      <c r="Q147" s="60">
        <f t="shared" si="35"/>
        <v>1.6096938775510201</v>
      </c>
      <c r="R147" s="58">
        <f t="shared" si="36"/>
        <v>568.56060606060601</v>
      </c>
      <c r="S147" s="58">
        <f t="shared" si="37"/>
        <v>413.56060606060601</v>
      </c>
      <c r="T147" s="58">
        <f t="shared" si="38"/>
        <v>206.06060606060601</v>
      </c>
      <c r="U147" s="60">
        <f t="shared" si="39"/>
        <v>0.95727040816326514</v>
      </c>
      <c r="V147" s="60">
        <f t="shared" si="40"/>
        <v>0.69630102040816311</v>
      </c>
      <c r="W147" s="60">
        <f t="shared" si="41"/>
        <v>0.34693877551020397</v>
      </c>
      <c r="X147" s="61" t="s">
        <v>141</v>
      </c>
      <c r="Y147" s="1"/>
      <c r="Z147" s="1"/>
    </row>
    <row r="148" spans="1:26" ht="15.75" customHeight="1">
      <c r="A148" s="54"/>
      <c r="B148" s="162"/>
      <c r="C148" s="33"/>
      <c r="D148" s="55" t="s">
        <v>412</v>
      </c>
      <c r="E148" s="55" t="s">
        <v>412</v>
      </c>
      <c r="F148" s="56" t="s">
        <v>1014</v>
      </c>
      <c r="G148" s="57" t="s">
        <v>1240</v>
      </c>
      <c r="H148" s="58">
        <v>22000</v>
      </c>
      <c r="I148" s="58">
        <f t="shared" si="28"/>
        <v>19600</v>
      </c>
      <c r="J148" s="58">
        <f t="shared" si="29"/>
        <v>530.30303030303025</v>
      </c>
      <c r="K148" s="58">
        <v>1500</v>
      </c>
      <c r="L148" s="59">
        <f t="shared" si="30"/>
        <v>1450</v>
      </c>
      <c r="M148" s="58">
        <f t="shared" si="31"/>
        <v>1087.5</v>
      </c>
      <c r="N148" s="58">
        <f t="shared" si="32"/>
        <v>942.5</v>
      </c>
      <c r="O148" s="58">
        <f t="shared" si="33"/>
        <v>750</v>
      </c>
      <c r="P148" s="58">
        <f t="shared" si="34"/>
        <v>856.06060606060601</v>
      </c>
      <c r="Q148" s="60">
        <f t="shared" si="35"/>
        <v>1.4413265306122447</v>
      </c>
      <c r="R148" s="58">
        <f t="shared" si="36"/>
        <v>568.56060606060601</v>
      </c>
      <c r="S148" s="58">
        <f t="shared" si="37"/>
        <v>413.56060606060601</v>
      </c>
      <c r="T148" s="58">
        <f t="shared" si="38"/>
        <v>156.06060606060601</v>
      </c>
      <c r="U148" s="60">
        <f t="shared" si="39"/>
        <v>0.95727040816326514</v>
      </c>
      <c r="V148" s="60">
        <f t="shared" si="40"/>
        <v>0.69630102040816311</v>
      </c>
      <c r="W148" s="60">
        <f t="shared" si="41"/>
        <v>0.2627551020408162</v>
      </c>
      <c r="X148" s="61" t="s">
        <v>144</v>
      </c>
      <c r="Y148" s="1"/>
      <c r="Z148" s="1"/>
    </row>
    <row r="149" spans="1:26" ht="15.75" customHeight="1">
      <c r="A149" s="54"/>
      <c r="B149" s="162"/>
      <c r="C149" s="33"/>
      <c r="D149" s="55" t="s">
        <v>412</v>
      </c>
      <c r="E149" s="55" t="s">
        <v>1241</v>
      </c>
      <c r="F149" s="56" t="s">
        <v>1014</v>
      </c>
      <c r="G149" s="57" t="s">
        <v>1242</v>
      </c>
      <c r="H149" s="58">
        <v>25000</v>
      </c>
      <c r="I149" s="58">
        <f t="shared" si="28"/>
        <v>15399.999999999998</v>
      </c>
      <c r="J149" s="58">
        <f t="shared" si="29"/>
        <v>593.93939393939399</v>
      </c>
      <c r="K149" s="58">
        <v>1600</v>
      </c>
      <c r="L149" s="59">
        <f t="shared" si="30"/>
        <v>1450</v>
      </c>
      <c r="M149" s="58">
        <f t="shared" si="31"/>
        <v>1087.5</v>
      </c>
      <c r="N149" s="58">
        <f t="shared" si="32"/>
        <v>942.5</v>
      </c>
      <c r="O149" s="58">
        <f t="shared" si="33"/>
        <v>750</v>
      </c>
      <c r="P149" s="58">
        <f t="shared" si="34"/>
        <v>919.69696969696975</v>
      </c>
      <c r="Q149" s="60">
        <f t="shared" si="35"/>
        <v>1.7342857142857144</v>
      </c>
      <c r="R149" s="58">
        <f t="shared" si="36"/>
        <v>557.19696969696975</v>
      </c>
      <c r="S149" s="58">
        <f t="shared" si="37"/>
        <v>412.19696969696975</v>
      </c>
      <c r="T149" s="58">
        <f t="shared" si="38"/>
        <v>219.69696969696975</v>
      </c>
      <c r="U149" s="60">
        <f t="shared" si="39"/>
        <v>1.0507142857142859</v>
      </c>
      <c r="V149" s="60">
        <f t="shared" si="40"/>
        <v>0.77728571428571447</v>
      </c>
      <c r="W149" s="60">
        <f t="shared" si="41"/>
        <v>0.41428571428571442</v>
      </c>
      <c r="X149" s="61" t="s">
        <v>144</v>
      </c>
      <c r="Y149" s="1"/>
      <c r="Z149" s="1"/>
    </row>
    <row r="150" spans="1:26" ht="15.75" customHeight="1">
      <c r="A150" s="54"/>
      <c r="B150" s="162"/>
      <c r="C150" s="33"/>
      <c r="D150" s="55" t="s">
        <v>434</v>
      </c>
      <c r="E150" s="55" t="s">
        <v>68</v>
      </c>
      <c r="F150" s="56" t="s">
        <v>1055</v>
      </c>
      <c r="G150" s="57" t="s">
        <v>1243</v>
      </c>
      <c r="H150" s="58">
        <v>23000</v>
      </c>
      <c r="I150" s="58">
        <f t="shared" si="28"/>
        <v>17500</v>
      </c>
      <c r="J150" s="58">
        <f t="shared" si="29"/>
        <v>466.66666666666663</v>
      </c>
      <c r="K150" s="58">
        <v>1500</v>
      </c>
      <c r="L150" s="59">
        <f t="shared" si="30"/>
        <v>1550</v>
      </c>
      <c r="M150" s="58">
        <f t="shared" si="31"/>
        <v>1087.5</v>
      </c>
      <c r="N150" s="58">
        <f t="shared" si="32"/>
        <v>942.5</v>
      </c>
      <c r="O150" s="58">
        <f t="shared" si="33"/>
        <v>800</v>
      </c>
      <c r="P150" s="58">
        <f t="shared" si="34"/>
        <v>856.06060606060601</v>
      </c>
      <c r="Q150" s="60">
        <f t="shared" si="35"/>
        <v>1.4413265306122447</v>
      </c>
      <c r="R150" s="58">
        <f t="shared" si="36"/>
        <v>493.56060606060601</v>
      </c>
      <c r="S150" s="58">
        <f t="shared" si="37"/>
        <v>348.56060606060601</v>
      </c>
      <c r="T150" s="58">
        <f t="shared" si="38"/>
        <v>156.06060606060601</v>
      </c>
      <c r="U150" s="60">
        <f t="shared" si="39"/>
        <v>0.83099489795918347</v>
      </c>
      <c r="V150" s="60">
        <f t="shared" si="40"/>
        <v>0.58686224489795902</v>
      </c>
      <c r="W150" s="60">
        <f t="shared" si="41"/>
        <v>0.2627551020408162</v>
      </c>
      <c r="X150" s="61" t="s">
        <v>147</v>
      </c>
      <c r="Y150" s="1"/>
      <c r="Z150" s="1"/>
    </row>
    <row r="151" spans="1:26" ht="15.75" customHeight="1">
      <c r="A151" s="54"/>
      <c r="B151" s="162"/>
      <c r="C151" s="33"/>
      <c r="D151" s="55" t="s">
        <v>438</v>
      </c>
      <c r="E151" s="55" t="s">
        <v>68</v>
      </c>
      <c r="F151" s="56" t="s">
        <v>1055</v>
      </c>
      <c r="G151" s="57" t="s">
        <v>1244</v>
      </c>
      <c r="H151" s="58">
        <v>23000</v>
      </c>
      <c r="I151" s="58">
        <f t="shared" si="28"/>
        <v>16099.999999999998</v>
      </c>
      <c r="J151" s="58">
        <f t="shared" si="29"/>
        <v>530.30303030303025</v>
      </c>
      <c r="K151" s="58">
        <v>1500</v>
      </c>
      <c r="L151" s="59">
        <f t="shared" si="30"/>
        <v>1450</v>
      </c>
      <c r="M151" s="58">
        <f t="shared" si="31"/>
        <v>1162.5</v>
      </c>
      <c r="N151" s="58">
        <f t="shared" si="32"/>
        <v>1007.5</v>
      </c>
      <c r="O151" s="58">
        <f t="shared" si="33"/>
        <v>750</v>
      </c>
      <c r="P151" s="58">
        <f t="shared" si="34"/>
        <v>1083.3333333333335</v>
      </c>
      <c r="Q151" s="60">
        <f t="shared" si="35"/>
        <v>2.3214285714285721</v>
      </c>
      <c r="R151" s="58">
        <f t="shared" si="36"/>
        <v>620.83333333333337</v>
      </c>
      <c r="S151" s="58">
        <f t="shared" si="37"/>
        <v>475.83333333333337</v>
      </c>
      <c r="T151" s="58">
        <f t="shared" si="38"/>
        <v>333.33333333333337</v>
      </c>
      <c r="U151" s="60">
        <f t="shared" si="39"/>
        <v>1.330357142857143</v>
      </c>
      <c r="V151" s="60">
        <f t="shared" si="40"/>
        <v>1.0196428571428573</v>
      </c>
      <c r="W151" s="60">
        <f t="shared" si="41"/>
        <v>0.71428571428571441</v>
      </c>
      <c r="X151" s="61" t="s">
        <v>147</v>
      </c>
      <c r="Y151" s="1"/>
      <c r="Z151" s="1"/>
    </row>
    <row r="152" spans="1:26" ht="15.75" customHeight="1">
      <c r="A152" s="54"/>
      <c r="B152" s="162"/>
      <c r="C152" s="33"/>
      <c r="D152" s="55" t="s">
        <v>438</v>
      </c>
      <c r="E152" s="55" t="s">
        <v>1245</v>
      </c>
      <c r="F152" s="56" t="s">
        <v>1055</v>
      </c>
      <c r="G152" s="57" t="s">
        <v>1246</v>
      </c>
      <c r="H152" s="58">
        <v>25000</v>
      </c>
      <c r="I152" s="58">
        <f t="shared" si="28"/>
        <v>16099.999999999998</v>
      </c>
      <c r="J152" s="58">
        <f t="shared" si="29"/>
        <v>487.87878787878782</v>
      </c>
      <c r="K152" s="58">
        <v>1500</v>
      </c>
      <c r="L152" s="59">
        <f t="shared" si="30"/>
        <v>1450</v>
      </c>
      <c r="M152" s="58">
        <f t="shared" si="31"/>
        <v>1087.5</v>
      </c>
      <c r="N152" s="58">
        <f t="shared" si="32"/>
        <v>942.5</v>
      </c>
      <c r="O152" s="58">
        <f t="shared" si="33"/>
        <v>750</v>
      </c>
      <c r="P152" s="58">
        <f t="shared" si="34"/>
        <v>919.69696969696975</v>
      </c>
      <c r="Q152" s="60">
        <f t="shared" si="35"/>
        <v>1.7342857142857144</v>
      </c>
      <c r="R152" s="58">
        <f t="shared" si="36"/>
        <v>632.19696969696975</v>
      </c>
      <c r="S152" s="58">
        <f t="shared" si="37"/>
        <v>477.19696969696975</v>
      </c>
      <c r="T152" s="58">
        <f t="shared" si="38"/>
        <v>219.69696969696975</v>
      </c>
      <c r="U152" s="60">
        <f t="shared" si="39"/>
        <v>1.1921428571428574</v>
      </c>
      <c r="V152" s="60">
        <f t="shared" si="40"/>
        <v>0.89985714285714302</v>
      </c>
      <c r="W152" s="60">
        <f t="shared" si="41"/>
        <v>0.41428571428571442</v>
      </c>
      <c r="X152" s="61" t="s">
        <v>147</v>
      </c>
      <c r="Y152" s="1"/>
      <c r="Z152" s="1"/>
    </row>
    <row r="153" spans="1:26" ht="15.75" customHeight="1">
      <c r="A153" s="54"/>
      <c r="B153" s="162"/>
      <c r="C153" s="33"/>
      <c r="D153" s="55" t="s">
        <v>438</v>
      </c>
      <c r="E153" s="55" t="s">
        <v>1247</v>
      </c>
      <c r="F153" s="56" t="s">
        <v>1055</v>
      </c>
      <c r="G153" s="57" t="s">
        <v>1248</v>
      </c>
      <c r="H153" s="58">
        <v>25000</v>
      </c>
      <c r="I153" s="58">
        <f t="shared" si="28"/>
        <v>17500</v>
      </c>
      <c r="J153" s="58">
        <f t="shared" si="29"/>
        <v>487.87878787878782</v>
      </c>
      <c r="K153" s="58">
        <v>1500</v>
      </c>
      <c r="L153" s="59">
        <f t="shared" si="30"/>
        <v>1450</v>
      </c>
      <c r="M153" s="58">
        <f t="shared" si="31"/>
        <v>1087.5</v>
      </c>
      <c r="N153" s="58">
        <f t="shared" si="32"/>
        <v>942.5</v>
      </c>
      <c r="O153" s="58">
        <f t="shared" si="33"/>
        <v>750</v>
      </c>
      <c r="P153" s="58">
        <f t="shared" si="34"/>
        <v>962.12121212121224</v>
      </c>
      <c r="Q153" s="60">
        <f t="shared" si="35"/>
        <v>1.9720496894409942</v>
      </c>
      <c r="R153" s="58">
        <f t="shared" si="36"/>
        <v>599.62121212121224</v>
      </c>
      <c r="S153" s="58">
        <f t="shared" si="37"/>
        <v>454.62121212121218</v>
      </c>
      <c r="T153" s="58">
        <f t="shared" si="38"/>
        <v>262.12121212121218</v>
      </c>
      <c r="U153" s="60">
        <f t="shared" si="39"/>
        <v>1.2290372670807457</v>
      </c>
      <c r="V153" s="60">
        <f t="shared" si="40"/>
        <v>0.93183229813664625</v>
      </c>
      <c r="W153" s="60">
        <f t="shared" si="41"/>
        <v>0.5372670807453418</v>
      </c>
      <c r="X153" s="61" t="s">
        <v>147</v>
      </c>
      <c r="Y153" s="1"/>
      <c r="Z153" s="1"/>
    </row>
    <row r="154" spans="1:26" ht="15.75" customHeight="1">
      <c r="A154" s="54"/>
      <c r="B154" s="162"/>
      <c r="C154" s="33"/>
      <c r="D154" s="55" t="s">
        <v>1249</v>
      </c>
      <c r="E154" s="55" t="s">
        <v>68</v>
      </c>
      <c r="F154" s="56" t="s">
        <v>1014</v>
      </c>
      <c r="G154" s="57" t="s">
        <v>1250</v>
      </c>
      <c r="H154" s="58">
        <v>18000</v>
      </c>
      <c r="I154" s="58">
        <f t="shared" si="28"/>
        <v>17500</v>
      </c>
      <c r="J154" s="58">
        <f t="shared" si="29"/>
        <v>530.30303030303025</v>
      </c>
      <c r="K154" s="58">
        <v>1500</v>
      </c>
      <c r="L154" s="59">
        <f t="shared" si="30"/>
        <v>1450</v>
      </c>
      <c r="M154" s="58">
        <f t="shared" si="31"/>
        <v>1087.5</v>
      </c>
      <c r="N154" s="58">
        <f t="shared" si="32"/>
        <v>942.5</v>
      </c>
      <c r="O154" s="58">
        <f t="shared" si="33"/>
        <v>750</v>
      </c>
      <c r="P154" s="58">
        <f t="shared" si="34"/>
        <v>962.12121212121224</v>
      </c>
      <c r="Q154" s="60">
        <f t="shared" si="35"/>
        <v>1.9720496894409942</v>
      </c>
      <c r="R154" s="58">
        <f t="shared" si="36"/>
        <v>599.62121212121224</v>
      </c>
      <c r="S154" s="58">
        <f t="shared" si="37"/>
        <v>454.62121212121218</v>
      </c>
      <c r="T154" s="58">
        <f t="shared" si="38"/>
        <v>262.12121212121218</v>
      </c>
      <c r="U154" s="60">
        <f t="shared" si="39"/>
        <v>1.2290372670807457</v>
      </c>
      <c r="V154" s="60">
        <f t="shared" si="40"/>
        <v>0.93183229813664625</v>
      </c>
      <c r="W154" s="60">
        <f t="shared" si="41"/>
        <v>0.5372670807453418</v>
      </c>
      <c r="X154" s="61" t="s">
        <v>23</v>
      </c>
      <c r="Y154" s="1"/>
      <c r="Z154" s="1"/>
    </row>
    <row r="155" spans="1:26" ht="15.75" customHeight="1">
      <c r="A155" s="54"/>
      <c r="B155" s="162"/>
      <c r="C155" s="33"/>
      <c r="D155" s="55" t="s">
        <v>1251</v>
      </c>
      <c r="E155" s="55" t="s">
        <v>68</v>
      </c>
      <c r="F155" s="56" t="s">
        <v>1014</v>
      </c>
      <c r="G155" s="57" t="s">
        <v>1252</v>
      </c>
      <c r="H155" s="58">
        <v>18000</v>
      </c>
      <c r="I155" s="58">
        <f t="shared" si="28"/>
        <v>12600</v>
      </c>
      <c r="J155" s="58">
        <f t="shared" si="29"/>
        <v>530.30303030303025</v>
      </c>
      <c r="K155" s="58">
        <v>1500</v>
      </c>
      <c r="L155" s="59">
        <f t="shared" si="30"/>
        <v>1450</v>
      </c>
      <c r="M155" s="58">
        <f t="shared" si="31"/>
        <v>1087.5</v>
      </c>
      <c r="N155" s="58">
        <f t="shared" si="32"/>
        <v>942.5</v>
      </c>
      <c r="O155" s="58">
        <f t="shared" si="33"/>
        <v>750</v>
      </c>
      <c r="P155" s="58">
        <f t="shared" si="34"/>
        <v>919.69696969696975</v>
      </c>
      <c r="Q155" s="60">
        <f t="shared" si="35"/>
        <v>1.7342857142857144</v>
      </c>
      <c r="R155" s="58">
        <f t="shared" si="36"/>
        <v>557.19696969696975</v>
      </c>
      <c r="S155" s="58">
        <f t="shared" si="37"/>
        <v>412.19696969696975</v>
      </c>
      <c r="T155" s="58">
        <f t="shared" si="38"/>
        <v>219.69696969696975</v>
      </c>
      <c r="U155" s="60">
        <f t="shared" si="39"/>
        <v>1.0507142857142859</v>
      </c>
      <c r="V155" s="60">
        <f t="shared" si="40"/>
        <v>0.77728571428571447</v>
      </c>
      <c r="W155" s="60">
        <f t="shared" si="41"/>
        <v>0.41428571428571442</v>
      </c>
      <c r="X155" s="61"/>
      <c r="Y155" s="1"/>
      <c r="Z155" s="1"/>
    </row>
    <row r="156" spans="1:26" ht="15.75" customHeight="1">
      <c r="A156" s="54"/>
      <c r="B156" s="162"/>
      <c r="C156" s="33"/>
      <c r="D156" s="55" t="s">
        <v>1253</v>
      </c>
      <c r="E156" s="55" t="s">
        <v>607</v>
      </c>
      <c r="F156" s="56" t="s">
        <v>1014</v>
      </c>
      <c r="G156" s="57" t="s">
        <v>1254</v>
      </c>
      <c r="H156" s="58">
        <v>18000</v>
      </c>
      <c r="I156" s="58">
        <f t="shared" si="28"/>
        <v>12600</v>
      </c>
      <c r="J156" s="58">
        <f t="shared" si="29"/>
        <v>381.81818181818181</v>
      </c>
      <c r="K156" s="58">
        <v>1300</v>
      </c>
      <c r="L156" s="59">
        <f t="shared" si="30"/>
        <v>1450</v>
      </c>
      <c r="M156" s="58">
        <f t="shared" si="31"/>
        <v>1087.5</v>
      </c>
      <c r="N156" s="58">
        <f t="shared" si="32"/>
        <v>942.5</v>
      </c>
      <c r="O156" s="58">
        <f t="shared" si="33"/>
        <v>750</v>
      </c>
      <c r="P156" s="58">
        <f t="shared" si="34"/>
        <v>919.69696969696975</v>
      </c>
      <c r="Q156" s="60">
        <f t="shared" si="35"/>
        <v>1.7342857142857144</v>
      </c>
      <c r="R156" s="58">
        <f t="shared" si="36"/>
        <v>557.19696969696975</v>
      </c>
      <c r="S156" s="58">
        <f t="shared" si="37"/>
        <v>412.19696969696975</v>
      </c>
      <c r="T156" s="58">
        <f t="shared" si="38"/>
        <v>219.69696969696975</v>
      </c>
      <c r="U156" s="60">
        <f t="shared" si="39"/>
        <v>1.0507142857142859</v>
      </c>
      <c r="V156" s="60">
        <f t="shared" si="40"/>
        <v>0.77728571428571447</v>
      </c>
      <c r="W156" s="60">
        <f t="shared" si="41"/>
        <v>0.41428571428571442</v>
      </c>
      <c r="X156" s="61" t="s">
        <v>150</v>
      </c>
      <c r="Y156" s="1"/>
      <c r="Z156" s="1"/>
    </row>
    <row r="157" spans="1:26" ht="15.75" customHeight="1">
      <c r="A157" s="54"/>
      <c r="B157" s="162"/>
      <c r="C157" s="33"/>
      <c r="D157" s="55" t="s">
        <v>1253</v>
      </c>
      <c r="E157" s="55" t="s">
        <v>68</v>
      </c>
      <c r="F157" s="56" t="s">
        <v>1014</v>
      </c>
      <c r="G157" s="57" t="s">
        <v>1255</v>
      </c>
      <c r="H157" s="58">
        <v>22000</v>
      </c>
      <c r="I157" s="58">
        <f t="shared" si="28"/>
        <v>12600</v>
      </c>
      <c r="J157" s="58">
        <f t="shared" si="29"/>
        <v>381.81818181818181</v>
      </c>
      <c r="K157" s="58">
        <v>1500</v>
      </c>
      <c r="L157" s="59">
        <f t="shared" si="30"/>
        <v>1250</v>
      </c>
      <c r="M157" s="58">
        <f t="shared" si="31"/>
        <v>1087.5</v>
      </c>
      <c r="N157" s="58">
        <f t="shared" si="32"/>
        <v>942.5</v>
      </c>
      <c r="O157" s="58">
        <f t="shared" si="33"/>
        <v>650</v>
      </c>
      <c r="P157" s="58">
        <f t="shared" si="34"/>
        <v>1068.1818181818182</v>
      </c>
      <c r="Q157" s="60">
        <f t="shared" si="35"/>
        <v>2.7976190476190479</v>
      </c>
      <c r="R157" s="58">
        <f t="shared" si="36"/>
        <v>705.68181818181824</v>
      </c>
      <c r="S157" s="58">
        <f t="shared" si="37"/>
        <v>560.68181818181824</v>
      </c>
      <c r="T157" s="58">
        <f t="shared" si="38"/>
        <v>368.18181818181819</v>
      </c>
      <c r="U157" s="60">
        <f t="shared" si="39"/>
        <v>1.8482142857142858</v>
      </c>
      <c r="V157" s="60">
        <f t="shared" si="40"/>
        <v>1.4684523809523811</v>
      </c>
      <c r="W157" s="60">
        <f t="shared" si="41"/>
        <v>0.9642857142857143</v>
      </c>
      <c r="X157" s="61" t="s">
        <v>150</v>
      </c>
      <c r="Y157" s="1"/>
      <c r="Z157" s="1"/>
    </row>
    <row r="158" spans="1:26" ht="15.75" customHeight="1">
      <c r="A158" s="54"/>
      <c r="B158" s="162"/>
      <c r="C158" s="33"/>
      <c r="D158" s="55" t="s">
        <v>1256</v>
      </c>
      <c r="E158" s="55" t="s">
        <v>607</v>
      </c>
      <c r="F158" s="56" t="s">
        <v>1055</v>
      </c>
      <c r="G158" s="57" t="s">
        <v>1257</v>
      </c>
      <c r="H158" s="58">
        <v>18000</v>
      </c>
      <c r="I158" s="58">
        <f t="shared" si="28"/>
        <v>15399.999999999998</v>
      </c>
      <c r="J158" s="58">
        <f t="shared" si="29"/>
        <v>381.81818181818181</v>
      </c>
      <c r="K158" s="58">
        <v>1300</v>
      </c>
      <c r="L158" s="59">
        <f t="shared" si="30"/>
        <v>1450</v>
      </c>
      <c r="M158" s="58">
        <f t="shared" si="31"/>
        <v>937.5</v>
      </c>
      <c r="N158" s="58">
        <f t="shared" si="32"/>
        <v>812.5</v>
      </c>
      <c r="O158" s="58">
        <f t="shared" si="33"/>
        <v>750</v>
      </c>
      <c r="P158" s="58">
        <f t="shared" si="34"/>
        <v>868.18181818181824</v>
      </c>
      <c r="Q158" s="60">
        <f t="shared" si="35"/>
        <v>2.2738095238095242</v>
      </c>
      <c r="R158" s="58">
        <f t="shared" si="36"/>
        <v>705.68181818181824</v>
      </c>
      <c r="S158" s="58">
        <f t="shared" si="37"/>
        <v>560.68181818181824</v>
      </c>
      <c r="T158" s="58">
        <f t="shared" si="38"/>
        <v>268.18181818181819</v>
      </c>
      <c r="U158" s="60">
        <f t="shared" si="39"/>
        <v>1.8482142857142858</v>
      </c>
      <c r="V158" s="60">
        <f t="shared" si="40"/>
        <v>1.4684523809523811</v>
      </c>
      <c r="W158" s="60">
        <f t="shared" si="41"/>
        <v>0.70238095238095244</v>
      </c>
      <c r="X158" s="61" t="s">
        <v>47</v>
      </c>
      <c r="Y158" s="1"/>
      <c r="Z158" s="1"/>
    </row>
    <row r="159" spans="1:26" ht="15.75" customHeight="1">
      <c r="A159" s="54"/>
      <c r="B159" s="162"/>
      <c r="C159" s="33"/>
      <c r="D159" s="55" t="s">
        <v>1258</v>
      </c>
      <c r="E159" s="55" t="s">
        <v>607</v>
      </c>
      <c r="F159" s="56" t="s">
        <v>1055</v>
      </c>
      <c r="G159" s="57" t="s">
        <v>1259</v>
      </c>
      <c r="H159" s="58">
        <v>18000</v>
      </c>
      <c r="I159" s="58">
        <f t="shared" si="28"/>
        <v>12600</v>
      </c>
      <c r="J159" s="58">
        <f t="shared" si="29"/>
        <v>466.66666666666663</v>
      </c>
      <c r="K159" s="58">
        <v>1300</v>
      </c>
      <c r="L159" s="59">
        <f t="shared" si="30"/>
        <v>1250</v>
      </c>
      <c r="M159" s="58">
        <f t="shared" si="31"/>
        <v>1087.5</v>
      </c>
      <c r="N159" s="58">
        <f t="shared" si="32"/>
        <v>942.5</v>
      </c>
      <c r="O159" s="58">
        <f t="shared" si="33"/>
        <v>650</v>
      </c>
      <c r="P159" s="58">
        <f t="shared" si="34"/>
        <v>1068.1818181818182</v>
      </c>
      <c r="Q159" s="60">
        <f t="shared" si="35"/>
        <v>2.7976190476190479</v>
      </c>
      <c r="R159" s="58">
        <f t="shared" si="36"/>
        <v>555.68181818181824</v>
      </c>
      <c r="S159" s="58">
        <f t="shared" si="37"/>
        <v>430.68181818181819</v>
      </c>
      <c r="T159" s="58">
        <f t="shared" si="38"/>
        <v>368.18181818181819</v>
      </c>
      <c r="U159" s="60">
        <f t="shared" si="39"/>
        <v>1.455357142857143</v>
      </c>
      <c r="V159" s="60">
        <f t="shared" si="40"/>
        <v>1.1279761904761905</v>
      </c>
      <c r="W159" s="60">
        <f t="shared" si="41"/>
        <v>0.9642857142857143</v>
      </c>
      <c r="X159" s="61"/>
      <c r="Y159" s="1"/>
      <c r="Z159" s="1"/>
    </row>
    <row r="160" spans="1:26" ht="15.75" customHeight="1">
      <c r="A160" s="54"/>
      <c r="B160" s="161"/>
      <c r="C160" s="33"/>
      <c r="D160" s="55" t="s">
        <v>1260</v>
      </c>
      <c r="E160" s="55" t="s">
        <v>607</v>
      </c>
      <c r="F160" s="56" t="s">
        <v>1055</v>
      </c>
      <c r="G160" s="57" t="s">
        <v>1261</v>
      </c>
      <c r="H160" s="58">
        <v>20000</v>
      </c>
      <c r="I160" s="58">
        <f t="shared" si="28"/>
        <v>12600</v>
      </c>
      <c r="J160" s="58">
        <f t="shared" si="29"/>
        <v>381.81818181818181</v>
      </c>
      <c r="K160" s="58">
        <v>1300</v>
      </c>
      <c r="L160" s="59">
        <f t="shared" si="30"/>
        <v>1250</v>
      </c>
      <c r="M160" s="58">
        <f t="shared" si="31"/>
        <v>937.5</v>
      </c>
      <c r="N160" s="58">
        <f t="shared" si="32"/>
        <v>812.5</v>
      </c>
      <c r="O160" s="58">
        <f t="shared" si="33"/>
        <v>650</v>
      </c>
      <c r="P160" s="58">
        <f t="shared" si="34"/>
        <v>783.33333333333337</v>
      </c>
      <c r="Q160" s="60">
        <f t="shared" si="35"/>
        <v>1.6785714285714288</v>
      </c>
      <c r="R160" s="58">
        <f t="shared" si="36"/>
        <v>620.83333333333337</v>
      </c>
      <c r="S160" s="58">
        <f t="shared" si="37"/>
        <v>475.83333333333337</v>
      </c>
      <c r="T160" s="58">
        <f t="shared" si="38"/>
        <v>183.33333333333337</v>
      </c>
      <c r="U160" s="60">
        <f t="shared" si="39"/>
        <v>1.330357142857143</v>
      </c>
      <c r="V160" s="60">
        <f t="shared" si="40"/>
        <v>1.0196428571428573</v>
      </c>
      <c r="W160" s="60">
        <f t="shared" si="41"/>
        <v>0.39285714285714296</v>
      </c>
      <c r="X160" s="61"/>
      <c r="Y160" s="1"/>
      <c r="Z160" s="1"/>
    </row>
    <row r="161" spans="1:26" ht="15.75" customHeight="1">
      <c r="A161" s="54"/>
      <c r="B161" s="161"/>
      <c r="C161" s="69"/>
      <c r="D161" s="55" t="s">
        <v>1262</v>
      </c>
      <c r="E161" s="55" t="s">
        <v>607</v>
      </c>
      <c r="F161" s="56" t="s">
        <v>1055</v>
      </c>
      <c r="G161" s="57" t="s">
        <v>1263</v>
      </c>
      <c r="H161" s="58">
        <v>22000</v>
      </c>
      <c r="I161" s="58">
        <f t="shared" si="28"/>
        <v>14000</v>
      </c>
      <c r="J161" s="58">
        <f t="shared" si="29"/>
        <v>381.81818181818181</v>
      </c>
      <c r="K161" s="58">
        <v>1500</v>
      </c>
      <c r="L161" s="59">
        <f t="shared" si="30"/>
        <v>1250</v>
      </c>
      <c r="M161" s="58">
        <f t="shared" si="31"/>
        <v>937.5</v>
      </c>
      <c r="N161" s="58">
        <f t="shared" si="32"/>
        <v>812.5</v>
      </c>
      <c r="O161" s="58">
        <f t="shared" si="33"/>
        <v>650</v>
      </c>
      <c r="P161" s="58">
        <f t="shared" si="34"/>
        <v>868.18181818181824</v>
      </c>
      <c r="Q161" s="60">
        <f t="shared" si="35"/>
        <v>2.2738095238095242</v>
      </c>
      <c r="R161" s="58">
        <f t="shared" si="36"/>
        <v>555.68181818181824</v>
      </c>
      <c r="S161" s="58">
        <f t="shared" si="37"/>
        <v>430.68181818181819</v>
      </c>
      <c r="T161" s="58">
        <f t="shared" si="38"/>
        <v>268.18181818181819</v>
      </c>
      <c r="U161" s="60">
        <f t="shared" si="39"/>
        <v>1.455357142857143</v>
      </c>
      <c r="V161" s="60">
        <f t="shared" si="40"/>
        <v>1.1279761904761905</v>
      </c>
      <c r="W161" s="60">
        <f t="shared" si="41"/>
        <v>0.70238095238095244</v>
      </c>
      <c r="X161" s="61" t="s">
        <v>153</v>
      </c>
      <c r="Y161" s="1"/>
      <c r="Z161" s="1"/>
    </row>
    <row r="162" spans="1:26" ht="15.75" customHeight="1">
      <c r="A162" s="54"/>
      <c r="B162" s="162"/>
      <c r="C162" s="33"/>
      <c r="D162" s="55" t="s">
        <v>1264</v>
      </c>
      <c r="E162" s="55" t="s">
        <v>607</v>
      </c>
      <c r="F162" s="56" t="s">
        <v>1007</v>
      </c>
      <c r="G162" s="57" t="s">
        <v>1265</v>
      </c>
      <c r="H162" s="58">
        <v>12000</v>
      </c>
      <c r="I162" s="58">
        <f t="shared" si="28"/>
        <v>15399.999999999998</v>
      </c>
      <c r="J162" s="58">
        <f t="shared" si="29"/>
        <v>424.24242424242425</v>
      </c>
      <c r="K162" s="58">
        <v>1300</v>
      </c>
      <c r="L162" s="59">
        <f t="shared" si="30"/>
        <v>1450</v>
      </c>
      <c r="M162" s="58">
        <f t="shared" si="31"/>
        <v>937.5</v>
      </c>
      <c r="N162" s="58">
        <f t="shared" si="32"/>
        <v>812.5</v>
      </c>
      <c r="O162" s="58">
        <f t="shared" si="33"/>
        <v>750</v>
      </c>
      <c r="P162" s="58">
        <f t="shared" si="34"/>
        <v>868.18181818181824</v>
      </c>
      <c r="Q162" s="60">
        <f t="shared" si="35"/>
        <v>2.2738095238095242</v>
      </c>
      <c r="R162" s="58">
        <f t="shared" si="36"/>
        <v>555.68181818181824</v>
      </c>
      <c r="S162" s="58">
        <f t="shared" si="37"/>
        <v>430.68181818181819</v>
      </c>
      <c r="T162" s="58">
        <f t="shared" si="38"/>
        <v>268.18181818181819</v>
      </c>
      <c r="U162" s="60">
        <f t="shared" si="39"/>
        <v>1.455357142857143</v>
      </c>
      <c r="V162" s="60">
        <f t="shared" si="40"/>
        <v>1.1279761904761905</v>
      </c>
      <c r="W162" s="60">
        <f t="shared" si="41"/>
        <v>0.70238095238095244</v>
      </c>
      <c r="X162" s="61"/>
      <c r="Y162" s="1"/>
      <c r="Z162" s="1"/>
    </row>
    <row r="163" spans="1:26" ht="15.75" customHeight="1">
      <c r="A163" s="54"/>
      <c r="B163" s="162"/>
      <c r="C163" s="33"/>
      <c r="D163" s="55" t="s">
        <v>1266</v>
      </c>
      <c r="E163" s="55" t="s">
        <v>607</v>
      </c>
      <c r="F163" s="56" t="s">
        <v>1014</v>
      </c>
      <c r="G163" s="57" t="s">
        <v>1267</v>
      </c>
      <c r="H163" s="58">
        <v>18000</v>
      </c>
      <c r="I163" s="58">
        <f t="shared" si="28"/>
        <v>8400</v>
      </c>
      <c r="J163" s="58">
        <f t="shared" si="29"/>
        <v>466.66666666666663</v>
      </c>
      <c r="K163" s="58">
        <v>1300</v>
      </c>
      <c r="L163" s="59">
        <f t="shared" si="30"/>
        <v>1250</v>
      </c>
      <c r="M163" s="58">
        <f t="shared" si="31"/>
        <v>1087.5</v>
      </c>
      <c r="N163" s="58">
        <f t="shared" si="32"/>
        <v>942.5</v>
      </c>
      <c r="O163" s="58">
        <f t="shared" si="33"/>
        <v>650</v>
      </c>
      <c r="P163" s="58">
        <f t="shared" si="34"/>
        <v>1025.7575757575758</v>
      </c>
      <c r="Q163" s="60">
        <f t="shared" si="35"/>
        <v>2.4178571428571427</v>
      </c>
      <c r="R163" s="58">
        <f t="shared" si="36"/>
        <v>513.25757575757575</v>
      </c>
      <c r="S163" s="58">
        <f t="shared" si="37"/>
        <v>388.25757575757575</v>
      </c>
      <c r="T163" s="58">
        <f t="shared" si="38"/>
        <v>325.75757575757575</v>
      </c>
      <c r="U163" s="60">
        <f t="shared" si="39"/>
        <v>1.2098214285714286</v>
      </c>
      <c r="V163" s="60">
        <f t="shared" si="40"/>
        <v>0.9151785714285714</v>
      </c>
      <c r="W163" s="60">
        <f t="shared" si="41"/>
        <v>0.76785714285714279</v>
      </c>
      <c r="X163" s="61" t="s">
        <v>155</v>
      </c>
      <c r="Y163" s="1"/>
      <c r="Z163" s="1"/>
    </row>
    <row r="164" spans="1:26" ht="15.75" customHeight="1">
      <c r="A164" s="54"/>
      <c r="B164" s="162"/>
      <c r="C164" s="33"/>
      <c r="D164" s="55" t="s">
        <v>1266</v>
      </c>
      <c r="E164" s="55" t="s">
        <v>68</v>
      </c>
      <c r="F164" s="56" t="s">
        <v>1014</v>
      </c>
      <c r="G164" s="57" t="s">
        <v>1268</v>
      </c>
      <c r="H164" s="58">
        <v>20000</v>
      </c>
      <c r="I164" s="58">
        <f t="shared" si="28"/>
        <v>12600</v>
      </c>
      <c r="J164" s="58">
        <f t="shared" si="29"/>
        <v>254.54545454545453</v>
      </c>
      <c r="K164" s="58">
        <v>1500</v>
      </c>
      <c r="L164" s="59">
        <f t="shared" si="30"/>
        <v>1250</v>
      </c>
      <c r="M164" s="58">
        <f t="shared" si="31"/>
        <v>937.5</v>
      </c>
      <c r="N164" s="58">
        <f t="shared" si="32"/>
        <v>812.5</v>
      </c>
      <c r="O164" s="58">
        <f t="shared" si="33"/>
        <v>650</v>
      </c>
      <c r="P164" s="58">
        <f t="shared" si="34"/>
        <v>783.33333333333337</v>
      </c>
      <c r="Q164" s="60">
        <f t="shared" si="35"/>
        <v>1.6785714285714288</v>
      </c>
      <c r="R164" s="58">
        <f t="shared" si="36"/>
        <v>620.83333333333337</v>
      </c>
      <c r="S164" s="58">
        <f t="shared" si="37"/>
        <v>475.83333333333337</v>
      </c>
      <c r="T164" s="58">
        <f t="shared" si="38"/>
        <v>183.33333333333337</v>
      </c>
      <c r="U164" s="60">
        <f t="shared" si="39"/>
        <v>1.330357142857143</v>
      </c>
      <c r="V164" s="60">
        <f t="shared" si="40"/>
        <v>1.0196428571428573</v>
      </c>
      <c r="W164" s="60">
        <f t="shared" si="41"/>
        <v>0.39285714285714296</v>
      </c>
      <c r="X164" s="61" t="s">
        <v>155</v>
      </c>
      <c r="Y164" s="1"/>
      <c r="Z164" s="1"/>
    </row>
    <row r="165" spans="1:26" ht="15.75" customHeight="1">
      <c r="A165" s="54"/>
      <c r="B165" s="162"/>
      <c r="C165" s="33"/>
      <c r="D165" s="55" t="s">
        <v>1269</v>
      </c>
      <c r="E165" s="55" t="s">
        <v>607</v>
      </c>
      <c r="F165" s="56" t="s">
        <v>1014</v>
      </c>
      <c r="G165" s="57" t="s">
        <v>1270</v>
      </c>
      <c r="H165" s="58">
        <v>19000</v>
      </c>
      <c r="I165" s="58">
        <f t="shared" si="28"/>
        <v>14000</v>
      </c>
      <c r="J165" s="58">
        <f t="shared" si="29"/>
        <v>381.81818181818181</v>
      </c>
      <c r="K165" s="58">
        <v>1500</v>
      </c>
      <c r="L165" s="59">
        <f t="shared" si="30"/>
        <v>1450</v>
      </c>
      <c r="M165" s="58">
        <f t="shared" si="31"/>
        <v>937.5</v>
      </c>
      <c r="N165" s="58">
        <f t="shared" si="32"/>
        <v>812.5</v>
      </c>
      <c r="O165" s="58">
        <f t="shared" si="33"/>
        <v>750</v>
      </c>
      <c r="P165" s="58">
        <f t="shared" si="34"/>
        <v>995.4545454545455</v>
      </c>
      <c r="Q165" s="60">
        <f t="shared" si="35"/>
        <v>3.910714285714286</v>
      </c>
      <c r="R165" s="58">
        <f t="shared" si="36"/>
        <v>682.9545454545455</v>
      </c>
      <c r="S165" s="58">
        <f t="shared" si="37"/>
        <v>557.9545454545455</v>
      </c>
      <c r="T165" s="58">
        <f t="shared" si="38"/>
        <v>395.4545454545455</v>
      </c>
      <c r="U165" s="60">
        <f t="shared" si="39"/>
        <v>2.6830357142857144</v>
      </c>
      <c r="V165" s="60">
        <f t="shared" si="40"/>
        <v>2.191964285714286</v>
      </c>
      <c r="W165" s="60">
        <f t="shared" si="41"/>
        <v>1.5535714285714288</v>
      </c>
      <c r="X165" s="61" t="s">
        <v>157</v>
      </c>
      <c r="Y165" s="1"/>
      <c r="Z165" s="1"/>
    </row>
    <row r="166" spans="1:26" ht="15.75" customHeight="1">
      <c r="A166" s="54"/>
      <c r="B166" s="162"/>
      <c r="C166" s="33"/>
      <c r="D166" s="55" t="s">
        <v>1269</v>
      </c>
      <c r="E166" s="55" t="s">
        <v>68</v>
      </c>
      <c r="F166" s="56" t="s">
        <v>1014</v>
      </c>
      <c r="G166" s="57" t="s">
        <v>1271</v>
      </c>
      <c r="H166" s="58">
        <v>21000</v>
      </c>
      <c r="I166" s="58">
        <f t="shared" si="28"/>
        <v>13300</v>
      </c>
      <c r="J166" s="58">
        <f t="shared" si="29"/>
        <v>424.24242424242425</v>
      </c>
      <c r="K166" s="58">
        <v>1500</v>
      </c>
      <c r="L166" s="59">
        <f t="shared" si="30"/>
        <v>1450</v>
      </c>
      <c r="M166" s="58">
        <f t="shared" si="31"/>
        <v>1087.5</v>
      </c>
      <c r="N166" s="58">
        <f t="shared" si="32"/>
        <v>942.5</v>
      </c>
      <c r="O166" s="58">
        <f t="shared" si="33"/>
        <v>750</v>
      </c>
      <c r="P166" s="58">
        <f t="shared" si="34"/>
        <v>1068.1818181818182</v>
      </c>
      <c r="Q166" s="60">
        <f t="shared" si="35"/>
        <v>2.7976190476190479</v>
      </c>
      <c r="R166" s="58">
        <f t="shared" si="36"/>
        <v>555.68181818181824</v>
      </c>
      <c r="S166" s="58">
        <f t="shared" si="37"/>
        <v>430.68181818181819</v>
      </c>
      <c r="T166" s="58">
        <f t="shared" si="38"/>
        <v>368.18181818181819</v>
      </c>
      <c r="U166" s="60">
        <f t="shared" si="39"/>
        <v>1.455357142857143</v>
      </c>
      <c r="V166" s="60">
        <f t="shared" si="40"/>
        <v>1.1279761904761905</v>
      </c>
      <c r="W166" s="60">
        <f t="shared" si="41"/>
        <v>0.9642857142857143</v>
      </c>
      <c r="X166" s="61" t="s">
        <v>157</v>
      </c>
      <c r="Y166" s="1"/>
      <c r="Z166" s="1"/>
    </row>
    <row r="167" spans="1:26" ht="15.75" customHeight="1">
      <c r="A167" s="54"/>
      <c r="B167" s="162"/>
      <c r="C167" s="33"/>
      <c r="D167" s="55" t="s">
        <v>1272</v>
      </c>
      <c r="E167" s="55" t="s">
        <v>382</v>
      </c>
      <c r="F167" s="56" t="s">
        <v>1055</v>
      </c>
      <c r="G167" s="57" t="s">
        <v>1273</v>
      </c>
      <c r="H167" s="58">
        <v>20000</v>
      </c>
      <c r="I167" s="58">
        <f t="shared" si="28"/>
        <v>14699.999999999998</v>
      </c>
      <c r="J167" s="58">
        <f t="shared" si="29"/>
        <v>403.030303030303</v>
      </c>
      <c r="K167" s="58">
        <v>1500</v>
      </c>
      <c r="L167" s="59">
        <f t="shared" si="30"/>
        <v>1450</v>
      </c>
      <c r="M167" s="58">
        <f t="shared" si="31"/>
        <v>1087.5</v>
      </c>
      <c r="N167" s="58">
        <f t="shared" si="32"/>
        <v>942.5</v>
      </c>
      <c r="O167" s="58">
        <f t="shared" si="33"/>
        <v>750</v>
      </c>
      <c r="P167" s="58">
        <f t="shared" si="34"/>
        <v>1025.7575757575758</v>
      </c>
      <c r="Q167" s="60">
        <f t="shared" si="35"/>
        <v>2.4178571428571427</v>
      </c>
      <c r="R167" s="58">
        <f t="shared" si="36"/>
        <v>663.25757575757575</v>
      </c>
      <c r="S167" s="58">
        <f t="shared" si="37"/>
        <v>518.25757575757575</v>
      </c>
      <c r="T167" s="58">
        <f t="shared" si="38"/>
        <v>325.75757575757575</v>
      </c>
      <c r="U167" s="60">
        <f t="shared" si="39"/>
        <v>1.563392857142857</v>
      </c>
      <c r="V167" s="60">
        <f t="shared" si="40"/>
        <v>1.2216071428571429</v>
      </c>
      <c r="W167" s="60">
        <f t="shared" si="41"/>
        <v>0.76785714285714279</v>
      </c>
      <c r="X167" s="61"/>
      <c r="Y167" s="1"/>
      <c r="Z167" s="1"/>
    </row>
    <row r="168" spans="1:26" ht="15.75" customHeight="1">
      <c r="A168" s="54"/>
      <c r="B168" s="162"/>
      <c r="C168" s="33"/>
      <c r="D168" s="55" t="s">
        <v>1274</v>
      </c>
      <c r="E168" s="55" t="s">
        <v>68</v>
      </c>
      <c r="F168" s="56" t="s">
        <v>1055</v>
      </c>
      <c r="G168" s="57" t="s">
        <v>1275</v>
      </c>
      <c r="H168" s="58">
        <v>20000</v>
      </c>
      <c r="I168" s="58">
        <f t="shared" si="28"/>
        <v>14000</v>
      </c>
      <c r="J168" s="58">
        <f t="shared" si="29"/>
        <v>445.45454545454538</v>
      </c>
      <c r="K168" s="58">
        <v>1500</v>
      </c>
      <c r="L168" s="59">
        <f t="shared" si="30"/>
        <v>1450</v>
      </c>
      <c r="M168" s="58">
        <f t="shared" si="31"/>
        <v>1087.5</v>
      </c>
      <c r="N168" s="58">
        <f t="shared" si="32"/>
        <v>942.5</v>
      </c>
      <c r="O168" s="58">
        <f t="shared" si="33"/>
        <v>750</v>
      </c>
      <c r="P168" s="58">
        <f t="shared" si="34"/>
        <v>1046.969696969697</v>
      </c>
      <c r="Q168" s="60">
        <f t="shared" si="35"/>
        <v>2.5977443609022557</v>
      </c>
      <c r="R168" s="58">
        <f t="shared" si="36"/>
        <v>684.469696969697</v>
      </c>
      <c r="S168" s="58">
        <f t="shared" si="37"/>
        <v>539.469696969697</v>
      </c>
      <c r="T168" s="58">
        <f t="shared" si="38"/>
        <v>346.969696969697</v>
      </c>
      <c r="U168" s="60">
        <f t="shared" si="39"/>
        <v>1.6983082706766919</v>
      </c>
      <c r="V168" s="60">
        <f t="shared" si="40"/>
        <v>1.3385338345864664</v>
      </c>
      <c r="W168" s="60">
        <f t="shared" si="41"/>
        <v>0.86090225563909784</v>
      </c>
      <c r="X168" s="61" t="s">
        <v>160</v>
      </c>
      <c r="Y168" s="1"/>
      <c r="Z168" s="1"/>
    </row>
    <row r="169" spans="1:26" ht="15.75" customHeight="1">
      <c r="A169" s="54"/>
      <c r="B169" s="162"/>
      <c r="C169" s="33"/>
      <c r="D169" s="55" t="s">
        <v>1274</v>
      </c>
      <c r="E169" s="55" t="s">
        <v>382</v>
      </c>
      <c r="F169" s="56" t="s">
        <v>1055</v>
      </c>
      <c r="G169" s="57" t="s">
        <v>1276</v>
      </c>
      <c r="H169" s="58">
        <v>20000</v>
      </c>
      <c r="I169" s="58">
        <f t="shared" si="28"/>
        <v>14000</v>
      </c>
      <c r="J169" s="58">
        <f t="shared" si="29"/>
        <v>424.24242424242425</v>
      </c>
      <c r="K169" s="58">
        <v>1500</v>
      </c>
      <c r="L169" s="59">
        <f t="shared" si="30"/>
        <v>1450</v>
      </c>
      <c r="M169" s="58">
        <f t="shared" si="31"/>
        <v>1087.5</v>
      </c>
      <c r="N169" s="58">
        <f t="shared" si="32"/>
        <v>942.5</v>
      </c>
      <c r="O169" s="58">
        <f t="shared" si="33"/>
        <v>750</v>
      </c>
      <c r="P169" s="58">
        <f t="shared" si="34"/>
        <v>1004.5454545454546</v>
      </c>
      <c r="Q169" s="60">
        <f t="shared" si="35"/>
        <v>2.2551020408163271</v>
      </c>
      <c r="R169" s="58">
        <f t="shared" si="36"/>
        <v>642.04545454545462</v>
      </c>
      <c r="S169" s="58">
        <f t="shared" si="37"/>
        <v>497.04545454545462</v>
      </c>
      <c r="T169" s="58">
        <f t="shared" si="38"/>
        <v>304.54545454545462</v>
      </c>
      <c r="U169" s="60">
        <f t="shared" si="39"/>
        <v>1.4413265306122454</v>
      </c>
      <c r="V169" s="60">
        <f t="shared" si="40"/>
        <v>1.1158163265306127</v>
      </c>
      <c r="W169" s="60">
        <f t="shared" si="41"/>
        <v>0.68367346938775542</v>
      </c>
      <c r="X169" s="61"/>
      <c r="Y169" s="1"/>
      <c r="Z169" s="1"/>
    </row>
    <row r="170" spans="1:26" ht="15.75" customHeight="1">
      <c r="A170" s="54"/>
      <c r="B170" s="162"/>
      <c r="C170" s="33"/>
      <c r="D170" s="55" t="s">
        <v>1274</v>
      </c>
      <c r="E170" s="55" t="s">
        <v>527</v>
      </c>
      <c r="F170" s="56" t="s">
        <v>1055</v>
      </c>
      <c r="G170" s="57" t="s">
        <v>1277</v>
      </c>
      <c r="H170" s="58">
        <v>22000</v>
      </c>
      <c r="I170" s="58">
        <f t="shared" si="28"/>
        <v>14000</v>
      </c>
      <c r="J170" s="58">
        <f t="shared" si="29"/>
        <v>424.24242424242425</v>
      </c>
      <c r="K170" s="58">
        <v>3000</v>
      </c>
      <c r="L170" s="59">
        <f t="shared" si="30"/>
        <v>1450</v>
      </c>
      <c r="M170" s="58">
        <f t="shared" si="31"/>
        <v>1087.5</v>
      </c>
      <c r="N170" s="58">
        <f t="shared" si="32"/>
        <v>942.5</v>
      </c>
      <c r="O170" s="58">
        <f t="shared" si="33"/>
        <v>750</v>
      </c>
      <c r="P170" s="58">
        <f t="shared" si="34"/>
        <v>1025.7575757575758</v>
      </c>
      <c r="Q170" s="60">
        <f t="shared" si="35"/>
        <v>2.4178571428571427</v>
      </c>
      <c r="R170" s="58">
        <f t="shared" si="36"/>
        <v>663.25757575757575</v>
      </c>
      <c r="S170" s="58">
        <f t="shared" si="37"/>
        <v>518.25757575757575</v>
      </c>
      <c r="T170" s="58">
        <f t="shared" si="38"/>
        <v>325.75757575757575</v>
      </c>
      <c r="U170" s="60">
        <f t="shared" si="39"/>
        <v>1.563392857142857</v>
      </c>
      <c r="V170" s="60">
        <f t="shared" si="40"/>
        <v>1.2216071428571429</v>
      </c>
      <c r="W170" s="60">
        <f t="shared" si="41"/>
        <v>0.76785714285714279</v>
      </c>
      <c r="X170" s="61" t="s">
        <v>163</v>
      </c>
      <c r="Y170" s="1"/>
      <c r="Z170" s="1"/>
    </row>
    <row r="171" spans="1:26" ht="15.75" customHeight="1">
      <c r="A171" s="54"/>
      <c r="B171" s="162"/>
      <c r="C171" s="33"/>
      <c r="D171" s="55" t="s">
        <v>1274</v>
      </c>
      <c r="E171" s="55" t="s">
        <v>1278</v>
      </c>
      <c r="F171" s="56" t="s">
        <v>1055</v>
      </c>
      <c r="G171" s="57" t="s">
        <v>1279</v>
      </c>
      <c r="H171" s="58">
        <v>28000</v>
      </c>
      <c r="I171" s="58">
        <f t="shared" si="28"/>
        <v>15399.999999999998</v>
      </c>
      <c r="J171" s="58">
        <f t="shared" si="29"/>
        <v>424.24242424242425</v>
      </c>
      <c r="K171" s="58">
        <v>1500</v>
      </c>
      <c r="L171" s="59">
        <f t="shared" si="30"/>
        <v>2950</v>
      </c>
      <c r="M171" s="58">
        <f t="shared" si="31"/>
        <v>1087.5</v>
      </c>
      <c r="N171" s="58">
        <f t="shared" si="32"/>
        <v>942.5</v>
      </c>
      <c r="O171" s="58">
        <f t="shared" si="33"/>
        <v>1500</v>
      </c>
      <c r="P171" s="58">
        <f t="shared" si="34"/>
        <v>1025.7575757575758</v>
      </c>
      <c r="Q171" s="60">
        <f t="shared" si="35"/>
        <v>2.4178571428571427</v>
      </c>
      <c r="R171" s="58">
        <f t="shared" si="36"/>
        <v>663.25757575757575</v>
      </c>
      <c r="S171" s="58">
        <f t="shared" si="37"/>
        <v>518.25757575757575</v>
      </c>
      <c r="T171" s="58">
        <f t="shared" si="38"/>
        <v>325.75757575757575</v>
      </c>
      <c r="U171" s="60">
        <f t="shared" si="39"/>
        <v>1.563392857142857</v>
      </c>
      <c r="V171" s="60">
        <f t="shared" si="40"/>
        <v>1.2216071428571429</v>
      </c>
      <c r="W171" s="60">
        <f t="shared" si="41"/>
        <v>0.76785714285714279</v>
      </c>
      <c r="X171" s="61"/>
      <c r="Y171" s="1"/>
      <c r="Z171" s="1"/>
    </row>
    <row r="172" spans="1:26" ht="15.75" customHeight="1">
      <c r="A172" s="54"/>
      <c r="B172" s="162"/>
      <c r="C172" s="33"/>
      <c r="D172" s="55" t="s">
        <v>356</v>
      </c>
      <c r="E172" s="55" t="s">
        <v>607</v>
      </c>
      <c r="F172" s="56" t="s">
        <v>1055</v>
      </c>
      <c r="G172" s="57" t="s">
        <v>1280</v>
      </c>
      <c r="H172" s="58">
        <v>20000</v>
      </c>
      <c r="I172" s="58">
        <f t="shared" si="28"/>
        <v>19600</v>
      </c>
      <c r="J172" s="58">
        <f t="shared" si="29"/>
        <v>466.66666666666663</v>
      </c>
      <c r="K172" s="58">
        <v>1300</v>
      </c>
      <c r="L172" s="59">
        <f t="shared" si="30"/>
        <v>1450</v>
      </c>
      <c r="M172" s="58">
        <f t="shared" si="31"/>
        <v>2212.5</v>
      </c>
      <c r="N172" s="58">
        <f t="shared" si="32"/>
        <v>1917.5</v>
      </c>
      <c r="O172" s="58">
        <f t="shared" si="33"/>
        <v>750</v>
      </c>
      <c r="P172" s="58">
        <f t="shared" si="34"/>
        <v>2525.757575757576</v>
      </c>
      <c r="Q172" s="60">
        <f t="shared" si="35"/>
        <v>5.9535714285714292</v>
      </c>
      <c r="R172" s="58">
        <f t="shared" si="36"/>
        <v>663.25757575757575</v>
      </c>
      <c r="S172" s="58">
        <f t="shared" si="37"/>
        <v>518.25757575757575</v>
      </c>
      <c r="T172" s="58">
        <f t="shared" si="38"/>
        <v>1075.7575757575758</v>
      </c>
      <c r="U172" s="60">
        <f t="shared" si="39"/>
        <v>1.563392857142857</v>
      </c>
      <c r="V172" s="60">
        <f t="shared" si="40"/>
        <v>1.2216071428571429</v>
      </c>
      <c r="W172" s="60">
        <f t="shared" si="41"/>
        <v>2.5357142857142856</v>
      </c>
      <c r="X172" s="61" t="s">
        <v>48</v>
      </c>
      <c r="Y172" s="1"/>
      <c r="Z172" s="1"/>
    </row>
    <row r="173" spans="1:26" ht="15.75" customHeight="1">
      <c r="A173" s="54"/>
      <c r="B173" s="162"/>
      <c r="C173" s="33"/>
      <c r="D173" s="55" t="s">
        <v>356</v>
      </c>
      <c r="E173" s="55" t="s">
        <v>382</v>
      </c>
      <c r="F173" s="56" t="s">
        <v>1055</v>
      </c>
      <c r="G173" s="57" t="s">
        <v>1281</v>
      </c>
      <c r="H173" s="58">
        <v>25000</v>
      </c>
      <c r="I173" s="58">
        <f t="shared" si="28"/>
        <v>14000</v>
      </c>
      <c r="J173" s="58">
        <f t="shared" si="29"/>
        <v>593.93939393939399</v>
      </c>
      <c r="K173" s="58">
        <v>1500</v>
      </c>
      <c r="L173" s="59">
        <f t="shared" si="30"/>
        <v>1250</v>
      </c>
      <c r="M173" s="58">
        <f t="shared" si="31"/>
        <v>1087.5</v>
      </c>
      <c r="N173" s="58">
        <f t="shared" si="32"/>
        <v>942.5</v>
      </c>
      <c r="O173" s="58">
        <f t="shared" si="33"/>
        <v>650</v>
      </c>
      <c r="P173" s="58">
        <f t="shared" si="34"/>
        <v>983.33333333333337</v>
      </c>
      <c r="Q173" s="60">
        <f t="shared" si="35"/>
        <v>2.1071428571428572</v>
      </c>
      <c r="R173" s="58">
        <f t="shared" si="36"/>
        <v>1745.8333333333335</v>
      </c>
      <c r="S173" s="58">
        <f t="shared" si="37"/>
        <v>1450.8333333333335</v>
      </c>
      <c r="T173" s="58">
        <f t="shared" si="38"/>
        <v>283.33333333333337</v>
      </c>
      <c r="U173" s="60">
        <f t="shared" si="39"/>
        <v>3.7410714285714293</v>
      </c>
      <c r="V173" s="60">
        <f t="shared" si="40"/>
        <v>3.1089285714285722</v>
      </c>
      <c r="W173" s="60">
        <f t="shared" si="41"/>
        <v>0.60714285714285732</v>
      </c>
      <c r="X173" s="61" t="s">
        <v>167</v>
      </c>
      <c r="Y173" s="1"/>
      <c r="Z173" s="1"/>
    </row>
    <row r="174" spans="1:26" ht="15.75" customHeight="1">
      <c r="A174" s="54"/>
      <c r="B174" s="162"/>
      <c r="C174" s="33"/>
      <c r="D174" s="55" t="s">
        <v>356</v>
      </c>
      <c r="E174" s="55" t="s">
        <v>1282</v>
      </c>
      <c r="F174" s="56" t="s">
        <v>1055</v>
      </c>
      <c r="G174" s="57" t="s">
        <v>1283</v>
      </c>
      <c r="H174" s="58">
        <v>28000</v>
      </c>
      <c r="I174" s="58">
        <f t="shared" si="28"/>
        <v>17500</v>
      </c>
      <c r="J174" s="58">
        <f t="shared" si="29"/>
        <v>424.24242424242425</v>
      </c>
      <c r="K174" s="58">
        <v>1500</v>
      </c>
      <c r="L174" s="59">
        <f t="shared" si="30"/>
        <v>1450</v>
      </c>
      <c r="M174" s="58">
        <f t="shared" si="31"/>
        <v>937.5</v>
      </c>
      <c r="N174" s="58">
        <f t="shared" si="32"/>
        <v>812.5</v>
      </c>
      <c r="O174" s="58">
        <f t="shared" si="33"/>
        <v>750</v>
      </c>
      <c r="P174" s="58">
        <f t="shared" si="34"/>
        <v>656.06060606060601</v>
      </c>
      <c r="Q174" s="60">
        <f t="shared" si="35"/>
        <v>1.1045918367346936</v>
      </c>
      <c r="R174" s="58">
        <f t="shared" si="36"/>
        <v>493.56060606060601</v>
      </c>
      <c r="S174" s="58">
        <f t="shared" si="37"/>
        <v>348.56060606060601</v>
      </c>
      <c r="T174" s="58">
        <f t="shared" si="38"/>
        <v>56.060606060606005</v>
      </c>
      <c r="U174" s="60">
        <f t="shared" si="39"/>
        <v>0.83099489795918347</v>
      </c>
      <c r="V174" s="60">
        <f t="shared" si="40"/>
        <v>0.58686224489795902</v>
      </c>
      <c r="W174" s="60">
        <f t="shared" si="41"/>
        <v>9.4387755102040713E-2</v>
      </c>
      <c r="X174" s="61" t="s">
        <v>167</v>
      </c>
      <c r="Y174" s="1"/>
      <c r="Z174" s="1"/>
    </row>
    <row r="175" spans="1:26" ht="15.75" customHeight="1">
      <c r="A175" s="54"/>
      <c r="B175" s="162"/>
      <c r="C175" s="33"/>
      <c r="D175" s="55" t="s">
        <v>356</v>
      </c>
      <c r="E175" s="55" t="s">
        <v>1284</v>
      </c>
      <c r="F175" s="56"/>
      <c r="G175" s="74" t="s">
        <v>1285</v>
      </c>
      <c r="H175" s="58">
        <v>12000</v>
      </c>
      <c r="I175" s="58">
        <f t="shared" si="28"/>
        <v>19600</v>
      </c>
      <c r="J175" s="58">
        <f t="shared" si="29"/>
        <v>530.30303030303025</v>
      </c>
      <c r="K175" s="58">
        <v>800</v>
      </c>
      <c r="L175" s="59">
        <f t="shared" si="30"/>
        <v>1450</v>
      </c>
      <c r="M175" s="58">
        <f t="shared" si="31"/>
        <v>1087.5</v>
      </c>
      <c r="N175" s="58">
        <f t="shared" si="32"/>
        <v>942.5</v>
      </c>
      <c r="O175" s="58">
        <f t="shared" si="33"/>
        <v>750</v>
      </c>
      <c r="P175" s="58">
        <f t="shared" si="34"/>
        <v>1025.7575757575758</v>
      </c>
      <c r="Q175" s="60">
        <f t="shared" si="35"/>
        <v>2.4178571428571427</v>
      </c>
      <c r="R175" s="58">
        <f t="shared" si="36"/>
        <v>513.25757575757575</v>
      </c>
      <c r="S175" s="58">
        <f t="shared" si="37"/>
        <v>388.25757575757575</v>
      </c>
      <c r="T175" s="58">
        <f t="shared" si="38"/>
        <v>325.75757575757575</v>
      </c>
      <c r="U175" s="60">
        <f t="shared" si="39"/>
        <v>1.2098214285714286</v>
      </c>
      <c r="V175" s="60">
        <f t="shared" si="40"/>
        <v>0.9151785714285714</v>
      </c>
      <c r="W175" s="60">
        <f t="shared" si="41"/>
        <v>0.76785714285714279</v>
      </c>
      <c r="X175" s="61"/>
      <c r="Y175" s="1"/>
      <c r="Z175" s="1"/>
    </row>
    <row r="176" spans="1:26" ht="15.75" customHeight="1">
      <c r="A176" s="54"/>
      <c r="B176" s="162"/>
      <c r="C176" s="33"/>
      <c r="D176" s="55" t="s">
        <v>356</v>
      </c>
      <c r="E176" s="55" t="s">
        <v>361</v>
      </c>
      <c r="F176" s="56" t="s">
        <v>1055</v>
      </c>
      <c r="G176" s="57" t="s">
        <v>1286</v>
      </c>
      <c r="H176" s="58">
        <v>25000</v>
      </c>
      <c r="I176" s="58">
        <f t="shared" si="28"/>
        <v>8400</v>
      </c>
      <c r="J176" s="58">
        <f t="shared" si="29"/>
        <v>593.93939393939399</v>
      </c>
      <c r="K176" s="58">
        <v>1500</v>
      </c>
      <c r="L176" s="59">
        <f t="shared" si="30"/>
        <v>750</v>
      </c>
      <c r="M176" s="58">
        <f t="shared" si="31"/>
        <v>1087.5</v>
      </c>
      <c r="N176" s="58">
        <f t="shared" si="32"/>
        <v>942.5</v>
      </c>
      <c r="O176" s="58">
        <f t="shared" si="33"/>
        <v>400</v>
      </c>
      <c r="P176" s="58">
        <f t="shared" si="34"/>
        <v>919.69696969696975</v>
      </c>
      <c r="Q176" s="60">
        <f t="shared" si="35"/>
        <v>1.7342857142857144</v>
      </c>
      <c r="R176" s="58">
        <f t="shared" si="36"/>
        <v>557.19696969696975</v>
      </c>
      <c r="S176" s="58">
        <f t="shared" si="37"/>
        <v>412.19696969696975</v>
      </c>
      <c r="T176" s="58">
        <f t="shared" si="38"/>
        <v>219.69696969696975</v>
      </c>
      <c r="U176" s="60">
        <f t="shared" si="39"/>
        <v>1.0507142857142859</v>
      </c>
      <c r="V176" s="60">
        <f t="shared" si="40"/>
        <v>0.77728571428571447</v>
      </c>
      <c r="W176" s="60">
        <f t="shared" si="41"/>
        <v>0.41428571428571442</v>
      </c>
      <c r="X176" s="61"/>
      <c r="Y176" s="1"/>
      <c r="Z176" s="1"/>
    </row>
    <row r="177" spans="1:26" ht="15.75" customHeight="1">
      <c r="A177" s="54"/>
      <c r="B177" s="161"/>
      <c r="C177" s="33"/>
      <c r="D177" s="55" t="s">
        <v>356</v>
      </c>
      <c r="E177" s="55" t="s">
        <v>1287</v>
      </c>
      <c r="F177" s="56" t="s">
        <v>1055</v>
      </c>
      <c r="G177" s="57" t="s">
        <v>1288</v>
      </c>
      <c r="H177" s="58">
        <v>28000</v>
      </c>
      <c r="I177" s="58">
        <f t="shared" si="28"/>
        <v>17500</v>
      </c>
      <c r="J177" s="58">
        <f t="shared" si="29"/>
        <v>254.54545454545453</v>
      </c>
      <c r="K177" s="58">
        <v>1500</v>
      </c>
      <c r="L177" s="59">
        <f t="shared" si="30"/>
        <v>1450</v>
      </c>
      <c r="M177" s="58">
        <f t="shared" si="31"/>
        <v>562.5</v>
      </c>
      <c r="N177" s="58">
        <f t="shared" si="32"/>
        <v>487.5</v>
      </c>
      <c r="O177" s="58">
        <f t="shared" si="33"/>
        <v>750</v>
      </c>
      <c r="P177" s="58">
        <f t="shared" si="34"/>
        <v>156.06060606060601</v>
      </c>
      <c r="Q177" s="60">
        <f t="shared" si="35"/>
        <v>0.2627551020408162</v>
      </c>
      <c r="R177" s="58">
        <f t="shared" si="36"/>
        <v>493.56060606060601</v>
      </c>
      <c r="S177" s="58">
        <f t="shared" si="37"/>
        <v>348.56060606060601</v>
      </c>
      <c r="T177" s="58">
        <f t="shared" si="38"/>
        <v>-193.93939393939399</v>
      </c>
      <c r="U177" s="60">
        <f t="shared" si="39"/>
        <v>0.83099489795918347</v>
      </c>
      <c r="V177" s="60">
        <f t="shared" si="40"/>
        <v>0.58686224489795902</v>
      </c>
      <c r="W177" s="60">
        <f t="shared" si="41"/>
        <v>-0.32653061224489804</v>
      </c>
      <c r="X177" s="61"/>
      <c r="Y177" s="1"/>
      <c r="Z177" s="1"/>
    </row>
    <row r="178" spans="1:26" ht="15.75" customHeight="1">
      <c r="A178" s="54"/>
      <c r="B178" s="125"/>
      <c r="C178" s="69"/>
      <c r="D178" s="55" t="s">
        <v>341</v>
      </c>
      <c r="E178" s="55" t="s">
        <v>68</v>
      </c>
      <c r="F178" s="56" t="s">
        <v>1055</v>
      </c>
      <c r="G178" s="57" t="s">
        <v>1289</v>
      </c>
      <c r="H178" s="58">
        <v>22000</v>
      </c>
      <c r="I178" s="58">
        <f t="shared" si="28"/>
        <v>19600</v>
      </c>
      <c r="J178" s="58">
        <f t="shared" si="29"/>
        <v>530.30303030303025</v>
      </c>
      <c r="K178" s="58">
        <v>1500</v>
      </c>
      <c r="L178" s="59">
        <f t="shared" si="30"/>
        <v>1450</v>
      </c>
      <c r="M178" s="58">
        <f t="shared" si="31"/>
        <v>1087.5</v>
      </c>
      <c r="N178" s="58">
        <f t="shared" si="32"/>
        <v>942.5</v>
      </c>
      <c r="O178" s="58">
        <f t="shared" si="33"/>
        <v>750</v>
      </c>
      <c r="P178" s="58">
        <f t="shared" si="34"/>
        <v>1195.4545454545455</v>
      </c>
      <c r="Q178" s="60">
        <f t="shared" si="35"/>
        <v>4.6964285714285721</v>
      </c>
      <c r="R178" s="58">
        <f t="shared" si="36"/>
        <v>307.9545454545455</v>
      </c>
      <c r="S178" s="58">
        <f t="shared" si="37"/>
        <v>232.95454545454547</v>
      </c>
      <c r="T178" s="58">
        <f t="shared" si="38"/>
        <v>495.4545454545455</v>
      </c>
      <c r="U178" s="60">
        <f t="shared" si="39"/>
        <v>1.2098214285714288</v>
      </c>
      <c r="V178" s="60">
        <f t="shared" si="40"/>
        <v>0.91517857142857151</v>
      </c>
      <c r="W178" s="60">
        <f t="shared" si="41"/>
        <v>1.9464285714285716</v>
      </c>
      <c r="X178" s="61"/>
      <c r="Y178" s="1"/>
      <c r="Z178" s="1"/>
    </row>
    <row r="179" spans="1:26" ht="15.75" customHeight="1">
      <c r="A179" s="54"/>
      <c r="B179" s="160" t="s">
        <v>1290</v>
      </c>
      <c r="C179" s="33"/>
      <c r="D179" s="76"/>
      <c r="E179" s="76" t="s">
        <v>68</v>
      </c>
      <c r="F179" s="77" t="s">
        <v>1121</v>
      </c>
      <c r="G179" s="77" t="s">
        <v>1291</v>
      </c>
      <c r="H179" s="78">
        <v>38000</v>
      </c>
      <c r="I179" s="78">
        <f t="shared" si="28"/>
        <v>15399.999999999998</v>
      </c>
      <c r="J179" s="78">
        <f t="shared" si="29"/>
        <v>593.93939393939399</v>
      </c>
      <c r="K179" s="78"/>
      <c r="L179" s="79">
        <f t="shared" si="30"/>
        <v>1450</v>
      </c>
      <c r="M179" s="58">
        <f t="shared" si="31"/>
        <v>1087.5</v>
      </c>
      <c r="N179" s="58">
        <f t="shared" si="32"/>
        <v>942.5</v>
      </c>
      <c r="O179" s="58">
        <f t="shared" si="33"/>
        <v>750</v>
      </c>
      <c r="P179" s="78">
        <f t="shared" si="34"/>
        <v>919.69696969696975</v>
      </c>
      <c r="Q179" s="80">
        <f t="shared" si="35"/>
        <v>1.7342857142857144</v>
      </c>
      <c r="R179" s="58">
        <f t="shared" si="36"/>
        <v>557.19696969696975</v>
      </c>
      <c r="S179" s="58">
        <f t="shared" si="37"/>
        <v>412.19696969696975</v>
      </c>
      <c r="T179" s="58">
        <f t="shared" si="38"/>
        <v>219.69696969696975</v>
      </c>
      <c r="U179" s="60">
        <f t="shared" si="39"/>
        <v>1.0507142857142859</v>
      </c>
      <c r="V179" s="60">
        <f t="shared" si="40"/>
        <v>0.77728571428571447</v>
      </c>
      <c r="W179" s="60">
        <f t="shared" si="41"/>
        <v>0.41428571428571442</v>
      </c>
      <c r="X179" s="61"/>
      <c r="Y179" s="1"/>
      <c r="Z179" s="1"/>
    </row>
    <row r="180" spans="1:26" ht="15.75" customHeight="1">
      <c r="A180" s="54"/>
      <c r="B180" s="162"/>
      <c r="C180" s="43"/>
      <c r="D180" s="55" t="s">
        <v>1293</v>
      </c>
      <c r="E180" s="55" t="s">
        <v>607</v>
      </c>
      <c r="F180" s="56" t="s">
        <v>1121</v>
      </c>
      <c r="G180" s="57" t="s">
        <v>1294</v>
      </c>
      <c r="H180" s="58">
        <v>25000</v>
      </c>
      <c r="I180" s="58">
        <f t="shared" si="28"/>
        <v>26600</v>
      </c>
      <c r="J180" s="58">
        <f t="shared" si="29"/>
        <v>466.66666666666663</v>
      </c>
      <c r="K180" s="58">
        <v>1700</v>
      </c>
      <c r="L180" s="59">
        <f t="shared" si="30"/>
        <v>-50</v>
      </c>
      <c r="M180" s="58">
        <f t="shared" si="31"/>
        <v>1087.5</v>
      </c>
      <c r="N180" s="58">
        <f t="shared" si="32"/>
        <v>942.5</v>
      </c>
      <c r="O180" s="58">
        <f t="shared" si="33"/>
        <v>0</v>
      </c>
      <c r="P180" s="58">
        <f t="shared" si="34"/>
        <v>856.06060606060601</v>
      </c>
      <c r="Q180" s="60">
        <f t="shared" si="35"/>
        <v>1.4413265306122447</v>
      </c>
      <c r="R180" s="58">
        <f t="shared" si="36"/>
        <v>493.56060606060601</v>
      </c>
      <c r="S180" s="58">
        <f t="shared" si="37"/>
        <v>348.56060606060601</v>
      </c>
      <c r="T180" s="58">
        <f t="shared" si="38"/>
        <v>156.06060606060601</v>
      </c>
      <c r="U180" s="60">
        <f t="shared" si="39"/>
        <v>0.83099489795918347</v>
      </c>
      <c r="V180" s="60">
        <f t="shared" si="40"/>
        <v>0.58686224489795902</v>
      </c>
      <c r="W180" s="60">
        <f t="shared" si="41"/>
        <v>0.2627551020408162</v>
      </c>
      <c r="X180" s="61"/>
      <c r="Y180" s="1"/>
      <c r="Z180" s="1"/>
    </row>
    <row r="181" spans="1:26" ht="15.75" customHeight="1">
      <c r="A181" s="54"/>
      <c r="B181" s="162"/>
      <c r="C181" s="33"/>
      <c r="D181" s="55" t="s">
        <v>1293</v>
      </c>
      <c r="E181" s="55" t="s">
        <v>68</v>
      </c>
      <c r="F181" s="56" t="s">
        <v>1121</v>
      </c>
      <c r="G181" s="57" t="s">
        <v>1295</v>
      </c>
      <c r="H181" s="58">
        <v>35000</v>
      </c>
      <c r="I181" s="58">
        <f t="shared" si="28"/>
        <v>17500</v>
      </c>
      <c r="J181" s="58">
        <f t="shared" si="29"/>
        <v>806.06060606060601</v>
      </c>
      <c r="K181" s="58">
        <v>2100</v>
      </c>
      <c r="L181" s="59">
        <f t="shared" si="30"/>
        <v>1650</v>
      </c>
      <c r="M181" s="58">
        <f t="shared" si="31"/>
        <v>-37.5</v>
      </c>
      <c r="N181" s="58">
        <f t="shared" si="32"/>
        <v>-32.5</v>
      </c>
      <c r="O181" s="58">
        <f t="shared" si="33"/>
        <v>850</v>
      </c>
      <c r="P181" s="58">
        <f t="shared" si="34"/>
        <v>-516.66666666666663</v>
      </c>
      <c r="Q181" s="60">
        <f t="shared" si="35"/>
        <v>-1.1071428571428572</v>
      </c>
      <c r="R181" s="58">
        <f t="shared" si="36"/>
        <v>620.83333333333337</v>
      </c>
      <c r="S181" s="58">
        <f t="shared" si="37"/>
        <v>475.83333333333337</v>
      </c>
      <c r="T181" s="58">
        <f t="shared" si="38"/>
        <v>-466.66666666666663</v>
      </c>
      <c r="U181" s="60">
        <f t="shared" si="39"/>
        <v>1.330357142857143</v>
      </c>
      <c r="V181" s="60">
        <f t="shared" si="40"/>
        <v>1.0196428571428573</v>
      </c>
      <c r="W181" s="60">
        <f t="shared" si="41"/>
        <v>-1</v>
      </c>
      <c r="X181" s="61"/>
      <c r="Y181" s="1"/>
      <c r="Z181" s="1"/>
    </row>
    <row r="182" spans="1:26" ht="15.75" customHeight="1">
      <c r="A182" s="54"/>
      <c r="B182" s="161"/>
      <c r="C182" s="33"/>
      <c r="D182" s="55" t="s">
        <v>1296</v>
      </c>
      <c r="E182" s="55" t="s">
        <v>607</v>
      </c>
      <c r="F182" s="56" t="s">
        <v>1121</v>
      </c>
      <c r="G182" s="57" t="s">
        <v>1297</v>
      </c>
      <c r="H182" s="58">
        <v>25000</v>
      </c>
      <c r="I182" s="58">
        <f t="shared" si="28"/>
        <v>24500</v>
      </c>
      <c r="J182" s="58">
        <f t="shared" si="29"/>
        <v>530.30303030303025</v>
      </c>
      <c r="K182" s="58">
        <v>2400</v>
      </c>
      <c r="L182" s="59">
        <f t="shared" si="30"/>
        <v>2050</v>
      </c>
      <c r="M182" s="58">
        <f t="shared" si="31"/>
        <v>1237.5</v>
      </c>
      <c r="N182" s="58">
        <f t="shared" si="32"/>
        <v>1072.5</v>
      </c>
      <c r="O182" s="58">
        <f t="shared" si="33"/>
        <v>1050</v>
      </c>
      <c r="P182" s="58">
        <f t="shared" si="34"/>
        <v>843.93939393939399</v>
      </c>
      <c r="Q182" s="60">
        <f t="shared" si="35"/>
        <v>1.0469924812030076</v>
      </c>
      <c r="R182" s="58">
        <f t="shared" si="36"/>
        <v>-843.56060606060601</v>
      </c>
      <c r="S182" s="58">
        <f t="shared" si="37"/>
        <v>-838.56060606060601</v>
      </c>
      <c r="T182" s="58">
        <f t="shared" si="38"/>
        <v>43.939393939393995</v>
      </c>
      <c r="U182" s="60">
        <f t="shared" si="39"/>
        <v>-1.0465225563909775</v>
      </c>
      <c r="V182" s="60">
        <f t="shared" si="40"/>
        <v>-1.0403195488721804</v>
      </c>
      <c r="W182" s="60">
        <f t="shared" si="41"/>
        <v>5.4511278195488795E-2</v>
      </c>
      <c r="X182" s="61"/>
      <c r="Y182" s="1"/>
      <c r="Z182" s="1"/>
    </row>
    <row r="183" spans="1:26" ht="15.75" customHeight="1">
      <c r="A183" s="54"/>
      <c r="B183" s="161"/>
      <c r="C183" s="33"/>
      <c r="D183" s="55" t="s">
        <v>1296</v>
      </c>
      <c r="E183" s="55" t="s">
        <v>68</v>
      </c>
      <c r="F183" s="56" t="s">
        <v>1121</v>
      </c>
      <c r="G183" s="57" t="s">
        <v>1298</v>
      </c>
      <c r="H183" s="58">
        <v>35000</v>
      </c>
      <c r="I183" s="58">
        <f t="shared" si="28"/>
        <v>17500</v>
      </c>
      <c r="J183" s="58">
        <f t="shared" si="29"/>
        <v>742.42424242424238</v>
      </c>
      <c r="K183" s="58">
        <v>2600</v>
      </c>
      <c r="L183" s="59">
        <f t="shared" si="30"/>
        <v>2350</v>
      </c>
      <c r="M183" s="58">
        <f t="shared" si="31"/>
        <v>1537.5</v>
      </c>
      <c r="N183" s="58">
        <f t="shared" si="32"/>
        <v>1332.5</v>
      </c>
      <c r="O183" s="58">
        <f t="shared" si="33"/>
        <v>1200</v>
      </c>
      <c r="P183" s="58">
        <f t="shared" si="34"/>
        <v>1519.6969696969697</v>
      </c>
      <c r="Q183" s="60">
        <f t="shared" si="35"/>
        <v>2.8657142857142861</v>
      </c>
      <c r="R183" s="58">
        <f t="shared" si="36"/>
        <v>707.19696969696975</v>
      </c>
      <c r="S183" s="58">
        <f t="shared" si="37"/>
        <v>542.19696969696975</v>
      </c>
      <c r="T183" s="58">
        <f t="shared" si="38"/>
        <v>519.69696969696975</v>
      </c>
      <c r="U183" s="60">
        <f t="shared" si="39"/>
        <v>1.3335714285714289</v>
      </c>
      <c r="V183" s="60">
        <f t="shared" si="40"/>
        <v>1.0224285714285717</v>
      </c>
      <c r="W183" s="60">
        <f t="shared" si="41"/>
        <v>0.9800000000000002</v>
      </c>
      <c r="X183" s="61"/>
      <c r="Y183" s="1"/>
      <c r="Z183" s="1"/>
    </row>
    <row r="184" spans="1:26" ht="15.75" customHeight="1">
      <c r="A184" s="54"/>
      <c r="B184" s="162"/>
      <c r="C184" s="43"/>
      <c r="D184" s="55" t="s">
        <v>148</v>
      </c>
      <c r="E184" s="55" t="s">
        <v>607</v>
      </c>
      <c r="F184" s="56" t="s">
        <v>1121</v>
      </c>
      <c r="G184" s="57" t="s">
        <v>1299</v>
      </c>
      <c r="H184" s="58">
        <v>20000</v>
      </c>
      <c r="I184" s="58">
        <f t="shared" si="28"/>
        <v>24500</v>
      </c>
      <c r="J184" s="58">
        <f t="shared" si="29"/>
        <v>530.30303030303025</v>
      </c>
      <c r="K184" s="58">
        <v>1550</v>
      </c>
      <c r="L184" s="59">
        <f t="shared" si="30"/>
        <v>2550</v>
      </c>
      <c r="M184" s="58">
        <f t="shared" si="31"/>
        <v>1762.5</v>
      </c>
      <c r="N184" s="58">
        <f t="shared" si="32"/>
        <v>1527.5</v>
      </c>
      <c r="O184" s="58">
        <f t="shared" si="33"/>
        <v>1300</v>
      </c>
      <c r="P184" s="58">
        <f t="shared" si="34"/>
        <v>1607.5757575757575</v>
      </c>
      <c r="Q184" s="60">
        <f t="shared" si="35"/>
        <v>2.1653061224489796</v>
      </c>
      <c r="R184" s="58">
        <f t="shared" si="36"/>
        <v>795.07575757575762</v>
      </c>
      <c r="S184" s="58">
        <f t="shared" si="37"/>
        <v>590.07575757575762</v>
      </c>
      <c r="T184" s="58">
        <f t="shared" si="38"/>
        <v>457.57575757575762</v>
      </c>
      <c r="U184" s="60">
        <f t="shared" si="39"/>
        <v>1.0709183673469389</v>
      </c>
      <c r="V184" s="60">
        <f t="shared" si="40"/>
        <v>0.79479591836734709</v>
      </c>
      <c r="W184" s="60">
        <f t="shared" si="41"/>
        <v>0.61632653061224496</v>
      </c>
      <c r="X184" s="61" t="s">
        <v>175</v>
      </c>
      <c r="Y184" s="1"/>
      <c r="Z184" s="1"/>
    </row>
    <row r="185" spans="1:26" ht="15.75" customHeight="1">
      <c r="A185" s="54"/>
      <c r="B185" s="162"/>
      <c r="C185" s="33"/>
      <c r="D185" s="55" t="s">
        <v>148</v>
      </c>
      <c r="E185" s="55" t="s">
        <v>1300</v>
      </c>
      <c r="F185" s="56" t="s">
        <v>1121</v>
      </c>
      <c r="G185" s="57" t="s">
        <v>1301</v>
      </c>
      <c r="H185" s="58">
        <v>25000</v>
      </c>
      <c r="I185" s="58">
        <f t="shared" si="28"/>
        <v>14000</v>
      </c>
      <c r="J185" s="58">
        <f t="shared" si="29"/>
        <v>742.42424242424238</v>
      </c>
      <c r="K185" s="58">
        <v>2500</v>
      </c>
      <c r="L185" s="59">
        <f t="shared" si="30"/>
        <v>1500</v>
      </c>
      <c r="M185" s="58">
        <f t="shared" si="31"/>
        <v>1912.5</v>
      </c>
      <c r="N185" s="58">
        <f t="shared" si="32"/>
        <v>1657.5</v>
      </c>
      <c r="O185" s="58">
        <f t="shared" si="33"/>
        <v>775</v>
      </c>
      <c r="P185" s="58">
        <f t="shared" si="34"/>
        <v>2019.6969696969697</v>
      </c>
      <c r="Q185" s="60">
        <f t="shared" si="35"/>
        <v>3.8085714285714292</v>
      </c>
      <c r="R185" s="58">
        <f t="shared" si="36"/>
        <v>1232.1969696969697</v>
      </c>
      <c r="S185" s="58">
        <f t="shared" si="37"/>
        <v>997.19696969696975</v>
      </c>
      <c r="T185" s="58">
        <f t="shared" si="38"/>
        <v>769.69696969696975</v>
      </c>
      <c r="U185" s="60">
        <f t="shared" si="39"/>
        <v>2.3235714285714288</v>
      </c>
      <c r="V185" s="60">
        <f t="shared" si="40"/>
        <v>1.8804285714285718</v>
      </c>
      <c r="W185" s="60">
        <f t="shared" si="41"/>
        <v>1.4514285714285717</v>
      </c>
      <c r="X185" s="61" t="s">
        <v>175</v>
      </c>
      <c r="Y185" s="1"/>
      <c r="Z185" s="1"/>
    </row>
    <row r="186" spans="1:26" ht="15.75" customHeight="1">
      <c r="A186" s="54"/>
      <c r="B186" s="162"/>
      <c r="C186" s="33"/>
      <c r="D186" s="55" t="s">
        <v>148</v>
      </c>
      <c r="E186" s="55" t="s">
        <v>68</v>
      </c>
      <c r="F186" s="56" t="s">
        <v>1121</v>
      </c>
      <c r="G186" s="57" t="s">
        <v>1302</v>
      </c>
      <c r="H186" s="58">
        <v>25000</v>
      </c>
      <c r="I186" s="58">
        <f t="shared" si="28"/>
        <v>17500</v>
      </c>
      <c r="J186" s="58">
        <f t="shared" si="29"/>
        <v>424.24242424242425</v>
      </c>
      <c r="K186" s="58">
        <v>2500</v>
      </c>
      <c r="L186" s="59">
        <f t="shared" si="30"/>
        <v>2450</v>
      </c>
      <c r="M186" s="58">
        <f t="shared" si="31"/>
        <v>1125</v>
      </c>
      <c r="N186" s="58">
        <f t="shared" si="32"/>
        <v>975</v>
      </c>
      <c r="O186" s="58">
        <f t="shared" si="33"/>
        <v>1250</v>
      </c>
      <c r="P186" s="58">
        <f t="shared" si="34"/>
        <v>757.57575757575762</v>
      </c>
      <c r="Q186" s="60">
        <f t="shared" si="35"/>
        <v>1.0204081632653061</v>
      </c>
      <c r="R186" s="58">
        <f t="shared" si="36"/>
        <v>1170.0757575757575</v>
      </c>
      <c r="S186" s="58">
        <f t="shared" si="37"/>
        <v>915.07575757575762</v>
      </c>
      <c r="T186" s="58">
        <f t="shared" si="38"/>
        <v>32.575757575757621</v>
      </c>
      <c r="U186" s="60">
        <f t="shared" si="39"/>
        <v>1.5760204081632654</v>
      </c>
      <c r="V186" s="60">
        <f t="shared" si="40"/>
        <v>1.2325510204081633</v>
      </c>
      <c r="W186" s="60">
        <f t="shared" si="41"/>
        <v>4.3877551020408224E-2</v>
      </c>
      <c r="X186" s="61"/>
      <c r="Y186" s="1"/>
      <c r="Z186" s="1"/>
    </row>
    <row r="187" spans="1:26" ht="15.75" customHeight="1">
      <c r="A187" s="54"/>
      <c r="B187" s="162"/>
      <c r="C187" s="33"/>
      <c r="D187" s="55" t="s">
        <v>1303</v>
      </c>
      <c r="E187" s="70" t="s">
        <v>1304</v>
      </c>
      <c r="F187" s="56" t="s">
        <v>1305</v>
      </c>
      <c r="G187" s="57" t="s">
        <v>1306</v>
      </c>
      <c r="H187" s="58">
        <v>55000</v>
      </c>
      <c r="I187" s="58">
        <f t="shared" si="28"/>
        <v>17500</v>
      </c>
      <c r="J187" s="58">
        <f t="shared" si="29"/>
        <v>530.30303030303025</v>
      </c>
      <c r="K187" s="58">
        <v>4800</v>
      </c>
      <c r="L187" s="59">
        <f t="shared" si="30"/>
        <v>2450</v>
      </c>
      <c r="M187" s="58">
        <f t="shared" si="31"/>
        <v>1837.5</v>
      </c>
      <c r="N187" s="58">
        <f t="shared" si="32"/>
        <v>1592.5</v>
      </c>
      <c r="O187" s="58">
        <f t="shared" si="33"/>
        <v>1250</v>
      </c>
      <c r="P187" s="58">
        <f t="shared" si="34"/>
        <v>2025.7575757575758</v>
      </c>
      <c r="Q187" s="60">
        <f t="shared" si="35"/>
        <v>4.7749999999999995</v>
      </c>
      <c r="R187" s="58">
        <f t="shared" si="36"/>
        <v>700.75757575757575</v>
      </c>
      <c r="S187" s="58">
        <f t="shared" si="37"/>
        <v>550.75757575757575</v>
      </c>
      <c r="T187" s="58">
        <f t="shared" si="38"/>
        <v>825.75757575757575</v>
      </c>
      <c r="U187" s="60">
        <f t="shared" si="39"/>
        <v>1.6517857142857142</v>
      </c>
      <c r="V187" s="60">
        <f t="shared" si="40"/>
        <v>1.2982142857142858</v>
      </c>
      <c r="W187" s="60">
        <f t="shared" si="41"/>
        <v>1.9464285714285714</v>
      </c>
      <c r="X187" s="61"/>
      <c r="Y187" s="1"/>
      <c r="Z187" s="1"/>
    </row>
    <row r="188" spans="1:26" ht="15.75" customHeight="1">
      <c r="A188" s="54"/>
      <c r="B188" s="162"/>
      <c r="C188" s="33"/>
      <c r="D188" s="55" t="s">
        <v>1303</v>
      </c>
      <c r="E188" s="70" t="s">
        <v>856</v>
      </c>
      <c r="F188" s="56" t="s">
        <v>1305</v>
      </c>
      <c r="G188" s="57" t="s">
        <v>1307</v>
      </c>
      <c r="H188" s="58">
        <v>55000</v>
      </c>
      <c r="I188" s="58">
        <f t="shared" si="28"/>
        <v>38500</v>
      </c>
      <c r="J188" s="58">
        <f t="shared" si="29"/>
        <v>530.30303030303025</v>
      </c>
      <c r="K188" s="58">
        <v>4800</v>
      </c>
      <c r="L188" s="59">
        <f t="shared" si="30"/>
        <v>4750</v>
      </c>
      <c r="M188" s="58">
        <f t="shared" si="31"/>
        <v>1837.5</v>
      </c>
      <c r="N188" s="58">
        <f t="shared" si="32"/>
        <v>1592.5</v>
      </c>
      <c r="O188" s="58">
        <f t="shared" si="33"/>
        <v>2400</v>
      </c>
      <c r="P188" s="58">
        <f t="shared" si="34"/>
        <v>1919.6969696969697</v>
      </c>
      <c r="Q188" s="60">
        <f t="shared" si="35"/>
        <v>3.6200000000000006</v>
      </c>
      <c r="R188" s="58">
        <f t="shared" si="36"/>
        <v>1307.1969696969697</v>
      </c>
      <c r="S188" s="58">
        <f t="shared" si="37"/>
        <v>1062.1969696969697</v>
      </c>
      <c r="T188" s="58">
        <f t="shared" si="38"/>
        <v>719.69696969696975</v>
      </c>
      <c r="U188" s="60">
        <f t="shared" si="39"/>
        <v>2.4650000000000003</v>
      </c>
      <c r="V188" s="60">
        <f t="shared" si="40"/>
        <v>2.0030000000000001</v>
      </c>
      <c r="W188" s="60">
        <f t="shared" si="41"/>
        <v>1.3571428571428574</v>
      </c>
      <c r="X188" s="61"/>
      <c r="Y188" s="1"/>
      <c r="Z188" s="1"/>
    </row>
    <row r="189" spans="1:26" ht="15.75" customHeight="1">
      <c r="A189" s="54"/>
      <c r="B189" s="162"/>
      <c r="C189" s="33"/>
      <c r="D189" s="55" t="s">
        <v>1308</v>
      </c>
      <c r="E189" s="55" t="s">
        <v>607</v>
      </c>
      <c r="F189" s="56" t="s">
        <v>1055</v>
      </c>
      <c r="G189" s="57" t="s">
        <v>1309</v>
      </c>
      <c r="H189" s="58">
        <v>20000</v>
      </c>
      <c r="I189" s="58">
        <f t="shared" si="28"/>
        <v>38500</v>
      </c>
      <c r="J189" s="58">
        <f t="shared" si="29"/>
        <v>1166.6666666666667</v>
      </c>
      <c r="K189" s="58">
        <v>1600</v>
      </c>
      <c r="L189" s="59">
        <f t="shared" si="30"/>
        <v>4750</v>
      </c>
      <c r="M189" s="58">
        <f t="shared" si="31"/>
        <v>3562.5</v>
      </c>
      <c r="N189" s="58">
        <f t="shared" si="32"/>
        <v>3087.5</v>
      </c>
      <c r="O189" s="58">
        <f t="shared" si="33"/>
        <v>2400</v>
      </c>
      <c r="P189" s="58">
        <f t="shared" si="34"/>
        <v>4219.69696969697</v>
      </c>
      <c r="Q189" s="60">
        <f t="shared" si="35"/>
        <v>7.9571428571428582</v>
      </c>
      <c r="R189" s="58">
        <f t="shared" si="36"/>
        <v>1307.1969696969697</v>
      </c>
      <c r="S189" s="58">
        <f t="shared" si="37"/>
        <v>1062.1969696969697</v>
      </c>
      <c r="T189" s="58">
        <f t="shared" si="38"/>
        <v>1869.6969696969697</v>
      </c>
      <c r="U189" s="60">
        <f t="shared" si="39"/>
        <v>2.4650000000000003</v>
      </c>
      <c r="V189" s="60">
        <f t="shared" si="40"/>
        <v>2.0030000000000001</v>
      </c>
      <c r="W189" s="60">
        <f t="shared" si="41"/>
        <v>3.5257142857142862</v>
      </c>
      <c r="X189" s="61"/>
      <c r="Y189" s="1"/>
      <c r="Z189" s="1"/>
    </row>
    <row r="190" spans="1:26" ht="15.75" customHeight="1">
      <c r="A190" s="54"/>
      <c r="B190" s="162"/>
      <c r="C190" s="33"/>
      <c r="D190" s="55" t="s">
        <v>1308</v>
      </c>
      <c r="E190" s="55" t="s">
        <v>68</v>
      </c>
      <c r="F190" s="56" t="s">
        <v>1055</v>
      </c>
      <c r="G190" s="57" t="s">
        <v>1310</v>
      </c>
      <c r="H190" s="58">
        <v>25000</v>
      </c>
      <c r="I190" s="58">
        <f t="shared" si="28"/>
        <v>14000</v>
      </c>
      <c r="J190" s="58">
        <f t="shared" si="29"/>
        <v>1166.6666666666667</v>
      </c>
      <c r="K190" s="58">
        <v>2200</v>
      </c>
      <c r="L190" s="59">
        <f t="shared" si="30"/>
        <v>1550</v>
      </c>
      <c r="M190" s="58">
        <f t="shared" si="31"/>
        <v>3562.5</v>
      </c>
      <c r="N190" s="58">
        <f t="shared" si="32"/>
        <v>3087.5</v>
      </c>
      <c r="O190" s="58">
        <f t="shared" si="33"/>
        <v>800</v>
      </c>
      <c r="P190" s="58">
        <f t="shared" si="34"/>
        <v>3583.333333333333</v>
      </c>
      <c r="Q190" s="60">
        <f t="shared" si="35"/>
        <v>3.0714285714285712</v>
      </c>
      <c r="R190" s="58">
        <f t="shared" si="36"/>
        <v>2395.833333333333</v>
      </c>
      <c r="S190" s="58">
        <f t="shared" si="37"/>
        <v>1920.8333333333333</v>
      </c>
      <c r="T190" s="58">
        <f t="shared" si="38"/>
        <v>1233.3333333333333</v>
      </c>
      <c r="U190" s="60">
        <f t="shared" si="39"/>
        <v>2.0535714285714284</v>
      </c>
      <c r="V190" s="60">
        <f t="shared" si="40"/>
        <v>1.6464285714285714</v>
      </c>
      <c r="W190" s="60">
        <f t="shared" si="41"/>
        <v>1.0571428571428569</v>
      </c>
      <c r="X190" s="61"/>
      <c r="Y190" s="1"/>
      <c r="Z190" s="1"/>
    </row>
    <row r="191" spans="1:26" ht="15.75" customHeight="1">
      <c r="A191" s="54"/>
      <c r="B191" s="162"/>
      <c r="C191" s="33"/>
      <c r="D191" s="55" t="s">
        <v>1311</v>
      </c>
      <c r="E191" s="55" t="s">
        <v>131</v>
      </c>
      <c r="F191" s="56" t="s">
        <v>1055</v>
      </c>
      <c r="G191" s="57" t="s">
        <v>1312</v>
      </c>
      <c r="H191" s="58">
        <v>25000</v>
      </c>
      <c r="I191" s="58">
        <f t="shared" si="28"/>
        <v>17500</v>
      </c>
      <c r="J191" s="58">
        <f t="shared" si="29"/>
        <v>424.24242424242425</v>
      </c>
      <c r="K191" s="58">
        <v>2200</v>
      </c>
      <c r="L191" s="59">
        <f t="shared" si="30"/>
        <v>2150</v>
      </c>
      <c r="M191" s="58">
        <f t="shared" si="31"/>
        <v>1162.5</v>
      </c>
      <c r="N191" s="58">
        <f t="shared" si="32"/>
        <v>1007.5</v>
      </c>
      <c r="O191" s="58">
        <f t="shared" si="33"/>
        <v>1100</v>
      </c>
      <c r="P191" s="58">
        <f t="shared" si="34"/>
        <v>383.33333333333326</v>
      </c>
      <c r="Q191" s="60">
        <f t="shared" si="35"/>
        <v>0.32857142857142846</v>
      </c>
      <c r="R191" s="58">
        <f t="shared" si="36"/>
        <v>2395.833333333333</v>
      </c>
      <c r="S191" s="58">
        <f t="shared" si="37"/>
        <v>1920.8333333333333</v>
      </c>
      <c r="T191" s="58">
        <f t="shared" si="38"/>
        <v>-366.66666666666674</v>
      </c>
      <c r="U191" s="60">
        <f t="shared" si="39"/>
        <v>2.0535714285714284</v>
      </c>
      <c r="V191" s="60">
        <f t="shared" si="40"/>
        <v>1.6464285714285714</v>
      </c>
      <c r="W191" s="60">
        <f t="shared" si="41"/>
        <v>-0.31428571428571433</v>
      </c>
      <c r="X191" s="61"/>
      <c r="Y191" s="1"/>
      <c r="Z191" s="1"/>
    </row>
    <row r="192" spans="1:26" ht="15.75" customHeight="1">
      <c r="A192" s="54"/>
      <c r="B192" s="162"/>
      <c r="C192" s="33"/>
      <c r="D192" s="55" t="s">
        <v>137</v>
      </c>
      <c r="E192" s="55" t="s">
        <v>1313</v>
      </c>
      <c r="F192" s="56" t="s">
        <v>1055</v>
      </c>
      <c r="G192" s="57" t="s">
        <v>1314</v>
      </c>
      <c r="H192" s="58">
        <v>28000</v>
      </c>
      <c r="I192" s="58">
        <f t="shared" si="28"/>
        <v>17500</v>
      </c>
      <c r="J192" s="58">
        <f t="shared" si="29"/>
        <v>530.30303030303025</v>
      </c>
      <c r="K192" s="58">
        <v>2400</v>
      </c>
      <c r="L192" s="59">
        <f t="shared" si="30"/>
        <v>2150</v>
      </c>
      <c r="M192" s="58">
        <f t="shared" si="31"/>
        <v>1612.5</v>
      </c>
      <c r="N192" s="58">
        <f t="shared" si="32"/>
        <v>1397.5</v>
      </c>
      <c r="O192" s="58">
        <f t="shared" si="33"/>
        <v>1100</v>
      </c>
      <c r="P192" s="58">
        <f t="shared" si="34"/>
        <v>1725.7575757575758</v>
      </c>
      <c r="Q192" s="60">
        <f t="shared" si="35"/>
        <v>4.0678571428571431</v>
      </c>
      <c r="R192" s="58">
        <f t="shared" si="36"/>
        <v>738.25757575757575</v>
      </c>
      <c r="S192" s="58">
        <f t="shared" si="37"/>
        <v>583.25757575757575</v>
      </c>
      <c r="T192" s="58">
        <f t="shared" si="38"/>
        <v>675.75757575757575</v>
      </c>
      <c r="U192" s="60">
        <f t="shared" si="39"/>
        <v>1.7401785714285714</v>
      </c>
      <c r="V192" s="60">
        <f t="shared" si="40"/>
        <v>1.3748214285714286</v>
      </c>
      <c r="W192" s="60">
        <f t="shared" si="41"/>
        <v>1.5928571428571427</v>
      </c>
      <c r="X192" s="61"/>
      <c r="Y192" s="1"/>
      <c r="Z192" s="1"/>
    </row>
    <row r="193" spans="1:26" ht="15.75" customHeight="1">
      <c r="A193" s="54"/>
      <c r="B193" s="162"/>
      <c r="C193" s="33"/>
      <c r="D193" s="55" t="s">
        <v>1315</v>
      </c>
      <c r="E193" s="55" t="s">
        <v>607</v>
      </c>
      <c r="F193" s="56" t="s">
        <v>1305</v>
      </c>
      <c r="G193" s="57" t="s">
        <v>1316</v>
      </c>
      <c r="H193" s="58">
        <v>28000</v>
      </c>
      <c r="I193" s="58">
        <f t="shared" si="28"/>
        <v>19600</v>
      </c>
      <c r="J193" s="58">
        <f t="shared" si="29"/>
        <v>530.30303030303025</v>
      </c>
      <c r="K193" s="58">
        <v>2400</v>
      </c>
      <c r="L193" s="59">
        <f t="shared" si="30"/>
        <v>2350</v>
      </c>
      <c r="M193" s="58">
        <f t="shared" si="31"/>
        <v>1612.5</v>
      </c>
      <c r="N193" s="58">
        <f t="shared" si="32"/>
        <v>1397.5</v>
      </c>
      <c r="O193" s="58">
        <f t="shared" si="33"/>
        <v>1200</v>
      </c>
      <c r="P193" s="58">
        <f t="shared" si="34"/>
        <v>1619.6969696969697</v>
      </c>
      <c r="Q193" s="60">
        <f t="shared" si="35"/>
        <v>3.0542857142857147</v>
      </c>
      <c r="R193" s="58">
        <f t="shared" si="36"/>
        <v>1082.1969696969697</v>
      </c>
      <c r="S193" s="58">
        <f t="shared" si="37"/>
        <v>867.19696969696975</v>
      </c>
      <c r="T193" s="58">
        <f t="shared" si="38"/>
        <v>569.69696969696975</v>
      </c>
      <c r="U193" s="60">
        <f t="shared" si="39"/>
        <v>2.0407142857142859</v>
      </c>
      <c r="V193" s="60">
        <f t="shared" si="40"/>
        <v>1.6352857142857145</v>
      </c>
      <c r="W193" s="60">
        <f t="shared" si="41"/>
        <v>1.0742857142857145</v>
      </c>
      <c r="X193" s="61"/>
      <c r="Y193" s="1"/>
      <c r="Z193" s="1"/>
    </row>
    <row r="194" spans="1:26" ht="15.75" customHeight="1">
      <c r="A194" s="54"/>
      <c r="B194" s="162"/>
      <c r="C194" s="33"/>
      <c r="D194" s="55" t="s">
        <v>1315</v>
      </c>
      <c r="E194" s="55" t="s">
        <v>207</v>
      </c>
      <c r="F194" s="56" t="s">
        <v>1305</v>
      </c>
      <c r="G194" s="57" t="s">
        <v>1317</v>
      </c>
      <c r="H194" s="58">
        <v>35000</v>
      </c>
      <c r="I194" s="58">
        <f t="shared" si="28"/>
        <v>19600</v>
      </c>
      <c r="J194" s="58">
        <f t="shared" si="29"/>
        <v>593.93939393939399</v>
      </c>
      <c r="K194" s="58">
        <v>5500</v>
      </c>
      <c r="L194" s="59">
        <f t="shared" si="30"/>
        <v>2350</v>
      </c>
      <c r="M194" s="58">
        <f t="shared" si="31"/>
        <v>1762.5</v>
      </c>
      <c r="N194" s="58">
        <f t="shared" si="32"/>
        <v>1527.5</v>
      </c>
      <c r="O194" s="58">
        <f t="shared" si="33"/>
        <v>1200</v>
      </c>
      <c r="P194" s="58">
        <f t="shared" si="34"/>
        <v>1819.6969696969697</v>
      </c>
      <c r="Q194" s="60">
        <f t="shared" si="35"/>
        <v>3.4314285714285719</v>
      </c>
      <c r="R194" s="58">
        <f t="shared" si="36"/>
        <v>1082.1969696969697</v>
      </c>
      <c r="S194" s="58">
        <f t="shared" si="37"/>
        <v>867.19696969696975</v>
      </c>
      <c r="T194" s="58">
        <f t="shared" si="38"/>
        <v>669.69696969696975</v>
      </c>
      <c r="U194" s="60">
        <f t="shared" si="39"/>
        <v>2.0407142857142859</v>
      </c>
      <c r="V194" s="60">
        <f t="shared" si="40"/>
        <v>1.6352857142857145</v>
      </c>
      <c r="W194" s="60">
        <f t="shared" si="41"/>
        <v>1.2628571428571431</v>
      </c>
      <c r="X194" s="61"/>
      <c r="Y194" s="1"/>
      <c r="Z194" s="1"/>
    </row>
    <row r="195" spans="1:26" ht="15.75" customHeight="1">
      <c r="A195" s="54"/>
      <c r="B195" s="161"/>
      <c r="C195" s="33"/>
      <c r="D195" s="81" t="s">
        <v>171</v>
      </c>
      <c r="E195" s="81" t="s">
        <v>207</v>
      </c>
      <c r="F195" s="82" t="s">
        <v>1305</v>
      </c>
      <c r="G195" s="71" t="s">
        <v>1318</v>
      </c>
      <c r="H195" s="72">
        <v>38000</v>
      </c>
      <c r="I195" s="58">
        <f t="shared" si="28"/>
        <v>24500</v>
      </c>
      <c r="J195" s="58">
        <f t="shared" si="29"/>
        <v>593.93939393939399</v>
      </c>
      <c r="K195" s="58">
        <v>5600</v>
      </c>
      <c r="L195" s="59">
        <f t="shared" si="30"/>
        <v>5450</v>
      </c>
      <c r="M195" s="58">
        <f t="shared" si="31"/>
        <v>1762.5</v>
      </c>
      <c r="N195" s="58">
        <f t="shared" si="32"/>
        <v>1527.5</v>
      </c>
      <c r="O195" s="58">
        <f t="shared" si="33"/>
        <v>2750</v>
      </c>
      <c r="P195" s="58">
        <f t="shared" si="34"/>
        <v>1756.060606060606</v>
      </c>
      <c r="Q195" s="60">
        <f t="shared" si="35"/>
        <v>2.9566326530612241</v>
      </c>
      <c r="R195" s="58">
        <f t="shared" si="36"/>
        <v>1168.560606060606</v>
      </c>
      <c r="S195" s="58">
        <f t="shared" si="37"/>
        <v>933.56060606060601</v>
      </c>
      <c r="T195" s="58">
        <f t="shared" si="38"/>
        <v>606.06060606060601</v>
      </c>
      <c r="U195" s="60">
        <f t="shared" si="39"/>
        <v>1.967474489795918</v>
      </c>
      <c r="V195" s="60">
        <f t="shared" si="40"/>
        <v>1.5718112244897957</v>
      </c>
      <c r="W195" s="60">
        <f t="shared" si="41"/>
        <v>1.0204081632653059</v>
      </c>
      <c r="X195" s="61"/>
      <c r="Y195" s="1"/>
      <c r="Z195" s="1"/>
    </row>
    <row r="196" spans="1:26" ht="15.75" customHeight="1">
      <c r="A196" s="54"/>
      <c r="B196" s="161"/>
      <c r="C196" s="69"/>
      <c r="D196" s="55" t="s">
        <v>130</v>
      </c>
      <c r="E196" s="55" t="s">
        <v>207</v>
      </c>
      <c r="F196" s="56" t="s">
        <v>1055</v>
      </c>
      <c r="G196" s="57" t="s">
        <v>1319</v>
      </c>
      <c r="H196" s="58">
        <v>25000</v>
      </c>
      <c r="I196" s="58">
        <f t="shared" si="28"/>
        <v>26600</v>
      </c>
      <c r="J196" s="58">
        <f t="shared" si="29"/>
        <v>742.42424242424238</v>
      </c>
      <c r="K196" s="58">
        <v>5200</v>
      </c>
      <c r="L196" s="59">
        <f t="shared" si="30"/>
        <v>5550</v>
      </c>
      <c r="M196" s="58">
        <f t="shared" si="31"/>
        <v>4087.5</v>
      </c>
      <c r="N196" s="58">
        <f t="shared" si="32"/>
        <v>3542.5</v>
      </c>
      <c r="O196" s="58">
        <f t="shared" si="33"/>
        <v>2800</v>
      </c>
      <c r="P196" s="58">
        <f t="shared" si="34"/>
        <v>4856.060606060606</v>
      </c>
      <c r="Q196" s="60">
        <f t="shared" si="35"/>
        <v>8.1760204081632644</v>
      </c>
      <c r="R196" s="58">
        <f t="shared" si="36"/>
        <v>1168.560606060606</v>
      </c>
      <c r="S196" s="58">
        <f t="shared" si="37"/>
        <v>933.56060606060601</v>
      </c>
      <c r="T196" s="58">
        <f t="shared" si="38"/>
        <v>2156.060606060606</v>
      </c>
      <c r="U196" s="60">
        <f t="shared" si="39"/>
        <v>1.967474489795918</v>
      </c>
      <c r="V196" s="60">
        <f t="shared" si="40"/>
        <v>1.5718112244897957</v>
      </c>
      <c r="W196" s="60">
        <f t="shared" si="41"/>
        <v>3.6301020408163263</v>
      </c>
      <c r="X196" s="61" t="s">
        <v>183</v>
      </c>
      <c r="Y196" s="1"/>
      <c r="Z196" s="1"/>
    </row>
    <row r="197" spans="1:26" ht="15.75" customHeight="1">
      <c r="A197" s="54"/>
      <c r="B197" s="162"/>
      <c r="C197" s="33"/>
      <c r="D197" s="55" t="s">
        <v>1320</v>
      </c>
      <c r="E197" s="55" t="s">
        <v>607</v>
      </c>
      <c r="F197" s="56" t="s">
        <v>1055</v>
      </c>
      <c r="G197" s="57" t="s">
        <v>1321</v>
      </c>
      <c r="H197" s="58">
        <v>25000</v>
      </c>
      <c r="I197" s="58">
        <f t="shared" ref="I197:I260" si="42">H196*0.7</f>
        <v>17500</v>
      </c>
      <c r="J197" s="58">
        <f t="shared" ref="J197:J260" si="43">I196/33</f>
        <v>806.06060606060601</v>
      </c>
      <c r="K197" s="58">
        <v>1400</v>
      </c>
      <c r="L197" s="59">
        <f t="shared" ref="L197:L260" si="44">K196-50</f>
        <v>5150</v>
      </c>
      <c r="M197" s="58">
        <f t="shared" ref="M197:M260" si="45">L196*0.75</f>
        <v>4162.5</v>
      </c>
      <c r="N197" s="58">
        <f t="shared" ref="N197:N260" si="46">L196*0.65</f>
        <v>3607.5</v>
      </c>
      <c r="O197" s="58">
        <f t="shared" ref="O197:O260" si="47">K196*0.5</f>
        <v>2600</v>
      </c>
      <c r="P197" s="58">
        <f t="shared" ref="P197:P260" si="48">L196-J196</f>
        <v>4807.575757575758</v>
      </c>
      <c r="Q197" s="60">
        <f t="shared" ref="Q197:Q260" si="49">((L196-J196)/J196)</f>
        <v>6.4755102040816332</v>
      </c>
      <c r="R197" s="58">
        <f t="shared" ref="R197:R260" si="50">M196-J196</f>
        <v>3345.0757575757575</v>
      </c>
      <c r="S197" s="58">
        <f t="shared" ref="S197:S260" si="51">N196-J196</f>
        <v>2800.0757575757575</v>
      </c>
      <c r="T197" s="58">
        <f t="shared" ref="T197:T260" si="52">O196-J196</f>
        <v>2057.5757575757575</v>
      </c>
      <c r="U197" s="60">
        <f t="shared" ref="U197:U260" si="53">(M196-J196)/J196</f>
        <v>4.505612244897959</v>
      </c>
      <c r="V197" s="60">
        <f t="shared" ref="V197:V260" si="54">(N196-J196)/J196</f>
        <v>3.7715306122448982</v>
      </c>
      <c r="W197" s="60">
        <f t="shared" ref="W197:W260" si="55">(O196-J196)/J196</f>
        <v>2.7714285714285714</v>
      </c>
      <c r="X197" s="61"/>
      <c r="Y197" s="1"/>
      <c r="Z197" s="1"/>
    </row>
    <row r="198" spans="1:26" ht="15.75" customHeight="1">
      <c r="A198" s="54"/>
      <c r="B198" s="162"/>
      <c r="C198" s="33"/>
      <c r="D198" s="55" t="s">
        <v>1322</v>
      </c>
      <c r="E198" s="55" t="s">
        <v>607</v>
      </c>
      <c r="F198" s="56" t="s">
        <v>1055</v>
      </c>
      <c r="G198" s="57" t="s">
        <v>1323</v>
      </c>
      <c r="H198" s="58">
        <v>25000</v>
      </c>
      <c r="I198" s="58">
        <f t="shared" si="42"/>
        <v>17500</v>
      </c>
      <c r="J198" s="58">
        <f t="shared" si="43"/>
        <v>530.30303030303025</v>
      </c>
      <c r="K198" s="58">
        <v>1400</v>
      </c>
      <c r="L198" s="59">
        <f t="shared" si="44"/>
        <v>1350</v>
      </c>
      <c r="M198" s="58">
        <f t="shared" si="45"/>
        <v>3862.5</v>
      </c>
      <c r="N198" s="58">
        <f t="shared" si="46"/>
        <v>3347.5</v>
      </c>
      <c r="O198" s="58">
        <f t="shared" si="47"/>
        <v>700</v>
      </c>
      <c r="P198" s="58">
        <f t="shared" si="48"/>
        <v>4343.939393939394</v>
      </c>
      <c r="Q198" s="60">
        <f t="shared" si="49"/>
        <v>5.3890977443609023</v>
      </c>
      <c r="R198" s="58">
        <f t="shared" si="50"/>
        <v>3356.439393939394</v>
      </c>
      <c r="S198" s="58">
        <f t="shared" si="51"/>
        <v>2801.439393939394</v>
      </c>
      <c r="T198" s="58">
        <f t="shared" si="52"/>
        <v>1793.939393939394</v>
      </c>
      <c r="U198" s="60">
        <f t="shared" si="53"/>
        <v>4.1640037593984962</v>
      </c>
      <c r="V198" s="60">
        <f t="shared" si="54"/>
        <v>3.4754699248120304</v>
      </c>
      <c r="W198" s="60">
        <f t="shared" si="55"/>
        <v>2.2255639097744364</v>
      </c>
      <c r="X198" s="61" t="s">
        <v>140</v>
      </c>
      <c r="Y198" s="1"/>
      <c r="Z198" s="1"/>
    </row>
    <row r="199" spans="1:26" ht="15.75" customHeight="1">
      <c r="A199" s="54"/>
      <c r="B199" s="162"/>
      <c r="C199" s="33"/>
      <c r="D199" s="55" t="s">
        <v>1322</v>
      </c>
      <c r="E199" s="55" t="s">
        <v>1324</v>
      </c>
      <c r="F199" s="56" t="s">
        <v>1055</v>
      </c>
      <c r="G199" s="57" t="s">
        <v>1325</v>
      </c>
      <c r="H199" s="58">
        <v>25000</v>
      </c>
      <c r="I199" s="58">
        <f t="shared" si="42"/>
        <v>17500</v>
      </c>
      <c r="J199" s="58">
        <f t="shared" si="43"/>
        <v>530.30303030303025</v>
      </c>
      <c r="K199" s="58">
        <v>1500</v>
      </c>
      <c r="L199" s="59">
        <f t="shared" si="44"/>
        <v>1350</v>
      </c>
      <c r="M199" s="58">
        <f t="shared" si="45"/>
        <v>1012.5</v>
      </c>
      <c r="N199" s="58">
        <f t="shared" si="46"/>
        <v>877.5</v>
      </c>
      <c r="O199" s="58">
        <f t="shared" si="47"/>
        <v>700</v>
      </c>
      <c r="P199" s="58">
        <f t="shared" si="48"/>
        <v>819.69696969696975</v>
      </c>
      <c r="Q199" s="60">
        <f t="shared" si="49"/>
        <v>1.545714285714286</v>
      </c>
      <c r="R199" s="58">
        <f t="shared" si="50"/>
        <v>3332.19696969697</v>
      </c>
      <c r="S199" s="58">
        <f t="shared" si="51"/>
        <v>2817.19696969697</v>
      </c>
      <c r="T199" s="58">
        <f t="shared" si="52"/>
        <v>169.69696969696975</v>
      </c>
      <c r="U199" s="60">
        <f t="shared" si="53"/>
        <v>6.2835714285714293</v>
      </c>
      <c r="V199" s="60">
        <f t="shared" si="54"/>
        <v>5.3124285714285726</v>
      </c>
      <c r="W199" s="60">
        <f t="shared" si="55"/>
        <v>0.32000000000000012</v>
      </c>
      <c r="X199" s="61" t="s">
        <v>141</v>
      </c>
      <c r="Y199" s="1"/>
      <c r="Z199" s="1"/>
    </row>
    <row r="200" spans="1:26" ht="15.75" customHeight="1">
      <c r="A200" s="54"/>
      <c r="B200" s="162"/>
      <c r="C200" s="33"/>
      <c r="D200" s="55" t="s">
        <v>1322</v>
      </c>
      <c r="E200" s="55" t="s">
        <v>1326</v>
      </c>
      <c r="F200" s="56" t="s">
        <v>1055</v>
      </c>
      <c r="G200" s="57" t="s">
        <v>1327</v>
      </c>
      <c r="H200" s="58">
        <v>25000</v>
      </c>
      <c r="I200" s="58">
        <f t="shared" si="42"/>
        <v>17500</v>
      </c>
      <c r="J200" s="58">
        <f t="shared" si="43"/>
        <v>530.30303030303025</v>
      </c>
      <c r="K200" s="58">
        <v>1500</v>
      </c>
      <c r="L200" s="59">
        <f t="shared" si="44"/>
        <v>1450</v>
      </c>
      <c r="M200" s="58">
        <f t="shared" si="45"/>
        <v>1012.5</v>
      </c>
      <c r="N200" s="58">
        <f t="shared" si="46"/>
        <v>877.5</v>
      </c>
      <c r="O200" s="58">
        <f t="shared" si="47"/>
        <v>750</v>
      </c>
      <c r="P200" s="58">
        <f t="shared" si="48"/>
        <v>819.69696969696975</v>
      </c>
      <c r="Q200" s="60">
        <f t="shared" si="49"/>
        <v>1.545714285714286</v>
      </c>
      <c r="R200" s="58">
        <f t="shared" si="50"/>
        <v>482.19696969696975</v>
      </c>
      <c r="S200" s="58">
        <f t="shared" si="51"/>
        <v>347.19696969696975</v>
      </c>
      <c r="T200" s="58">
        <f t="shared" si="52"/>
        <v>169.69696969696975</v>
      </c>
      <c r="U200" s="60">
        <f t="shared" si="53"/>
        <v>0.90928571428571447</v>
      </c>
      <c r="V200" s="60">
        <f t="shared" si="54"/>
        <v>0.65471428571428592</v>
      </c>
      <c r="W200" s="60">
        <f t="shared" si="55"/>
        <v>0.32000000000000012</v>
      </c>
      <c r="X200" s="61" t="s">
        <v>141</v>
      </c>
      <c r="Y200" s="1"/>
      <c r="Z200" s="1"/>
    </row>
    <row r="201" spans="1:26" ht="15.75" customHeight="1">
      <c r="A201" s="54"/>
      <c r="B201" s="162"/>
      <c r="C201" s="33"/>
      <c r="D201" s="55" t="s">
        <v>1328</v>
      </c>
      <c r="E201" s="55" t="s">
        <v>68</v>
      </c>
      <c r="F201" s="56" t="s">
        <v>1055</v>
      </c>
      <c r="G201" s="57" t="s">
        <v>1329</v>
      </c>
      <c r="H201" s="58">
        <v>25000</v>
      </c>
      <c r="I201" s="58">
        <f t="shared" si="42"/>
        <v>17500</v>
      </c>
      <c r="J201" s="58">
        <f t="shared" si="43"/>
        <v>530.30303030303025</v>
      </c>
      <c r="K201" s="58">
        <v>1500</v>
      </c>
      <c r="L201" s="59">
        <f t="shared" si="44"/>
        <v>1450</v>
      </c>
      <c r="M201" s="58">
        <f t="shared" si="45"/>
        <v>1087.5</v>
      </c>
      <c r="N201" s="58">
        <f t="shared" si="46"/>
        <v>942.5</v>
      </c>
      <c r="O201" s="58">
        <f t="shared" si="47"/>
        <v>750</v>
      </c>
      <c r="P201" s="58">
        <f t="shared" si="48"/>
        <v>919.69696969696975</v>
      </c>
      <c r="Q201" s="60">
        <f t="shared" si="49"/>
        <v>1.7342857142857144</v>
      </c>
      <c r="R201" s="58">
        <f t="shared" si="50"/>
        <v>482.19696969696975</v>
      </c>
      <c r="S201" s="58">
        <f t="shared" si="51"/>
        <v>347.19696969696975</v>
      </c>
      <c r="T201" s="58">
        <f t="shared" si="52"/>
        <v>219.69696969696975</v>
      </c>
      <c r="U201" s="60">
        <f t="shared" si="53"/>
        <v>0.90928571428571447</v>
      </c>
      <c r="V201" s="60">
        <f t="shared" si="54"/>
        <v>0.65471428571428592</v>
      </c>
      <c r="W201" s="60">
        <f t="shared" si="55"/>
        <v>0.41428571428571442</v>
      </c>
      <c r="X201" s="61" t="s">
        <v>187</v>
      </c>
      <c r="Y201" s="1"/>
      <c r="Z201" s="1"/>
    </row>
    <row r="202" spans="1:26" ht="15.75" customHeight="1">
      <c r="A202" s="54"/>
      <c r="B202" s="162"/>
      <c r="C202" s="33"/>
      <c r="D202" s="55" t="s">
        <v>1328</v>
      </c>
      <c r="E202" s="55" t="s">
        <v>248</v>
      </c>
      <c r="F202" s="56" t="s">
        <v>1055</v>
      </c>
      <c r="G202" s="57" t="s">
        <v>1330</v>
      </c>
      <c r="H202" s="58">
        <v>25000</v>
      </c>
      <c r="I202" s="58">
        <f t="shared" si="42"/>
        <v>17500</v>
      </c>
      <c r="J202" s="58">
        <f t="shared" si="43"/>
        <v>530.30303030303025</v>
      </c>
      <c r="K202" s="58">
        <v>1500</v>
      </c>
      <c r="L202" s="59">
        <f t="shared" si="44"/>
        <v>1450</v>
      </c>
      <c r="M202" s="58">
        <f t="shared" si="45"/>
        <v>1087.5</v>
      </c>
      <c r="N202" s="58">
        <f t="shared" si="46"/>
        <v>942.5</v>
      </c>
      <c r="O202" s="58">
        <f t="shared" si="47"/>
        <v>750</v>
      </c>
      <c r="P202" s="58">
        <f t="shared" si="48"/>
        <v>919.69696969696975</v>
      </c>
      <c r="Q202" s="60">
        <f t="shared" si="49"/>
        <v>1.7342857142857144</v>
      </c>
      <c r="R202" s="58">
        <f t="shared" si="50"/>
        <v>557.19696969696975</v>
      </c>
      <c r="S202" s="58">
        <f t="shared" si="51"/>
        <v>412.19696969696975</v>
      </c>
      <c r="T202" s="58">
        <f t="shared" si="52"/>
        <v>219.69696969696975</v>
      </c>
      <c r="U202" s="60">
        <f t="shared" si="53"/>
        <v>1.0507142857142859</v>
      </c>
      <c r="V202" s="60">
        <f t="shared" si="54"/>
        <v>0.77728571428571447</v>
      </c>
      <c r="W202" s="60">
        <f t="shared" si="55"/>
        <v>0.41428571428571442</v>
      </c>
      <c r="X202" s="61" t="s">
        <v>23</v>
      </c>
      <c r="Y202" s="1"/>
      <c r="Z202" s="1"/>
    </row>
    <row r="203" spans="1:26" ht="15.75" customHeight="1">
      <c r="A203" s="54"/>
      <c r="B203" s="162"/>
      <c r="C203" s="33"/>
      <c r="D203" s="55" t="s">
        <v>1328</v>
      </c>
      <c r="E203" s="55" t="s">
        <v>386</v>
      </c>
      <c r="F203" s="56" t="s">
        <v>1055</v>
      </c>
      <c r="G203" s="57" t="s">
        <v>1331</v>
      </c>
      <c r="H203" s="58">
        <v>25000</v>
      </c>
      <c r="I203" s="58">
        <f t="shared" si="42"/>
        <v>17500</v>
      </c>
      <c r="J203" s="58">
        <f t="shared" si="43"/>
        <v>530.30303030303025</v>
      </c>
      <c r="K203" s="58">
        <v>1600</v>
      </c>
      <c r="L203" s="59">
        <f t="shared" si="44"/>
        <v>1450</v>
      </c>
      <c r="M203" s="58">
        <f t="shared" si="45"/>
        <v>1087.5</v>
      </c>
      <c r="N203" s="58">
        <f t="shared" si="46"/>
        <v>942.5</v>
      </c>
      <c r="O203" s="58">
        <f t="shared" si="47"/>
        <v>750</v>
      </c>
      <c r="P203" s="58">
        <f t="shared" si="48"/>
        <v>919.69696969696975</v>
      </c>
      <c r="Q203" s="60">
        <f t="shared" si="49"/>
        <v>1.7342857142857144</v>
      </c>
      <c r="R203" s="58">
        <f t="shared" si="50"/>
        <v>557.19696969696975</v>
      </c>
      <c r="S203" s="58">
        <f t="shared" si="51"/>
        <v>412.19696969696975</v>
      </c>
      <c r="T203" s="58">
        <f t="shared" si="52"/>
        <v>219.69696969696975</v>
      </c>
      <c r="U203" s="60">
        <f t="shared" si="53"/>
        <v>1.0507142857142859</v>
      </c>
      <c r="V203" s="60">
        <f t="shared" si="54"/>
        <v>0.77728571428571447</v>
      </c>
      <c r="W203" s="60">
        <f t="shared" si="55"/>
        <v>0.41428571428571442</v>
      </c>
      <c r="X203" s="61"/>
      <c r="Y203" s="1"/>
      <c r="Z203" s="1"/>
    </row>
    <row r="204" spans="1:26" ht="15.75" customHeight="1">
      <c r="A204" s="54"/>
      <c r="B204" s="162"/>
      <c r="C204" s="33"/>
      <c r="D204" s="55" t="s">
        <v>1328</v>
      </c>
      <c r="E204" s="55" t="s">
        <v>1152</v>
      </c>
      <c r="F204" s="56"/>
      <c r="G204" s="74" t="s">
        <v>1332</v>
      </c>
      <c r="H204" s="58">
        <v>4000</v>
      </c>
      <c r="I204" s="58">
        <f t="shared" si="42"/>
        <v>17500</v>
      </c>
      <c r="J204" s="58">
        <f t="shared" si="43"/>
        <v>530.30303030303025</v>
      </c>
      <c r="K204" s="58">
        <v>400</v>
      </c>
      <c r="L204" s="59">
        <f t="shared" si="44"/>
        <v>1550</v>
      </c>
      <c r="M204" s="58">
        <f t="shared" si="45"/>
        <v>1087.5</v>
      </c>
      <c r="N204" s="58">
        <f t="shared" si="46"/>
        <v>942.5</v>
      </c>
      <c r="O204" s="58">
        <f t="shared" si="47"/>
        <v>800</v>
      </c>
      <c r="P204" s="58">
        <f t="shared" si="48"/>
        <v>919.69696969696975</v>
      </c>
      <c r="Q204" s="60">
        <f t="shared" si="49"/>
        <v>1.7342857142857144</v>
      </c>
      <c r="R204" s="58">
        <f t="shared" si="50"/>
        <v>557.19696969696975</v>
      </c>
      <c r="S204" s="58">
        <f t="shared" si="51"/>
        <v>412.19696969696975</v>
      </c>
      <c r="T204" s="58">
        <f t="shared" si="52"/>
        <v>219.69696969696975</v>
      </c>
      <c r="U204" s="60">
        <f t="shared" si="53"/>
        <v>1.0507142857142859</v>
      </c>
      <c r="V204" s="60">
        <f t="shared" si="54"/>
        <v>0.77728571428571447</v>
      </c>
      <c r="W204" s="60">
        <f t="shared" si="55"/>
        <v>0.41428571428571442</v>
      </c>
      <c r="X204" s="61"/>
      <c r="Y204" s="1"/>
      <c r="Z204" s="1"/>
    </row>
    <row r="205" spans="1:26" ht="15.75" customHeight="1">
      <c r="A205" s="54"/>
      <c r="B205" s="161"/>
      <c r="C205" s="33"/>
      <c r="D205" s="55" t="s">
        <v>1333</v>
      </c>
      <c r="E205" s="55" t="s">
        <v>820</v>
      </c>
      <c r="F205" s="56" t="s">
        <v>1055</v>
      </c>
      <c r="G205" s="57" t="s">
        <v>1334</v>
      </c>
      <c r="H205" s="58">
        <v>22000</v>
      </c>
      <c r="I205" s="58">
        <f t="shared" si="42"/>
        <v>2800</v>
      </c>
      <c r="J205" s="58">
        <f t="shared" si="43"/>
        <v>530.30303030303025</v>
      </c>
      <c r="K205" s="58">
        <v>1400</v>
      </c>
      <c r="L205" s="59">
        <f t="shared" si="44"/>
        <v>350</v>
      </c>
      <c r="M205" s="58">
        <f t="shared" si="45"/>
        <v>1162.5</v>
      </c>
      <c r="N205" s="58">
        <f t="shared" si="46"/>
        <v>1007.5</v>
      </c>
      <c r="O205" s="58">
        <f t="shared" si="47"/>
        <v>200</v>
      </c>
      <c r="P205" s="58">
        <f t="shared" si="48"/>
        <v>1019.6969696969697</v>
      </c>
      <c r="Q205" s="60">
        <f t="shared" si="49"/>
        <v>1.922857142857143</v>
      </c>
      <c r="R205" s="58">
        <f t="shared" si="50"/>
        <v>557.19696969696975</v>
      </c>
      <c r="S205" s="58">
        <f t="shared" si="51"/>
        <v>412.19696969696975</v>
      </c>
      <c r="T205" s="58">
        <f t="shared" si="52"/>
        <v>269.69696969696975</v>
      </c>
      <c r="U205" s="60">
        <f t="shared" si="53"/>
        <v>1.0507142857142859</v>
      </c>
      <c r="V205" s="60">
        <f t="shared" si="54"/>
        <v>0.77728571428571447</v>
      </c>
      <c r="W205" s="60">
        <f t="shared" si="55"/>
        <v>0.50857142857142867</v>
      </c>
      <c r="X205" s="61" t="s">
        <v>160</v>
      </c>
      <c r="Y205" s="1"/>
      <c r="Z205" s="1"/>
    </row>
    <row r="206" spans="1:26" ht="15.75" customHeight="1">
      <c r="A206" s="54"/>
      <c r="B206" s="161"/>
      <c r="C206" s="69"/>
      <c r="D206" s="55" t="s">
        <v>1333</v>
      </c>
      <c r="E206" s="55" t="s">
        <v>386</v>
      </c>
      <c r="F206" s="56" t="s">
        <v>1055</v>
      </c>
      <c r="G206" s="57" t="s">
        <v>1335</v>
      </c>
      <c r="H206" s="58">
        <v>25000</v>
      </c>
      <c r="I206" s="58">
        <f t="shared" si="42"/>
        <v>15399.999999999998</v>
      </c>
      <c r="J206" s="58">
        <f t="shared" si="43"/>
        <v>84.848484848484844</v>
      </c>
      <c r="K206" s="58">
        <v>1500</v>
      </c>
      <c r="L206" s="59">
        <f t="shared" si="44"/>
        <v>1350</v>
      </c>
      <c r="M206" s="58">
        <f t="shared" si="45"/>
        <v>262.5</v>
      </c>
      <c r="N206" s="58">
        <f t="shared" si="46"/>
        <v>227.5</v>
      </c>
      <c r="O206" s="58">
        <f t="shared" si="47"/>
        <v>700</v>
      </c>
      <c r="P206" s="58">
        <f t="shared" si="48"/>
        <v>-180.30303030303025</v>
      </c>
      <c r="Q206" s="60">
        <f t="shared" si="49"/>
        <v>-0.33999999999999991</v>
      </c>
      <c r="R206" s="58">
        <f t="shared" si="50"/>
        <v>632.19696969696975</v>
      </c>
      <c r="S206" s="58">
        <f t="shared" si="51"/>
        <v>477.19696969696975</v>
      </c>
      <c r="T206" s="58">
        <f t="shared" si="52"/>
        <v>-330.30303030303025</v>
      </c>
      <c r="U206" s="60">
        <f t="shared" si="53"/>
        <v>1.1921428571428574</v>
      </c>
      <c r="V206" s="60">
        <f t="shared" si="54"/>
        <v>0.89985714285714302</v>
      </c>
      <c r="W206" s="60">
        <f t="shared" si="55"/>
        <v>-0.62285714285714278</v>
      </c>
      <c r="X206" s="61" t="s">
        <v>191</v>
      </c>
      <c r="Y206" s="1"/>
      <c r="Z206" s="1"/>
    </row>
    <row r="207" spans="1:26" ht="15.75" customHeight="1">
      <c r="A207" s="54"/>
      <c r="B207" s="162"/>
      <c r="C207" s="33"/>
      <c r="D207" s="55" t="s">
        <v>1337</v>
      </c>
      <c r="E207" s="55" t="s">
        <v>607</v>
      </c>
      <c r="F207" s="56" t="s">
        <v>1055</v>
      </c>
      <c r="G207" s="57" t="s">
        <v>1338</v>
      </c>
      <c r="H207" s="58">
        <v>15000</v>
      </c>
      <c r="I207" s="58">
        <f t="shared" si="42"/>
        <v>17500</v>
      </c>
      <c r="J207" s="58">
        <f t="shared" si="43"/>
        <v>466.66666666666663</v>
      </c>
      <c r="K207" s="58">
        <v>1500</v>
      </c>
      <c r="L207" s="59">
        <f t="shared" si="44"/>
        <v>1450</v>
      </c>
      <c r="M207" s="58">
        <f t="shared" si="45"/>
        <v>1012.5</v>
      </c>
      <c r="N207" s="58">
        <f t="shared" si="46"/>
        <v>877.5</v>
      </c>
      <c r="O207" s="58">
        <f t="shared" si="47"/>
        <v>750</v>
      </c>
      <c r="P207" s="58">
        <f t="shared" si="48"/>
        <v>1265.1515151515152</v>
      </c>
      <c r="Q207" s="60">
        <f t="shared" si="49"/>
        <v>14.910714285714288</v>
      </c>
      <c r="R207" s="58">
        <f t="shared" si="50"/>
        <v>177.65151515151516</v>
      </c>
      <c r="S207" s="58">
        <f t="shared" si="51"/>
        <v>142.65151515151516</v>
      </c>
      <c r="T207" s="58">
        <f t="shared" si="52"/>
        <v>615.15151515151513</v>
      </c>
      <c r="U207" s="60">
        <f t="shared" si="53"/>
        <v>2.09375</v>
      </c>
      <c r="V207" s="60">
        <f t="shared" si="54"/>
        <v>1.6812500000000001</v>
      </c>
      <c r="W207" s="60">
        <f t="shared" si="55"/>
        <v>7.25</v>
      </c>
      <c r="X207" s="61"/>
      <c r="Y207" s="1"/>
      <c r="Z207" s="1"/>
    </row>
    <row r="208" spans="1:26" ht="15.75" customHeight="1">
      <c r="A208" s="54"/>
      <c r="B208" s="162"/>
      <c r="C208" s="33"/>
      <c r="D208" s="55" t="s">
        <v>1337</v>
      </c>
      <c r="E208" s="55" t="s">
        <v>68</v>
      </c>
      <c r="F208" s="56" t="s">
        <v>1055</v>
      </c>
      <c r="G208" s="57" t="s">
        <v>1339</v>
      </c>
      <c r="H208" s="58">
        <v>18000</v>
      </c>
      <c r="I208" s="58">
        <f t="shared" si="42"/>
        <v>10500</v>
      </c>
      <c r="J208" s="58">
        <f t="shared" si="43"/>
        <v>530.30303030303025</v>
      </c>
      <c r="K208" s="58">
        <v>1600</v>
      </c>
      <c r="L208" s="59">
        <f t="shared" si="44"/>
        <v>1450</v>
      </c>
      <c r="M208" s="58">
        <f t="shared" si="45"/>
        <v>1087.5</v>
      </c>
      <c r="N208" s="58">
        <f t="shared" si="46"/>
        <v>942.5</v>
      </c>
      <c r="O208" s="58">
        <f t="shared" si="47"/>
        <v>750</v>
      </c>
      <c r="P208" s="58">
        <f t="shared" si="48"/>
        <v>983.33333333333337</v>
      </c>
      <c r="Q208" s="60">
        <f t="shared" si="49"/>
        <v>2.1071428571428572</v>
      </c>
      <c r="R208" s="58">
        <f t="shared" si="50"/>
        <v>545.83333333333337</v>
      </c>
      <c r="S208" s="58">
        <f t="shared" si="51"/>
        <v>410.83333333333337</v>
      </c>
      <c r="T208" s="58">
        <f t="shared" si="52"/>
        <v>283.33333333333337</v>
      </c>
      <c r="U208" s="60">
        <f t="shared" si="53"/>
        <v>1.1696428571428574</v>
      </c>
      <c r="V208" s="60">
        <f t="shared" si="54"/>
        <v>0.88035714285714306</v>
      </c>
      <c r="W208" s="60">
        <f t="shared" si="55"/>
        <v>0.60714285714285732</v>
      </c>
      <c r="X208" s="61"/>
      <c r="Y208" s="1"/>
      <c r="Z208" s="1"/>
    </row>
    <row r="209" spans="1:26" ht="15.75" customHeight="1">
      <c r="A209" s="54"/>
      <c r="B209" s="162"/>
      <c r="C209" s="33"/>
      <c r="D209" s="55" t="s">
        <v>1340</v>
      </c>
      <c r="E209" s="55" t="s">
        <v>607</v>
      </c>
      <c r="F209" s="56" t="s">
        <v>1055</v>
      </c>
      <c r="G209" s="57" t="s">
        <v>1341</v>
      </c>
      <c r="H209" s="58">
        <v>15000</v>
      </c>
      <c r="I209" s="58">
        <f t="shared" si="42"/>
        <v>12600</v>
      </c>
      <c r="J209" s="58">
        <f t="shared" si="43"/>
        <v>318.18181818181819</v>
      </c>
      <c r="K209" s="58">
        <v>1500</v>
      </c>
      <c r="L209" s="59">
        <f t="shared" si="44"/>
        <v>1550</v>
      </c>
      <c r="M209" s="58">
        <f t="shared" si="45"/>
        <v>1087.5</v>
      </c>
      <c r="N209" s="58">
        <f t="shared" si="46"/>
        <v>942.5</v>
      </c>
      <c r="O209" s="58">
        <f t="shared" si="47"/>
        <v>800</v>
      </c>
      <c r="P209" s="58">
        <f t="shared" si="48"/>
        <v>919.69696969696975</v>
      </c>
      <c r="Q209" s="60">
        <f t="shared" si="49"/>
        <v>1.7342857142857144</v>
      </c>
      <c r="R209" s="58">
        <f t="shared" si="50"/>
        <v>557.19696969696975</v>
      </c>
      <c r="S209" s="58">
        <f t="shared" si="51"/>
        <v>412.19696969696975</v>
      </c>
      <c r="T209" s="58">
        <f t="shared" si="52"/>
        <v>219.69696969696975</v>
      </c>
      <c r="U209" s="60">
        <f t="shared" si="53"/>
        <v>1.0507142857142859</v>
      </c>
      <c r="V209" s="60">
        <f t="shared" si="54"/>
        <v>0.77728571428571447</v>
      </c>
      <c r="W209" s="60">
        <f t="shared" si="55"/>
        <v>0.41428571428571442</v>
      </c>
      <c r="X209" s="61" t="s">
        <v>47</v>
      </c>
      <c r="Y209" s="1"/>
      <c r="Z209" s="1"/>
    </row>
    <row r="210" spans="1:26" ht="15.75" customHeight="1">
      <c r="A210" s="54"/>
      <c r="B210" s="162"/>
      <c r="C210" s="33"/>
      <c r="D210" s="65" t="s">
        <v>1340</v>
      </c>
      <c r="E210" s="65" t="s">
        <v>68</v>
      </c>
      <c r="F210" s="66" t="s">
        <v>1055</v>
      </c>
      <c r="G210" s="67" t="s">
        <v>1342</v>
      </c>
      <c r="H210" s="68">
        <v>18000</v>
      </c>
      <c r="I210" s="58">
        <f t="shared" si="42"/>
        <v>10500</v>
      </c>
      <c r="J210" s="58">
        <f t="shared" si="43"/>
        <v>381.81818181818181</v>
      </c>
      <c r="K210" s="58">
        <v>1600</v>
      </c>
      <c r="L210" s="59">
        <f t="shared" si="44"/>
        <v>1450</v>
      </c>
      <c r="M210" s="58">
        <f t="shared" si="45"/>
        <v>1162.5</v>
      </c>
      <c r="N210" s="58">
        <f t="shared" si="46"/>
        <v>1007.5</v>
      </c>
      <c r="O210" s="58">
        <f t="shared" si="47"/>
        <v>750</v>
      </c>
      <c r="P210" s="58">
        <f t="shared" si="48"/>
        <v>1231.8181818181818</v>
      </c>
      <c r="Q210" s="60">
        <f t="shared" si="49"/>
        <v>3.871428571428571</v>
      </c>
      <c r="R210" s="58">
        <f t="shared" si="50"/>
        <v>769.31818181818176</v>
      </c>
      <c r="S210" s="58">
        <f t="shared" si="51"/>
        <v>624.31818181818176</v>
      </c>
      <c r="T210" s="58">
        <f t="shared" si="52"/>
        <v>481.81818181818181</v>
      </c>
      <c r="U210" s="60">
        <f t="shared" si="53"/>
        <v>2.4178571428571427</v>
      </c>
      <c r="V210" s="60">
        <f t="shared" si="54"/>
        <v>1.962142857142857</v>
      </c>
      <c r="W210" s="60">
        <f t="shared" si="55"/>
        <v>1.5142857142857142</v>
      </c>
      <c r="X210" s="61"/>
      <c r="Y210" s="1"/>
      <c r="Z210" s="1"/>
    </row>
    <row r="211" spans="1:26" ht="15.75" customHeight="1">
      <c r="A211" s="54"/>
      <c r="B211" s="162"/>
      <c r="C211" s="33"/>
      <c r="D211" s="65" t="s">
        <v>1343</v>
      </c>
      <c r="E211" s="65" t="s">
        <v>607</v>
      </c>
      <c r="F211" s="66" t="s">
        <v>1055</v>
      </c>
      <c r="G211" s="57" t="s">
        <v>1344</v>
      </c>
      <c r="H211" s="58">
        <v>18000</v>
      </c>
      <c r="I211" s="58">
        <f t="shared" si="42"/>
        <v>12600</v>
      </c>
      <c r="J211" s="58">
        <f t="shared" si="43"/>
        <v>318.18181818181819</v>
      </c>
      <c r="K211" s="58">
        <v>1500</v>
      </c>
      <c r="L211" s="59">
        <f t="shared" si="44"/>
        <v>1550</v>
      </c>
      <c r="M211" s="58">
        <f t="shared" si="45"/>
        <v>1087.5</v>
      </c>
      <c r="N211" s="58">
        <f t="shared" si="46"/>
        <v>942.5</v>
      </c>
      <c r="O211" s="58">
        <f t="shared" si="47"/>
        <v>800</v>
      </c>
      <c r="P211" s="58">
        <f t="shared" si="48"/>
        <v>1068.1818181818182</v>
      </c>
      <c r="Q211" s="60">
        <f t="shared" si="49"/>
        <v>2.7976190476190479</v>
      </c>
      <c r="R211" s="58">
        <f t="shared" si="50"/>
        <v>780.68181818181824</v>
      </c>
      <c r="S211" s="58">
        <f t="shared" si="51"/>
        <v>625.68181818181824</v>
      </c>
      <c r="T211" s="58">
        <f t="shared" si="52"/>
        <v>368.18181818181819</v>
      </c>
      <c r="U211" s="60">
        <f t="shared" si="53"/>
        <v>2.0446428571428572</v>
      </c>
      <c r="V211" s="60">
        <f t="shared" si="54"/>
        <v>1.6386904761904764</v>
      </c>
      <c r="W211" s="60">
        <f t="shared" si="55"/>
        <v>0.9642857142857143</v>
      </c>
      <c r="X211" s="83">
        <v>44258</v>
      </c>
      <c r="Y211" s="1"/>
      <c r="Z211" s="1"/>
    </row>
    <row r="212" spans="1:26" ht="15.75" customHeight="1">
      <c r="A212" s="54"/>
      <c r="B212" s="161"/>
      <c r="C212" s="33"/>
      <c r="D212" s="65" t="s">
        <v>1345</v>
      </c>
      <c r="E212" s="65" t="s">
        <v>607</v>
      </c>
      <c r="F212" s="66" t="s">
        <v>1055</v>
      </c>
      <c r="G212" s="57" t="s">
        <v>1346</v>
      </c>
      <c r="H212" s="58">
        <v>18000</v>
      </c>
      <c r="I212" s="58">
        <f t="shared" si="42"/>
        <v>12600</v>
      </c>
      <c r="J212" s="58">
        <f t="shared" si="43"/>
        <v>381.81818181818181</v>
      </c>
      <c r="K212" s="58">
        <v>1500</v>
      </c>
      <c r="L212" s="59">
        <f t="shared" si="44"/>
        <v>1450</v>
      </c>
      <c r="M212" s="58">
        <f t="shared" si="45"/>
        <v>1162.5</v>
      </c>
      <c r="N212" s="58">
        <f t="shared" si="46"/>
        <v>1007.5</v>
      </c>
      <c r="O212" s="58">
        <f t="shared" si="47"/>
        <v>750</v>
      </c>
      <c r="P212" s="58">
        <f t="shared" si="48"/>
        <v>1231.8181818181818</v>
      </c>
      <c r="Q212" s="60">
        <f t="shared" si="49"/>
        <v>3.871428571428571</v>
      </c>
      <c r="R212" s="58">
        <f t="shared" si="50"/>
        <v>769.31818181818176</v>
      </c>
      <c r="S212" s="58">
        <f t="shared" si="51"/>
        <v>624.31818181818176</v>
      </c>
      <c r="T212" s="58">
        <f t="shared" si="52"/>
        <v>481.81818181818181</v>
      </c>
      <c r="U212" s="60">
        <f t="shared" si="53"/>
        <v>2.4178571428571427</v>
      </c>
      <c r="V212" s="60">
        <f t="shared" si="54"/>
        <v>1.962142857142857</v>
      </c>
      <c r="W212" s="60">
        <f t="shared" si="55"/>
        <v>1.5142857142857142</v>
      </c>
      <c r="X212" s="83">
        <v>44396</v>
      </c>
      <c r="Y212" s="1"/>
      <c r="Z212" s="1"/>
    </row>
    <row r="213" spans="1:26" ht="15.75" customHeight="1">
      <c r="A213" s="54"/>
      <c r="B213" s="161"/>
      <c r="C213" s="33"/>
      <c r="D213" s="65" t="s">
        <v>1345</v>
      </c>
      <c r="E213" s="65" t="s">
        <v>68</v>
      </c>
      <c r="F213" s="66" t="s">
        <v>1055</v>
      </c>
      <c r="G213" s="57" t="s">
        <v>1347</v>
      </c>
      <c r="H213" s="58">
        <v>22000</v>
      </c>
      <c r="I213" s="58">
        <f t="shared" si="42"/>
        <v>12600</v>
      </c>
      <c r="J213" s="58">
        <f t="shared" si="43"/>
        <v>381.81818181818181</v>
      </c>
      <c r="K213" s="58">
        <v>1600</v>
      </c>
      <c r="L213" s="59">
        <f t="shared" si="44"/>
        <v>1450</v>
      </c>
      <c r="M213" s="58">
        <f t="shared" si="45"/>
        <v>1087.5</v>
      </c>
      <c r="N213" s="58">
        <f t="shared" si="46"/>
        <v>942.5</v>
      </c>
      <c r="O213" s="58">
        <f t="shared" si="47"/>
        <v>750</v>
      </c>
      <c r="P213" s="58">
        <f t="shared" si="48"/>
        <v>1068.1818181818182</v>
      </c>
      <c r="Q213" s="60">
        <f t="shared" si="49"/>
        <v>2.7976190476190479</v>
      </c>
      <c r="R213" s="58">
        <f t="shared" si="50"/>
        <v>780.68181818181824</v>
      </c>
      <c r="S213" s="58">
        <f t="shared" si="51"/>
        <v>625.68181818181824</v>
      </c>
      <c r="T213" s="58">
        <f t="shared" si="52"/>
        <v>368.18181818181819</v>
      </c>
      <c r="U213" s="60">
        <f t="shared" si="53"/>
        <v>2.0446428571428572</v>
      </c>
      <c r="V213" s="60">
        <f t="shared" si="54"/>
        <v>1.6386904761904764</v>
      </c>
      <c r="W213" s="60">
        <f t="shared" si="55"/>
        <v>0.9642857142857143</v>
      </c>
      <c r="X213" s="83"/>
      <c r="Y213" s="1"/>
      <c r="Z213" s="1"/>
    </row>
    <row r="214" spans="1:26" ht="15.75" customHeight="1">
      <c r="A214" s="54"/>
      <c r="B214" s="162"/>
      <c r="C214" s="33"/>
      <c r="D214" s="55" t="s">
        <v>1349</v>
      </c>
      <c r="E214" s="55" t="s">
        <v>607</v>
      </c>
      <c r="F214" s="56" t="s">
        <v>1007</v>
      </c>
      <c r="G214" s="57" t="s">
        <v>1350</v>
      </c>
      <c r="H214" s="58">
        <v>16000</v>
      </c>
      <c r="I214" s="58">
        <f t="shared" si="42"/>
        <v>15399.999999999998</v>
      </c>
      <c r="J214" s="58">
        <f t="shared" si="43"/>
        <v>381.81818181818181</v>
      </c>
      <c r="K214" s="58">
        <v>1500</v>
      </c>
      <c r="L214" s="59">
        <f t="shared" si="44"/>
        <v>1550</v>
      </c>
      <c r="M214" s="58">
        <f t="shared" si="45"/>
        <v>1087.5</v>
      </c>
      <c r="N214" s="58">
        <f t="shared" si="46"/>
        <v>942.5</v>
      </c>
      <c r="O214" s="58">
        <f t="shared" si="47"/>
        <v>800</v>
      </c>
      <c r="P214" s="58">
        <f t="shared" si="48"/>
        <v>1068.1818181818182</v>
      </c>
      <c r="Q214" s="60">
        <f t="shared" si="49"/>
        <v>2.7976190476190479</v>
      </c>
      <c r="R214" s="58">
        <f t="shared" si="50"/>
        <v>705.68181818181824</v>
      </c>
      <c r="S214" s="58">
        <f t="shared" si="51"/>
        <v>560.68181818181824</v>
      </c>
      <c r="T214" s="58">
        <f t="shared" si="52"/>
        <v>368.18181818181819</v>
      </c>
      <c r="U214" s="60">
        <f t="shared" si="53"/>
        <v>1.8482142857142858</v>
      </c>
      <c r="V214" s="60">
        <f t="shared" si="54"/>
        <v>1.4684523809523811</v>
      </c>
      <c r="W214" s="60">
        <f t="shared" si="55"/>
        <v>0.9642857142857143</v>
      </c>
      <c r="X214" s="61" t="s">
        <v>39</v>
      </c>
      <c r="Y214" s="1"/>
      <c r="Z214" s="1"/>
    </row>
    <row r="215" spans="1:26" ht="15.75" customHeight="1">
      <c r="A215" s="54"/>
      <c r="B215" s="161"/>
      <c r="C215" s="33"/>
      <c r="D215" s="55" t="s">
        <v>1349</v>
      </c>
      <c r="E215" s="55" t="s">
        <v>68</v>
      </c>
      <c r="F215" s="56" t="s">
        <v>1007</v>
      </c>
      <c r="G215" s="57" t="s">
        <v>1351</v>
      </c>
      <c r="H215" s="58">
        <v>18000</v>
      </c>
      <c r="I215" s="58">
        <f t="shared" si="42"/>
        <v>11200</v>
      </c>
      <c r="J215" s="58">
        <f t="shared" si="43"/>
        <v>466.66666666666663</v>
      </c>
      <c r="K215" s="58">
        <v>1600</v>
      </c>
      <c r="L215" s="59">
        <f t="shared" si="44"/>
        <v>1450</v>
      </c>
      <c r="M215" s="58">
        <f t="shared" si="45"/>
        <v>1162.5</v>
      </c>
      <c r="N215" s="58">
        <f t="shared" si="46"/>
        <v>1007.5</v>
      </c>
      <c r="O215" s="58">
        <f t="shared" si="47"/>
        <v>750</v>
      </c>
      <c r="P215" s="58">
        <f t="shared" si="48"/>
        <v>1168.1818181818182</v>
      </c>
      <c r="Q215" s="60">
        <f t="shared" si="49"/>
        <v>3.0595238095238098</v>
      </c>
      <c r="R215" s="58">
        <f t="shared" si="50"/>
        <v>705.68181818181824</v>
      </c>
      <c r="S215" s="58">
        <f t="shared" si="51"/>
        <v>560.68181818181824</v>
      </c>
      <c r="T215" s="58">
        <f t="shared" si="52"/>
        <v>418.18181818181819</v>
      </c>
      <c r="U215" s="60">
        <f t="shared" si="53"/>
        <v>1.8482142857142858</v>
      </c>
      <c r="V215" s="60">
        <f t="shared" si="54"/>
        <v>1.4684523809523811</v>
      </c>
      <c r="W215" s="60">
        <f t="shared" si="55"/>
        <v>1.0952380952380953</v>
      </c>
      <c r="X215" s="61" t="s">
        <v>39</v>
      </c>
      <c r="Y215" s="1"/>
      <c r="Z215" s="1"/>
    </row>
    <row r="216" spans="1:26" ht="15.75" customHeight="1">
      <c r="A216" s="54"/>
      <c r="B216" s="125"/>
      <c r="C216" s="33"/>
      <c r="D216" s="55" t="s">
        <v>1352</v>
      </c>
      <c r="E216" s="55" t="s">
        <v>607</v>
      </c>
      <c r="F216" s="56" t="s">
        <v>1007</v>
      </c>
      <c r="G216" s="57" t="s">
        <v>1353</v>
      </c>
      <c r="H216" s="58">
        <v>12000</v>
      </c>
      <c r="I216" s="58">
        <f t="shared" si="42"/>
        <v>12600</v>
      </c>
      <c r="J216" s="58">
        <f t="shared" si="43"/>
        <v>339.39393939393938</v>
      </c>
      <c r="K216" s="58">
        <v>1500</v>
      </c>
      <c r="L216" s="59">
        <f t="shared" si="44"/>
        <v>1550</v>
      </c>
      <c r="M216" s="58">
        <f t="shared" si="45"/>
        <v>1087.5</v>
      </c>
      <c r="N216" s="58">
        <f t="shared" si="46"/>
        <v>942.5</v>
      </c>
      <c r="O216" s="58">
        <f t="shared" si="47"/>
        <v>800</v>
      </c>
      <c r="P216" s="58">
        <f t="shared" si="48"/>
        <v>983.33333333333337</v>
      </c>
      <c r="Q216" s="60">
        <f t="shared" si="49"/>
        <v>2.1071428571428572</v>
      </c>
      <c r="R216" s="58">
        <f t="shared" si="50"/>
        <v>695.83333333333337</v>
      </c>
      <c r="S216" s="58">
        <f t="shared" si="51"/>
        <v>540.83333333333337</v>
      </c>
      <c r="T216" s="58">
        <f t="shared" si="52"/>
        <v>283.33333333333337</v>
      </c>
      <c r="U216" s="60">
        <f t="shared" si="53"/>
        <v>1.4910714285714288</v>
      </c>
      <c r="V216" s="60">
        <f t="shared" si="54"/>
        <v>1.1589285714285715</v>
      </c>
      <c r="W216" s="60">
        <f t="shared" si="55"/>
        <v>0.60714285714285732</v>
      </c>
      <c r="X216" s="61"/>
      <c r="Y216" s="1"/>
      <c r="Z216" s="1"/>
    </row>
    <row r="217" spans="1:26" ht="15.75" customHeight="1">
      <c r="A217" s="54"/>
      <c r="B217" s="75" t="s">
        <v>1354</v>
      </c>
      <c r="C217" s="84"/>
      <c r="D217" s="55" t="s">
        <v>1355</v>
      </c>
      <c r="E217" s="55" t="s">
        <v>1026</v>
      </c>
      <c r="F217" s="56" t="s">
        <v>1007</v>
      </c>
      <c r="G217" s="57" t="s">
        <v>1356</v>
      </c>
      <c r="H217" s="58">
        <v>16000</v>
      </c>
      <c r="I217" s="58">
        <f t="shared" si="42"/>
        <v>8400</v>
      </c>
      <c r="J217" s="58">
        <f t="shared" si="43"/>
        <v>381.81818181818181</v>
      </c>
      <c r="K217" s="58">
        <v>1400</v>
      </c>
      <c r="L217" s="59">
        <f t="shared" si="44"/>
        <v>1450</v>
      </c>
      <c r="M217" s="58">
        <f t="shared" si="45"/>
        <v>1162.5</v>
      </c>
      <c r="N217" s="58">
        <f t="shared" si="46"/>
        <v>1007.5</v>
      </c>
      <c r="O217" s="58">
        <f t="shared" si="47"/>
        <v>750</v>
      </c>
      <c r="P217" s="58">
        <f t="shared" si="48"/>
        <v>1210.6060606060605</v>
      </c>
      <c r="Q217" s="60">
        <f t="shared" si="49"/>
        <v>3.5669642857142856</v>
      </c>
      <c r="R217" s="58">
        <f t="shared" si="50"/>
        <v>748.10606060606062</v>
      </c>
      <c r="S217" s="58">
        <f t="shared" si="51"/>
        <v>603.10606060606062</v>
      </c>
      <c r="T217" s="58">
        <f t="shared" si="52"/>
        <v>460.60606060606062</v>
      </c>
      <c r="U217" s="60">
        <f t="shared" si="53"/>
        <v>2.2042410714285716</v>
      </c>
      <c r="V217" s="60">
        <f t="shared" si="54"/>
        <v>1.7770089285714288</v>
      </c>
      <c r="W217" s="60">
        <f t="shared" si="55"/>
        <v>1.3571428571428572</v>
      </c>
      <c r="X217" s="61" t="s">
        <v>198</v>
      </c>
      <c r="Y217" s="1"/>
      <c r="Z217" s="1"/>
    </row>
    <row r="218" spans="1:26" ht="15.75" customHeight="1">
      <c r="A218" s="54"/>
      <c r="B218" s="75" t="s">
        <v>1357</v>
      </c>
      <c r="C218" s="69"/>
      <c r="D218" s="55" t="s">
        <v>1358</v>
      </c>
      <c r="E218" s="55" t="s">
        <v>1359</v>
      </c>
      <c r="F218" s="56" t="s">
        <v>1014</v>
      </c>
      <c r="G218" s="57" t="s">
        <v>1360</v>
      </c>
      <c r="H218" s="58">
        <v>25000</v>
      </c>
      <c r="I218" s="58">
        <f t="shared" si="42"/>
        <v>11200</v>
      </c>
      <c r="J218" s="58">
        <f t="shared" si="43"/>
        <v>254.54545454545453</v>
      </c>
      <c r="K218" s="58">
        <v>2200</v>
      </c>
      <c r="L218" s="59">
        <f t="shared" si="44"/>
        <v>1350</v>
      </c>
      <c r="M218" s="58">
        <f t="shared" si="45"/>
        <v>1087.5</v>
      </c>
      <c r="N218" s="58">
        <f t="shared" si="46"/>
        <v>942.5</v>
      </c>
      <c r="O218" s="58">
        <f t="shared" si="47"/>
        <v>700</v>
      </c>
      <c r="P218" s="58">
        <f t="shared" si="48"/>
        <v>1068.1818181818182</v>
      </c>
      <c r="Q218" s="60">
        <f t="shared" si="49"/>
        <v>2.7976190476190479</v>
      </c>
      <c r="R218" s="58">
        <f t="shared" si="50"/>
        <v>780.68181818181824</v>
      </c>
      <c r="S218" s="58">
        <f t="shared" si="51"/>
        <v>625.68181818181824</v>
      </c>
      <c r="T218" s="58">
        <f t="shared" si="52"/>
        <v>368.18181818181819</v>
      </c>
      <c r="U218" s="60">
        <f t="shared" si="53"/>
        <v>2.0446428571428572</v>
      </c>
      <c r="V218" s="60">
        <f t="shared" si="54"/>
        <v>1.6386904761904764</v>
      </c>
      <c r="W218" s="60">
        <f t="shared" si="55"/>
        <v>0.9642857142857143</v>
      </c>
      <c r="X218" s="61" t="s">
        <v>199</v>
      </c>
      <c r="Y218" s="1"/>
      <c r="Z218" s="1"/>
    </row>
    <row r="219" spans="1:26" ht="15.75" customHeight="1">
      <c r="A219" s="54"/>
      <c r="B219" s="160" t="s">
        <v>916</v>
      </c>
      <c r="C219" s="84"/>
      <c r="D219" s="55" t="s">
        <v>1361</v>
      </c>
      <c r="E219" s="55" t="s">
        <v>607</v>
      </c>
      <c r="F219" s="56" t="s">
        <v>1055</v>
      </c>
      <c r="G219" s="57" t="s">
        <v>1362</v>
      </c>
      <c r="H219" s="58">
        <v>38000</v>
      </c>
      <c r="I219" s="58">
        <f t="shared" si="42"/>
        <v>17500</v>
      </c>
      <c r="J219" s="58">
        <f t="shared" si="43"/>
        <v>339.39393939393938</v>
      </c>
      <c r="K219" s="58">
        <v>5200</v>
      </c>
      <c r="L219" s="59">
        <f t="shared" si="44"/>
        <v>2150</v>
      </c>
      <c r="M219" s="58">
        <f t="shared" si="45"/>
        <v>1012.5</v>
      </c>
      <c r="N219" s="58">
        <f t="shared" si="46"/>
        <v>877.5</v>
      </c>
      <c r="O219" s="58">
        <f t="shared" si="47"/>
        <v>1100</v>
      </c>
      <c r="P219" s="58">
        <f t="shared" si="48"/>
        <v>1095.4545454545455</v>
      </c>
      <c r="Q219" s="60">
        <f t="shared" si="49"/>
        <v>4.3035714285714288</v>
      </c>
      <c r="R219" s="58">
        <f t="shared" si="50"/>
        <v>832.9545454545455</v>
      </c>
      <c r="S219" s="58">
        <f t="shared" si="51"/>
        <v>687.9545454545455</v>
      </c>
      <c r="T219" s="58">
        <f t="shared" si="52"/>
        <v>445.4545454545455</v>
      </c>
      <c r="U219" s="60">
        <f t="shared" si="53"/>
        <v>3.2723214285714288</v>
      </c>
      <c r="V219" s="60">
        <f t="shared" si="54"/>
        <v>2.7026785714285717</v>
      </c>
      <c r="W219" s="60">
        <f t="shared" si="55"/>
        <v>1.7500000000000002</v>
      </c>
      <c r="X219" s="61"/>
      <c r="Y219" s="1"/>
      <c r="Z219" s="1"/>
    </row>
    <row r="220" spans="1:26" ht="15.75" customHeight="1">
      <c r="A220" s="54"/>
      <c r="B220" s="162"/>
      <c r="C220" s="43"/>
      <c r="D220" s="55" t="s">
        <v>1361</v>
      </c>
      <c r="E220" s="55" t="s">
        <v>68</v>
      </c>
      <c r="F220" s="56"/>
      <c r="G220" s="57"/>
      <c r="H220" s="58">
        <v>45000</v>
      </c>
      <c r="I220" s="58">
        <f t="shared" si="42"/>
        <v>26600</v>
      </c>
      <c r="J220" s="58">
        <f t="shared" si="43"/>
        <v>530.30303030303025</v>
      </c>
      <c r="K220" s="58">
        <v>6500</v>
      </c>
      <c r="L220" s="59">
        <f t="shared" si="44"/>
        <v>5150</v>
      </c>
      <c r="M220" s="58">
        <f t="shared" si="45"/>
        <v>1612.5</v>
      </c>
      <c r="N220" s="58">
        <f t="shared" si="46"/>
        <v>1397.5</v>
      </c>
      <c r="O220" s="58">
        <f t="shared" si="47"/>
        <v>2600</v>
      </c>
      <c r="P220" s="58">
        <f t="shared" si="48"/>
        <v>1810.6060606060605</v>
      </c>
      <c r="Q220" s="60">
        <f t="shared" si="49"/>
        <v>5.3348214285714288</v>
      </c>
      <c r="R220" s="58">
        <f t="shared" si="50"/>
        <v>673.10606060606062</v>
      </c>
      <c r="S220" s="58">
        <f t="shared" si="51"/>
        <v>538.10606060606062</v>
      </c>
      <c r="T220" s="58">
        <f t="shared" si="52"/>
        <v>760.60606060606062</v>
      </c>
      <c r="U220" s="60">
        <f t="shared" si="53"/>
        <v>1.9832589285714288</v>
      </c>
      <c r="V220" s="60">
        <f t="shared" si="54"/>
        <v>1.5854910714285715</v>
      </c>
      <c r="W220" s="60">
        <f t="shared" si="55"/>
        <v>2.2410714285714288</v>
      </c>
      <c r="X220" s="61"/>
      <c r="Y220" s="1"/>
      <c r="Z220" s="1"/>
    </row>
    <row r="221" spans="1:26" ht="15.75" customHeight="1">
      <c r="A221" s="54"/>
      <c r="B221" s="162"/>
      <c r="C221" s="33"/>
      <c r="D221" s="55" t="s">
        <v>1361</v>
      </c>
      <c r="E221" s="55" t="s">
        <v>1364</v>
      </c>
      <c r="F221" s="56"/>
      <c r="G221" s="57"/>
      <c r="H221" s="58">
        <v>55000</v>
      </c>
      <c r="I221" s="58">
        <f t="shared" si="42"/>
        <v>31499.999999999996</v>
      </c>
      <c r="J221" s="58">
        <f t="shared" si="43"/>
        <v>806.06060606060601</v>
      </c>
      <c r="K221" s="58">
        <v>6500</v>
      </c>
      <c r="L221" s="59">
        <f t="shared" si="44"/>
        <v>6450</v>
      </c>
      <c r="M221" s="58">
        <f t="shared" si="45"/>
        <v>3862.5</v>
      </c>
      <c r="N221" s="58">
        <f t="shared" si="46"/>
        <v>3347.5</v>
      </c>
      <c r="O221" s="58">
        <f t="shared" si="47"/>
        <v>3250</v>
      </c>
      <c r="P221" s="58">
        <f t="shared" si="48"/>
        <v>4619.69696969697</v>
      </c>
      <c r="Q221" s="60">
        <f t="shared" si="49"/>
        <v>8.7114285714285735</v>
      </c>
      <c r="R221" s="58">
        <f t="shared" si="50"/>
        <v>1082.1969696969697</v>
      </c>
      <c r="S221" s="58">
        <f t="shared" si="51"/>
        <v>867.19696969696975</v>
      </c>
      <c r="T221" s="58">
        <f t="shared" si="52"/>
        <v>2069.69696969697</v>
      </c>
      <c r="U221" s="60">
        <f t="shared" si="53"/>
        <v>2.0407142857142859</v>
      </c>
      <c r="V221" s="60">
        <f t="shared" si="54"/>
        <v>1.6352857142857145</v>
      </c>
      <c r="W221" s="60">
        <f t="shared" si="55"/>
        <v>3.9028571428571439</v>
      </c>
      <c r="X221" s="61"/>
      <c r="Y221" s="1"/>
      <c r="Z221" s="1"/>
    </row>
    <row r="222" spans="1:26" ht="15.75" customHeight="1">
      <c r="A222" s="54"/>
      <c r="B222" s="162"/>
      <c r="C222" s="33"/>
      <c r="D222" s="55" t="s">
        <v>926</v>
      </c>
      <c r="E222" s="55" t="s">
        <v>929</v>
      </c>
      <c r="F222" s="56" t="s">
        <v>1055</v>
      </c>
      <c r="G222" s="57"/>
      <c r="H222" s="58">
        <v>65000</v>
      </c>
      <c r="I222" s="58">
        <f t="shared" si="42"/>
        <v>38500</v>
      </c>
      <c r="J222" s="58">
        <f t="shared" si="43"/>
        <v>954.54545454545439</v>
      </c>
      <c r="K222" s="58">
        <v>5500</v>
      </c>
      <c r="L222" s="59">
        <f t="shared" si="44"/>
        <v>6450</v>
      </c>
      <c r="M222" s="58">
        <f t="shared" si="45"/>
        <v>4837.5</v>
      </c>
      <c r="N222" s="58">
        <f t="shared" si="46"/>
        <v>4192.5</v>
      </c>
      <c r="O222" s="58">
        <f t="shared" si="47"/>
        <v>3250</v>
      </c>
      <c r="P222" s="58">
        <f t="shared" si="48"/>
        <v>5643.939393939394</v>
      </c>
      <c r="Q222" s="60">
        <f t="shared" si="49"/>
        <v>7.0018796992481205</v>
      </c>
      <c r="R222" s="58">
        <f t="shared" si="50"/>
        <v>3056.439393939394</v>
      </c>
      <c r="S222" s="58">
        <f t="shared" si="51"/>
        <v>2541.439393939394</v>
      </c>
      <c r="T222" s="58">
        <f t="shared" si="52"/>
        <v>2443.939393939394</v>
      </c>
      <c r="U222" s="60">
        <f t="shared" si="53"/>
        <v>3.7918233082706769</v>
      </c>
      <c r="V222" s="60">
        <f t="shared" si="54"/>
        <v>3.1529135338345866</v>
      </c>
      <c r="W222" s="60">
        <f t="shared" si="55"/>
        <v>3.0319548872180455</v>
      </c>
      <c r="X222" s="61"/>
      <c r="Y222" s="1"/>
      <c r="Z222" s="1"/>
    </row>
    <row r="223" spans="1:26" ht="15.75" customHeight="1">
      <c r="A223" s="54"/>
      <c r="B223" s="162"/>
      <c r="C223" s="33"/>
      <c r="D223" s="55" t="s">
        <v>1365</v>
      </c>
      <c r="E223" s="55" t="s">
        <v>929</v>
      </c>
      <c r="F223" s="56" t="s">
        <v>1055</v>
      </c>
      <c r="G223" s="71" t="s">
        <v>1366</v>
      </c>
      <c r="H223" s="58">
        <v>65000</v>
      </c>
      <c r="I223" s="58">
        <f t="shared" si="42"/>
        <v>45500</v>
      </c>
      <c r="J223" s="58">
        <f t="shared" si="43"/>
        <v>1166.6666666666667</v>
      </c>
      <c r="K223" s="58">
        <v>5500</v>
      </c>
      <c r="L223" s="59">
        <f t="shared" si="44"/>
        <v>5450</v>
      </c>
      <c r="M223" s="58">
        <f t="shared" si="45"/>
        <v>4837.5</v>
      </c>
      <c r="N223" s="58">
        <f t="shared" si="46"/>
        <v>4192.5</v>
      </c>
      <c r="O223" s="58">
        <f t="shared" si="47"/>
        <v>2750</v>
      </c>
      <c r="P223" s="58">
        <f t="shared" si="48"/>
        <v>5495.454545454546</v>
      </c>
      <c r="Q223" s="60">
        <f t="shared" si="49"/>
        <v>5.7571428571428589</v>
      </c>
      <c r="R223" s="58">
        <f t="shared" si="50"/>
        <v>3882.9545454545455</v>
      </c>
      <c r="S223" s="58">
        <f t="shared" si="51"/>
        <v>3237.9545454545455</v>
      </c>
      <c r="T223" s="58">
        <f t="shared" si="52"/>
        <v>2295.4545454545455</v>
      </c>
      <c r="U223" s="60">
        <f t="shared" si="53"/>
        <v>4.0678571428571439</v>
      </c>
      <c r="V223" s="60">
        <f t="shared" si="54"/>
        <v>3.3921428571428578</v>
      </c>
      <c r="W223" s="60">
        <f t="shared" si="55"/>
        <v>2.4047619047619051</v>
      </c>
      <c r="X223" s="83">
        <v>44001</v>
      </c>
      <c r="Y223" s="1"/>
      <c r="Z223" s="1"/>
    </row>
    <row r="224" spans="1:26" ht="15.75" customHeight="1">
      <c r="A224" s="54"/>
      <c r="B224" s="162"/>
      <c r="C224" s="33"/>
      <c r="D224" s="55" t="s">
        <v>1367</v>
      </c>
      <c r="E224" s="55" t="s">
        <v>607</v>
      </c>
      <c r="F224" s="56" t="s">
        <v>1014</v>
      </c>
      <c r="G224" s="57" t="s">
        <v>1368</v>
      </c>
      <c r="H224" s="58">
        <v>22000</v>
      </c>
      <c r="I224" s="58">
        <f t="shared" si="42"/>
        <v>45500</v>
      </c>
      <c r="J224" s="58">
        <f t="shared" si="43"/>
        <v>1378.7878787878788</v>
      </c>
      <c r="K224" s="58">
        <v>7000</v>
      </c>
      <c r="L224" s="59">
        <f t="shared" si="44"/>
        <v>5450</v>
      </c>
      <c r="M224" s="58">
        <f t="shared" si="45"/>
        <v>4087.5</v>
      </c>
      <c r="N224" s="58">
        <f t="shared" si="46"/>
        <v>3542.5</v>
      </c>
      <c r="O224" s="58">
        <f t="shared" si="47"/>
        <v>2750</v>
      </c>
      <c r="P224" s="58">
        <f t="shared" si="48"/>
        <v>4283.333333333333</v>
      </c>
      <c r="Q224" s="60">
        <f t="shared" si="49"/>
        <v>3.6714285714285708</v>
      </c>
      <c r="R224" s="58">
        <f t="shared" si="50"/>
        <v>3670.833333333333</v>
      </c>
      <c r="S224" s="58">
        <f t="shared" si="51"/>
        <v>3025.833333333333</v>
      </c>
      <c r="T224" s="58">
        <f t="shared" si="52"/>
        <v>1583.3333333333333</v>
      </c>
      <c r="U224" s="60">
        <f t="shared" si="53"/>
        <v>3.1464285714285709</v>
      </c>
      <c r="V224" s="60">
        <f t="shared" si="54"/>
        <v>2.593571428571428</v>
      </c>
      <c r="W224" s="60">
        <f t="shared" si="55"/>
        <v>1.357142857142857</v>
      </c>
      <c r="X224" s="61"/>
      <c r="Y224" s="1"/>
      <c r="Z224" s="1"/>
    </row>
    <row r="225" spans="1:26" ht="15.75" customHeight="1">
      <c r="A225" s="54"/>
      <c r="B225" s="162"/>
      <c r="C225" s="33"/>
      <c r="D225" s="55">
        <v>991</v>
      </c>
      <c r="E225" s="55" t="s">
        <v>607</v>
      </c>
      <c r="F225" s="56"/>
      <c r="G225" s="57" t="s">
        <v>1369</v>
      </c>
      <c r="H225" s="85"/>
      <c r="I225" s="85">
        <f t="shared" si="42"/>
        <v>15399.999999999998</v>
      </c>
      <c r="J225" s="58">
        <f t="shared" si="43"/>
        <v>1378.7878787878788</v>
      </c>
      <c r="K225" s="58"/>
      <c r="L225" s="59">
        <f t="shared" si="44"/>
        <v>6950</v>
      </c>
      <c r="M225" s="58">
        <f t="shared" si="45"/>
        <v>4087.5</v>
      </c>
      <c r="N225" s="58">
        <f t="shared" si="46"/>
        <v>3542.5</v>
      </c>
      <c r="O225" s="58">
        <f t="shared" si="47"/>
        <v>3500</v>
      </c>
      <c r="P225" s="58">
        <f t="shared" si="48"/>
        <v>4071.212121212121</v>
      </c>
      <c r="Q225" s="60">
        <f t="shared" si="49"/>
        <v>2.9527472527472525</v>
      </c>
      <c r="R225" s="58">
        <f t="shared" si="50"/>
        <v>2708.712121212121</v>
      </c>
      <c r="S225" s="58">
        <f t="shared" si="51"/>
        <v>2163.712121212121</v>
      </c>
      <c r="T225" s="58">
        <f t="shared" si="52"/>
        <v>1371.2121212121212</v>
      </c>
      <c r="U225" s="60">
        <f t="shared" si="53"/>
        <v>1.9645604395604395</v>
      </c>
      <c r="V225" s="60">
        <f t="shared" si="54"/>
        <v>1.5692857142857142</v>
      </c>
      <c r="W225" s="60">
        <f t="shared" si="55"/>
        <v>0.99450549450549453</v>
      </c>
      <c r="X225" s="61"/>
      <c r="Y225" s="1"/>
      <c r="Z225" s="1"/>
    </row>
    <row r="226" spans="1:26" ht="15.75" customHeight="1">
      <c r="A226" s="54"/>
      <c r="B226" s="161"/>
      <c r="C226" s="33"/>
      <c r="D226" s="55" t="s">
        <v>1370</v>
      </c>
      <c r="E226" s="55" t="s">
        <v>607</v>
      </c>
      <c r="F226" s="56" t="s">
        <v>1121</v>
      </c>
      <c r="G226" s="57" t="s">
        <v>1371</v>
      </c>
      <c r="H226" s="58">
        <v>30000</v>
      </c>
      <c r="I226" s="58">
        <f t="shared" si="42"/>
        <v>0</v>
      </c>
      <c r="J226" s="58">
        <f t="shared" si="43"/>
        <v>466.66666666666663</v>
      </c>
      <c r="K226" s="58">
        <v>7500</v>
      </c>
      <c r="L226" s="59">
        <f t="shared" si="44"/>
        <v>-50</v>
      </c>
      <c r="M226" s="58">
        <f t="shared" si="45"/>
        <v>5212.5</v>
      </c>
      <c r="N226" s="58">
        <f t="shared" si="46"/>
        <v>4517.5</v>
      </c>
      <c r="O226" s="58">
        <f t="shared" si="47"/>
        <v>0</v>
      </c>
      <c r="P226" s="58">
        <f t="shared" si="48"/>
        <v>5571.212121212121</v>
      </c>
      <c r="Q226" s="60">
        <f t="shared" si="49"/>
        <v>4.0406593406593405</v>
      </c>
      <c r="R226" s="58">
        <f t="shared" si="50"/>
        <v>2708.712121212121</v>
      </c>
      <c r="S226" s="58">
        <f t="shared" si="51"/>
        <v>2163.712121212121</v>
      </c>
      <c r="T226" s="58">
        <f t="shared" si="52"/>
        <v>2121.212121212121</v>
      </c>
      <c r="U226" s="60">
        <f t="shared" si="53"/>
        <v>1.9645604395604395</v>
      </c>
      <c r="V226" s="60">
        <f t="shared" si="54"/>
        <v>1.5692857142857142</v>
      </c>
      <c r="W226" s="60">
        <f t="shared" si="55"/>
        <v>1.5384615384615383</v>
      </c>
      <c r="X226" s="61"/>
      <c r="Y226" s="1"/>
      <c r="Z226" s="1"/>
    </row>
    <row r="227" spans="1:26" ht="15.75" customHeight="1">
      <c r="A227" s="54"/>
      <c r="B227" s="161"/>
      <c r="C227" s="33"/>
      <c r="D227" s="55" t="s">
        <v>1370</v>
      </c>
      <c r="E227" s="55" t="s">
        <v>1372</v>
      </c>
      <c r="F227" s="56" t="s">
        <v>1121</v>
      </c>
      <c r="G227" s="57" t="s">
        <v>1373</v>
      </c>
      <c r="H227" s="58">
        <v>40000</v>
      </c>
      <c r="I227" s="58">
        <f t="shared" si="42"/>
        <v>21000</v>
      </c>
      <c r="J227" s="58">
        <f t="shared" si="43"/>
        <v>0</v>
      </c>
      <c r="K227" s="58">
        <v>8700</v>
      </c>
      <c r="L227" s="59">
        <f t="shared" si="44"/>
        <v>7450</v>
      </c>
      <c r="M227" s="58">
        <f t="shared" si="45"/>
        <v>-37.5</v>
      </c>
      <c r="N227" s="58">
        <f t="shared" si="46"/>
        <v>-32.5</v>
      </c>
      <c r="O227" s="58">
        <f t="shared" si="47"/>
        <v>3750</v>
      </c>
      <c r="P227" s="58">
        <f t="shared" si="48"/>
        <v>-516.66666666666663</v>
      </c>
      <c r="Q227" s="60">
        <f t="shared" si="49"/>
        <v>-1.1071428571428572</v>
      </c>
      <c r="R227" s="58">
        <f t="shared" si="50"/>
        <v>4745.833333333333</v>
      </c>
      <c r="S227" s="58">
        <f t="shared" si="51"/>
        <v>4050.8333333333335</v>
      </c>
      <c r="T227" s="58">
        <f t="shared" si="52"/>
        <v>-466.66666666666663</v>
      </c>
      <c r="U227" s="60">
        <f t="shared" si="53"/>
        <v>10.169642857142858</v>
      </c>
      <c r="V227" s="60">
        <f t="shared" si="54"/>
        <v>8.6803571428571438</v>
      </c>
      <c r="W227" s="60">
        <f t="shared" si="55"/>
        <v>-1</v>
      </c>
      <c r="X227" s="61"/>
      <c r="Y227" s="1"/>
      <c r="Z227" s="1"/>
    </row>
    <row r="228" spans="1:26" ht="15.75" customHeight="1">
      <c r="A228" s="54"/>
      <c r="B228" s="162"/>
      <c r="C228" s="43"/>
      <c r="D228" s="55" t="s">
        <v>1375</v>
      </c>
      <c r="E228" s="55" t="s">
        <v>607</v>
      </c>
      <c r="F228" s="56" t="s">
        <v>1007</v>
      </c>
      <c r="G228" s="57" t="s">
        <v>1376</v>
      </c>
      <c r="H228" s="58">
        <v>15000</v>
      </c>
      <c r="I228" s="58">
        <f t="shared" si="42"/>
        <v>28000</v>
      </c>
      <c r="J228" s="58">
        <f t="shared" si="43"/>
        <v>636.36363636363637</v>
      </c>
      <c r="K228" s="58">
        <v>1300</v>
      </c>
      <c r="L228" s="59">
        <f t="shared" si="44"/>
        <v>8650</v>
      </c>
      <c r="M228" s="58">
        <f t="shared" si="45"/>
        <v>5587.5</v>
      </c>
      <c r="N228" s="58">
        <f t="shared" si="46"/>
        <v>4842.5</v>
      </c>
      <c r="O228" s="58">
        <f t="shared" si="47"/>
        <v>4350</v>
      </c>
      <c r="P228" s="58">
        <f t="shared" si="48"/>
        <v>7450</v>
      </c>
      <c r="Q228" s="60" t="e">
        <f t="shared" si="49"/>
        <v>#DIV/0!</v>
      </c>
      <c r="R228" s="58">
        <f t="shared" si="50"/>
        <v>-37.5</v>
      </c>
      <c r="S228" s="58">
        <f t="shared" si="51"/>
        <v>-32.5</v>
      </c>
      <c r="T228" s="58">
        <f t="shared" si="52"/>
        <v>3750</v>
      </c>
      <c r="U228" s="60" t="e">
        <f t="shared" si="53"/>
        <v>#DIV/0!</v>
      </c>
      <c r="V228" s="60" t="e">
        <f t="shared" si="54"/>
        <v>#DIV/0!</v>
      </c>
      <c r="W228" s="60" t="e">
        <f t="shared" si="55"/>
        <v>#DIV/0!</v>
      </c>
      <c r="X228" s="61" t="s">
        <v>44</v>
      </c>
      <c r="Y228" s="1"/>
      <c r="Z228" s="1"/>
    </row>
    <row r="229" spans="1:26" ht="15.75" customHeight="1">
      <c r="A229" s="54"/>
      <c r="B229" s="162"/>
      <c r="C229" s="33"/>
      <c r="D229" s="55" t="s">
        <v>1375</v>
      </c>
      <c r="E229" s="55" t="s">
        <v>68</v>
      </c>
      <c r="F229" s="56" t="s">
        <v>1007</v>
      </c>
      <c r="G229" s="57" t="s">
        <v>1377</v>
      </c>
      <c r="H229" s="58">
        <v>18000</v>
      </c>
      <c r="I229" s="58">
        <f t="shared" si="42"/>
        <v>10500</v>
      </c>
      <c r="J229" s="58">
        <f t="shared" si="43"/>
        <v>848.4848484848485</v>
      </c>
      <c r="K229" s="58">
        <v>1500</v>
      </c>
      <c r="L229" s="59">
        <f t="shared" si="44"/>
        <v>1250</v>
      </c>
      <c r="M229" s="58">
        <f t="shared" si="45"/>
        <v>6487.5</v>
      </c>
      <c r="N229" s="58">
        <f t="shared" si="46"/>
        <v>5622.5</v>
      </c>
      <c r="O229" s="58">
        <f t="shared" si="47"/>
        <v>650</v>
      </c>
      <c r="P229" s="58">
        <f t="shared" si="48"/>
        <v>8013.636363636364</v>
      </c>
      <c r="Q229" s="60">
        <f t="shared" si="49"/>
        <v>12.592857142857143</v>
      </c>
      <c r="R229" s="58">
        <f t="shared" si="50"/>
        <v>4951.136363636364</v>
      </c>
      <c r="S229" s="58">
        <f t="shared" si="51"/>
        <v>4206.136363636364</v>
      </c>
      <c r="T229" s="58">
        <f t="shared" si="52"/>
        <v>3713.6363636363635</v>
      </c>
      <c r="U229" s="60">
        <f t="shared" si="53"/>
        <v>7.7803571428571434</v>
      </c>
      <c r="V229" s="60">
        <f t="shared" si="54"/>
        <v>6.6096428571428572</v>
      </c>
      <c r="W229" s="60">
        <f t="shared" si="55"/>
        <v>5.8357142857142854</v>
      </c>
      <c r="X229" s="61" t="s">
        <v>44</v>
      </c>
      <c r="Y229" s="1"/>
      <c r="Z229" s="1"/>
    </row>
    <row r="230" spans="1:26" ht="15.75" customHeight="1">
      <c r="A230" s="54"/>
      <c r="B230" s="161"/>
      <c r="C230" s="33"/>
      <c r="D230" s="55" t="s">
        <v>972</v>
      </c>
      <c r="E230" s="55" t="s">
        <v>607</v>
      </c>
      <c r="F230" s="56" t="s">
        <v>1055</v>
      </c>
      <c r="G230" s="57" t="s">
        <v>1378</v>
      </c>
      <c r="H230" s="58">
        <v>22000</v>
      </c>
      <c r="I230" s="58">
        <f t="shared" si="42"/>
        <v>12600</v>
      </c>
      <c r="J230" s="58">
        <f t="shared" si="43"/>
        <v>318.18181818181819</v>
      </c>
      <c r="K230" s="58">
        <v>1300</v>
      </c>
      <c r="L230" s="59">
        <f t="shared" si="44"/>
        <v>1450</v>
      </c>
      <c r="M230" s="58">
        <f t="shared" si="45"/>
        <v>937.5</v>
      </c>
      <c r="N230" s="58">
        <f t="shared" si="46"/>
        <v>812.5</v>
      </c>
      <c r="O230" s="58">
        <f t="shared" si="47"/>
        <v>750</v>
      </c>
      <c r="P230" s="58">
        <f t="shared" si="48"/>
        <v>401.5151515151515</v>
      </c>
      <c r="Q230" s="60">
        <f t="shared" si="49"/>
        <v>0.4732142857142857</v>
      </c>
      <c r="R230" s="58">
        <f t="shared" si="50"/>
        <v>5639.015151515152</v>
      </c>
      <c r="S230" s="58">
        <f t="shared" si="51"/>
        <v>4774.015151515152</v>
      </c>
      <c r="T230" s="58">
        <f t="shared" si="52"/>
        <v>-198.4848484848485</v>
      </c>
      <c r="U230" s="60">
        <f t="shared" si="53"/>
        <v>6.6459821428571431</v>
      </c>
      <c r="V230" s="60">
        <f t="shared" si="54"/>
        <v>5.6265178571428578</v>
      </c>
      <c r="W230" s="60">
        <f t="shared" si="55"/>
        <v>-0.23392857142857143</v>
      </c>
      <c r="X230" s="61" t="s">
        <v>59</v>
      </c>
      <c r="Y230" s="1"/>
      <c r="Z230" s="1"/>
    </row>
    <row r="231" spans="1:26" ht="15.75" customHeight="1">
      <c r="A231" s="54"/>
      <c r="B231" s="161"/>
      <c r="C231" s="69"/>
      <c r="D231" s="55" t="s">
        <v>972</v>
      </c>
      <c r="E231" s="55" t="s">
        <v>68</v>
      </c>
      <c r="F231" s="56" t="s">
        <v>1055</v>
      </c>
      <c r="G231" s="57" t="s">
        <v>1379</v>
      </c>
      <c r="H231" s="58">
        <v>25000</v>
      </c>
      <c r="I231" s="58">
        <f t="shared" si="42"/>
        <v>15399.999999999998</v>
      </c>
      <c r="J231" s="58">
        <f t="shared" si="43"/>
        <v>381.81818181818181</v>
      </c>
      <c r="K231" s="58">
        <v>1500</v>
      </c>
      <c r="L231" s="59">
        <f t="shared" si="44"/>
        <v>1250</v>
      </c>
      <c r="M231" s="58">
        <f t="shared" si="45"/>
        <v>1087.5</v>
      </c>
      <c r="N231" s="58">
        <f t="shared" si="46"/>
        <v>942.5</v>
      </c>
      <c r="O231" s="58">
        <f t="shared" si="47"/>
        <v>650</v>
      </c>
      <c r="P231" s="58">
        <f t="shared" si="48"/>
        <v>1131.8181818181818</v>
      </c>
      <c r="Q231" s="60">
        <f t="shared" si="49"/>
        <v>3.5571428571428569</v>
      </c>
      <c r="R231" s="58">
        <f t="shared" si="50"/>
        <v>619.31818181818176</v>
      </c>
      <c r="S231" s="58">
        <f t="shared" si="51"/>
        <v>494.31818181818181</v>
      </c>
      <c r="T231" s="58">
        <f t="shared" si="52"/>
        <v>431.81818181818181</v>
      </c>
      <c r="U231" s="60">
        <f t="shared" si="53"/>
        <v>1.9464285714285712</v>
      </c>
      <c r="V231" s="60">
        <f t="shared" si="54"/>
        <v>1.5535714285714286</v>
      </c>
      <c r="W231" s="60">
        <f t="shared" si="55"/>
        <v>1.3571428571428572</v>
      </c>
      <c r="X231" s="61" t="s">
        <v>59</v>
      </c>
      <c r="Y231" s="1"/>
      <c r="Z231" s="1"/>
    </row>
    <row r="232" spans="1:26" ht="15.75" customHeight="1">
      <c r="A232" s="54"/>
      <c r="B232" s="162"/>
      <c r="C232" s="43"/>
      <c r="D232" s="55" t="s">
        <v>1381</v>
      </c>
      <c r="E232" s="55" t="s">
        <v>68</v>
      </c>
      <c r="F232" s="56" t="s">
        <v>1014</v>
      </c>
      <c r="G232" s="57" t="s">
        <v>1382</v>
      </c>
      <c r="H232" s="58">
        <v>20000</v>
      </c>
      <c r="I232" s="58">
        <f t="shared" si="42"/>
        <v>17500</v>
      </c>
      <c r="J232" s="58">
        <f t="shared" si="43"/>
        <v>466.66666666666663</v>
      </c>
      <c r="K232" s="58">
        <v>1500</v>
      </c>
      <c r="L232" s="59">
        <f t="shared" si="44"/>
        <v>1450</v>
      </c>
      <c r="M232" s="58">
        <f t="shared" si="45"/>
        <v>937.5</v>
      </c>
      <c r="N232" s="58">
        <f t="shared" si="46"/>
        <v>812.5</v>
      </c>
      <c r="O232" s="58">
        <f t="shared" si="47"/>
        <v>750</v>
      </c>
      <c r="P232" s="58">
        <f t="shared" si="48"/>
        <v>868.18181818181824</v>
      </c>
      <c r="Q232" s="60">
        <f t="shared" si="49"/>
        <v>2.2738095238095242</v>
      </c>
      <c r="R232" s="58">
        <f t="shared" si="50"/>
        <v>705.68181818181824</v>
      </c>
      <c r="S232" s="58">
        <f t="shared" si="51"/>
        <v>560.68181818181824</v>
      </c>
      <c r="T232" s="58">
        <f t="shared" si="52"/>
        <v>268.18181818181819</v>
      </c>
      <c r="U232" s="60">
        <f t="shared" si="53"/>
        <v>1.8482142857142858</v>
      </c>
      <c r="V232" s="60">
        <f t="shared" si="54"/>
        <v>1.4684523809523811</v>
      </c>
      <c r="W232" s="60">
        <f t="shared" si="55"/>
        <v>0.70238095238095244</v>
      </c>
      <c r="X232" s="61" t="s">
        <v>204</v>
      </c>
      <c r="Y232" s="1"/>
      <c r="Z232" s="1"/>
    </row>
    <row r="233" spans="1:26" ht="15.75" customHeight="1">
      <c r="A233" s="54"/>
      <c r="B233" s="162"/>
      <c r="C233" s="33"/>
      <c r="D233" s="55" t="s">
        <v>1381</v>
      </c>
      <c r="E233" s="55" t="s">
        <v>1026</v>
      </c>
      <c r="F233" s="56" t="s">
        <v>1014</v>
      </c>
      <c r="G233" s="57" t="s">
        <v>1383</v>
      </c>
      <c r="H233" s="58">
        <v>20000</v>
      </c>
      <c r="I233" s="58">
        <f t="shared" si="42"/>
        <v>14000</v>
      </c>
      <c r="J233" s="58">
        <f t="shared" si="43"/>
        <v>530.30303030303025</v>
      </c>
      <c r="K233" s="58">
        <v>1500</v>
      </c>
      <c r="L233" s="59">
        <f t="shared" si="44"/>
        <v>1450</v>
      </c>
      <c r="M233" s="58">
        <f t="shared" si="45"/>
        <v>1087.5</v>
      </c>
      <c r="N233" s="58">
        <f t="shared" si="46"/>
        <v>942.5</v>
      </c>
      <c r="O233" s="58">
        <f t="shared" si="47"/>
        <v>750</v>
      </c>
      <c r="P233" s="58">
        <f t="shared" si="48"/>
        <v>983.33333333333337</v>
      </c>
      <c r="Q233" s="60">
        <f t="shared" si="49"/>
        <v>2.1071428571428572</v>
      </c>
      <c r="R233" s="58">
        <f t="shared" si="50"/>
        <v>470.83333333333337</v>
      </c>
      <c r="S233" s="58">
        <f t="shared" si="51"/>
        <v>345.83333333333337</v>
      </c>
      <c r="T233" s="58">
        <f t="shared" si="52"/>
        <v>283.33333333333337</v>
      </c>
      <c r="U233" s="60">
        <f t="shared" si="53"/>
        <v>1.0089285714285716</v>
      </c>
      <c r="V233" s="60">
        <f t="shared" si="54"/>
        <v>0.74107142857142871</v>
      </c>
      <c r="W233" s="60">
        <f t="shared" si="55"/>
        <v>0.60714285714285732</v>
      </c>
      <c r="X233" s="61" t="s">
        <v>204</v>
      </c>
      <c r="Y233" s="1"/>
      <c r="Z233" s="1"/>
    </row>
    <row r="234" spans="1:26" ht="15.75" customHeight="1">
      <c r="A234" s="54"/>
      <c r="B234" s="161"/>
      <c r="C234" s="33"/>
      <c r="D234" s="55" t="s">
        <v>1381</v>
      </c>
      <c r="E234" s="55" t="s">
        <v>1166</v>
      </c>
      <c r="F234" s="56" t="s">
        <v>1014</v>
      </c>
      <c r="G234" s="57" t="s">
        <v>1384</v>
      </c>
      <c r="H234" s="58">
        <v>20000</v>
      </c>
      <c r="I234" s="58">
        <f t="shared" si="42"/>
        <v>14000</v>
      </c>
      <c r="J234" s="58">
        <f t="shared" si="43"/>
        <v>424.24242424242425</v>
      </c>
      <c r="K234" s="58">
        <v>1500</v>
      </c>
      <c r="L234" s="59">
        <f t="shared" si="44"/>
        <v>1450</v>
      </c>
      <c r="M234" s="58">
        <f t="shared" si="45"/>
        <v>1087.5</v>
      </c>
      <c r="N234" s="58">
        <f t="shared" si="46"/>
        <v>942.5</v>
      </c>
      <c r="O234" s="58">
        <f t="shared" si="47"/>
        <v>750</v>
      </c>
      <c r="P234" s="58">
        <f t="shared" si="48"/>
        <v>919.69696969696975</v>
      </c>
      <c r="Q234" s="60">
        <f t="shared" si="49"/>
        <v>1.7342857142857144</v>
      </c>
      <c r="R234" s="58">
        <f t="shared" si="50"/>
        <v>557.19696969696975</v>
      </c>
      <c r="S234" s="58">
        <f t="shared" si="51"/>
        <v>412.19696969696975</v>
      </c>
      <c r="T234" s="58">
        <f t="shared" si="52"/>
        <v>219.69696969696975</v>
      </c>
      <c r="U234" s="60">
        <f t="shared" si="53"/>
        <v>1.0507142857142859</v>
      </c>
      <c r="V234" s="60">
        <f t="shared" si="54"/>
        <v>0.77728571428571447</v>
      </c>
      <c r="W234" s="60">
        <f t="shared" si="55"/>
        <v>0.41428571428571442</v>
      </c>
      <c r="X234" s="61" t="s">
        <v>204</v>
      </c>
      <c r="Y234" s="1"/>
      <c r="Z234" s="1"/>
    </row>
    <row r="235" spans="1:26" ht="15.75" customHeight="1">
      <c r="A235" s="54"/>
      <c r="B235" s="125"/>
      <c r="C235" s="33"/>
      <c r="D235" s="55" t="s">
        <v>1385</v>
      </c>
      <c r="E235" s="55" t="s">
        <v>68</v>
      </c>
      <c r="F235" s="56" t="s">
        <v>1007</v>
      </c>
      <c r="G235" s="57" t="s">
        <v>1386</v>
      </c>
      <c r="H235" s="58">
        <v>16000</v>
      </c>
      <c r="I235" s="58">
        <f t="shared" si="42"/>
        <v>14000</v>
      </c>
      <c r="J235" s="58">
        <f t="shared" si="43"/>
        <v>424.24242424242425</v>
      </c>
      <c r="K235" s="58">
        <v>1300</v>
      </c>
      <c r="L235" s="59">
        <f t="shared" si="44"/>
        <v>1450</v>
      </c>
      <c r="M235" s="58">
        <f t="shared" si="45"/>
        <v>1087.5</v>
      </c>
      <c r="N235" s="58">
        <f t="shared" si="46"/>
        <v>942.5</v>
      </c>
      <c r="O235" s="58">
        <f t="shared" si="47"/>
        <v>750</v>
      </c>
      <c r="P235" s="58">
        <f t="shared" si="48"/>
        <v>1025.7575757575758</v>
      </c>
      <c r="Q235" s="60">
        <f t="shared" si="49"/>
        <v>2.4178571428571427</v>
      </c>
      <c r="R235" s="58">
        <f t="shared" si="50"/>
        <v>663.25757575757575</v>
      </c>
      <c r="S235" s="58">
        <f t="shared" si="51"/>
        <v>518.25757575757575</v>
      </c>
      <c r="T235" s="58">
        <f t="shared" si="52"/>
        <v>325.75757575757575</v>
      </c>
      <c r="U235" s="60">
        <f t="shared" si="53"/>
        <v>1.563392857142857</v>
      </c>
      <c r="V235" s="60">
        <f t="shared" si="54"/>
        <v>1.2216071428571429</v>
      </c>
      <c r="W235" s="60">
        <f t="shared" si="55"/>
        <v>0.76785714285714279</v>
      </c>
      <c r="X235" s="61"/>
      <c r="Y235" s="1"/>
      <c r="Z235" s="1"/>
    </row>
    <row r="236" spans="1:26" ht="15.75" customHeight="1">
      <c r="A236" s="54"/>
      <c r="B236" s="160" t="s">
        <v>1387</v>
      </c>
      <c r="C236" s="84"/>
      <c r="D236" s="55" t="s">
        <v>1388</v>
      </c>
      <c r="E236" s="55" t="s">
        <v>68</v>
      </c>
      <c r="F236" s="56" t="s">
        <v>1007</v>
      </c>
      <c r="G236" s="57" t="s">
        <v>1389</v>
      </c>
      <c r="H236" s="58">
        <v>16000</v>
      </c>
      <c r="I236" s="58">
        <f t="shared" si="42"/>
        <v>11200</v>
      </c>
      <c r="J236" s="58">
        <f t="shared" si="43"/>
        <v>424.24242424242425</v>
      </c>
      <c r="K236" s="58">
        <v>1500</v>
      </c>
      <c r="L236" s="59">
        <f t="shared" si="44"/>
        <v>1250</v>
      </c>
      <c r="M236" s="58">
        <f t="shared" si="45"/>
        <v>1087.5</v>
      </c>
      <c r="N236" s="58">
        <f t="shared" si="46"/>
        <v>942.5</v>
      </c>
      <c r="O236" s="58">
        <f t="shared" si="47"/>
        <v>650</v>
      </c>
      <c r="P236" s="58">
        <f t="shared" si="48"/>
        <v>1025.7575757575758</v>
      </c>
      <c r="Q236" s="60">
        <f t="shared" si="49"/>
        <v>2.4178571428571427</v>
      </c>
      <c r="R236" s="58">
        <f t="shared" si="50"/>
        <v>663.25757575757575</v>
      </c>
      <c r="S236" s="58">
        <f t="shared" si="51"/>
        <v>518.25757575757575</v>
      </c>
      <c r="T236" s="58">
        <f t="shared" si="52"/>
        <v>325.75757575757575</v>
      </c>
      <c r="U236" s="60">
        <f t="shared" si="53"/>
        <v>1.563392857142857</v>
      </c>
      <c r="V236" s="60">
        <f t="shared" si="54"/>
        <v>1.2216071428571429</v>
      </c>
      <c r="W236" s="60">
        <f t="shared" si="55"/>
        <v>0.76785714285714279</v>
      </c>
      <c r="X236" s="61" t="s">
        <v>39</v>
      </c>
      <c r="Y236" s="1"/>
      <c r="Z236" s="1"/>
    </row>
    <row r="237" spans="1:26" ht="15.75" customHeight="1">
      <c r="A237" s="54"/>
      <c r="B237" s="162"/>
      <c r="C237" s="43"/>
      <c r="D237" s="55" t="s">
        <v>1391</v>
      </c>
      <c r="E237" s="55" t="s">
        <v>607</v>
      </c>
      <c r="F237" s="56" t="s">
        <v>1007</v>
      </c>
      <c r="G237" s="57" t="s">
        <v>1392</v>
      </c>
      <c r="H237" s="58">
        <v>15000</v>
      </c>
      <c r="I237" s="58">
        <f t="shared" si="42"/>
        <v>11200</v>
      </c>
      <c r="J237" s="58">
        <f t="shared" si="43"/>
        <v>339.39393939393938</v>
      </c>
      <c r="K237" s="58">
        <v>1300</v>
      </c>
      <c r="L237" s="59">
        <f t="shared" si="44"/>
        <v>1450</v>
      </c>
      <c r="M237" s="58">
        <f t="shared" si="45"/>
        <v>937.5</v>
      </c>
      <c r="N237" s="58">
        <f t="shared" si="46"/>
        <v>812.5</v>
      </c>
      <c r="O237" s="58">
        <f t="shared" si="47"/>
        <v>750</v>
      </c>
      <c r="P237" s="58">
        <f t="shared" si="48"/>
        <v>825.75757575757575</v>
      </c>
      <c r="Q237" s="60">
        <f t="shared" si="49"/>
        <v>1.9464285714285714</v>
      </c>
      <c r="R237" s="58">
        <f t="shared" si="50"/>
        <v>663.25757575757575</v>
      </c>
      <c r="S237" s="58">
        <f t="shared" si="51"/>
        <v>518.25757575757575</v>
      </c>
      <c r="T237" s="58">
        <f t="shared" si="52"/>
        <v>225.75757575757575</v>
      </c>
      <c r="U237" s="60">
        <f t="shared" si="53"/>
        <v>1.563392857142857</v>
      </c>
      <c r="V237" s="60">
        <f t="shared" si="54"/>
        <v>1.2216071428571429</v>
      </c>
      <c r="W237" s="60">
        <f t="shared" si="55"/>
        <v>0.53214285714285714</v>
      </c>
      <c r="X237" s="61"/>
      <c r="Y237" s="1"/>
      <c r="Z237" s="1"/>
    </row>
    <row r="238" spans="1:26" ht="15.75" customHeight="1">
      <c r="A238" s="54"/>
      <c r="B238" s="162"/>
      <c r="C238" s="33"/>
      <c r="D238" s="55" t="s">
        <v>1391</v>
      </c>
      <c r="E238" s="55" t="s">
        <v>68</v>
      </c>
      <c r="F238" s="56" t="s">
        <v>1007</v>
      </c>
      <c r="G238" s="57" t="s">
        <v>1393</v>
      </c>
      <c r="H238" s="58">
        <v>18000</v>
      </c>
      <c r="I238" s="58">
        <f t="shared" si="42"/>
        <v>10500</v>
      </c>
      <c r="J238" s="58">
        <f t="shared" si="43"/>
        <v>339.39393939393938</v>
      </c>
      <c r="K238" s="58">
        <v>1500</v>
      </c>
      <c r="L238" s="59">
        <f t="shared" si="44"/>
        <v>1250</v>
      </c>
      <c r="M238" s="58">
        <f t="shared" si="45"/>
        <v>1087.5</v>
      </c>
      <c r="N238" s="58">
        <f t="shared" si="46"/>
        <v>942.5</v>
      </c>
      <c r="O238" s="58">
        <f t="shared" si="47"/>
        <v>650</v>
      </c>
      <c r="P238" s="58">
        <f t="shared" si="48"/>
        <v>1110.6060606060605</v>
      </c>
      <c r="Q238" s="60">
        <f t="shared" si="49"/>
        <v>3.2723214285714284</v>
      </c>
      <c r="R238" s="58">
        <f t="shared" si="50"/>
        <v>598.10606060606062</v>
      </c>
      <c r="S238" s="58">
        <f t="shared" si="51"/>
        <v>473.10606060606062</v>
      </c>
      <c r="T238" s="58">
        <f t="shared" si="52"/>
        <v>410.60606060606062</v>
      </c>
      <c r="U238" s="60">
        <f t="shared" si="53"/>
        <v>1.7622767857142858</v>
      </c>
      <c r="V238" s="60">
        <f t="shared" si="54"/>
        <v>1.3939732142857144</v>
      </c>
      <c r="W238" s="60">
        <f t="shared" si="55"/>
        <v>1.2098214285714286</v>
      </c>
      <c r="X238" s="61"/>
      <c r="Y238" s="1"/>
      <c r="Z238" s="1"/>
    </row>
    <row r="239" spans="1:26" ht="15.75" customHeight="1">
      <c r="A239" s="54"/>
      <c r="B239" s="162"/>
      <c r="C239" s="33"/>
      <c r="D239" s="55" t="s">
        <v>1394</v>
      </c>
      <c r="E239" s="55" t="s">
        <v>1395</v>
      </c>
      <c r="F239" s="56" t="s">
        <v>1055</v>
      </c>
      <c r="G239" s="57" t="s">
        <v>1396</v>
      </c>
      <c r="H239" s="58">
        <v>15000</v>
      </c>
      <c r="I239" s="58">
        <f t="shared" si="42"/>
        <v>12600</v>
      </c>
      <c r="J239" s="58">
        <f t="shared" si="43"/>
        <v>318.18181818181819</v>
      </c>
      <c r="K239" s="58">
        <v>1300</v>
      </c>
      <c r="L239" s="59">
        <f t="shared" si="44"/>
        <v>1450</v>
      </c>
      <c r="M239" s="58">
        <f t="shared" si="45"/>
        <v>937.5</v>
      </c>
      <c r="N239" s="58">
        <f t="shared" si="46"/>
        <v>812.5</v>
      </c>
      <c r="O239" s="58">
        <f t="shared" si="47"/>
        <v>750</v>
      </c>
      <c r="P239" s="58">
        <f t="shared" si="48"/>
        <v>910.60606060606062</v>
      </c>
      <c r="Q239" s="60">
        <f t="shared" si="49"/>
        <v>2.6830357142857144</v>
      </c>
      <c r="R239" s="58">
        <f t="shared" si="50"/>
        <v>748.10606060606062</v>
      </c>
      <c r="S239" s="58">
        <f t="shared" si="51"/>
        <v>603.10606060606062</v>
      </c>
      <c r="T239" s="58">
        <f t="shared" si="52"/>
        <v>310.60606060606062</v>
      </c>
      <c r="U239" s="60">
        <f t="shared" si="53"/>
        <v>2.2042410714285716</v>
      </c>
      <c r="V239" s="60">
        <f t="shared" si="54"/>
        <v>1.7770089285714288</v>
      </c>
      <c r="W239" s="60">
        <f t="shared" si="55"/>
        <v>0.91517857142857151</v>
      </c>
      <c r="X239" s="61"/>
      <c r="Y239" s="1"/>
      <c r="Z239" s="1"/>
    </row>
    <row r="240" spans="1:26" ht="15.75" customHeight="1">
      <c r="A240" s="54"/>
      <c r="B240" s="162"/>
      <c r="C240" s="33"/>
      <c r="D240" s="55" t="s">
        <v>1394</v>
      </c>
      <c r="E240" s="55" t="s">
        <v>68</v>
      </c>
      <c r="F240" s="56" t="s">
        <v>1055</v>
      </c>
      <c r="G240" s="57" t="s">
        <v>1397</v>
      </c>
      <c r="H240" s="58">
        <v>18000</v>
      </c>
      <c r="I240" s="58">
        <f t="shared" si="42"/>
        <v>10500</v>
      </c>
      <c r="J240" s="58">
        <f t="shared" si="43"/>
        <v>381.81818181818181</v>
      </c>
      <c r="K240" s="58">
        <v>1500</v>
      </c>
      <c r="L240" s="59">
        <f t="shared" si="44"/>
        <v>1250</v>
      </c>
      <c r="M240" s="58">
        <f t="shared" si="45"/>
        <v>1087.5</v>
      </c>
      <c r="N240" s="58">
        <f t="shared" si="46"/>
        <v>942.5</v>
      </c>
      <c r="O240" s="58">
        <f t="shared" si="47"/>
        <v>650</v>
      </c>
      <c r="P240" s="58">
        <f t="shared" si="48"/>
        <v>1131.8181818181818</v>
      </c>
      <c r="Q240" s="60">
        <f t="shared" si="49"/>
        <v>3.5571428571428569</v>
      </c>
      <c r="R240" s="58">
        <f t="shared" si="50"/>
        <v>619.31818181818176</v>
      </c>
      <c r="S240" s="58">
        <f t="shared" si="51"/>
        <v>494.31818181818181</v>
      </c>
      <c r="T240" s="58">
        <f t="shared" si="52"/>
        <v>431.81818181818181</v>
      </c>
      <c r="U240" s="60">
        <f t="shared" si="53"/>
        <v>1.9464285714285712</v>
      </c>
      <c r="V240" s="60">
        <f t="shared" si="54"/>
        <v>1.5535714285714286</v>
      </c>
      <c r="W240" s="60">
        <f t="shared" si="55"/>
        <v>1.3571428571428572</v>
      </c>
      <c r="X240" s="61"/>
      <c r="Y240" s="1"/>
      <c r="Z240" s="1"/>
    </row>
    <row r="241" spans="1:26" ht="15.75" customHeight="1">
      <c r="A241" s="54"/>
      <c r="B241" s="162"/>
      <c r="C241" s="33"/>
      <c r="D241" s="55" t="s">
        <v>1398</v>
      </c>
      <c r="E241" s="55" t="s">
        <v>607</v>
      </c>
      <c r="F241" s="56" t="s">
        <v>1055</v>
      </c>
      <c r="G241" s="57" t="s">
        <v>1399</v>
      </c>
      <c r="H241" s="58">
        <v>17000</v>
      </c>
      <c r="I241" s="58">
        <f t="shared" si="42"/>
        <v>12600</v>
      </c>
      <c r="J241" s="58">
        <f t="shared" si="43"/>
        <v>318.18181818181819</v>
      </c>
      <c r="K241" s="58">
        <v>1300</v>
      </c>
      <c r="L241" s="59">
        <f t="shared" si="44"/>
        <v>1450</v>
      </c>
      <c r="M241" s="58">
        <f t="shared" si="45"/>
        <v>937.5</v>
      </c>
      <c r="N241" s="58">
        <f t="shared" si="46"/>
        <v>812.5</v>
      </c>
      <c r="O241" s="58">
        <f t="shared" si="47"/>
        <v>750</v>
      </c>
      <c r="P241" s="58">
        <f t="shared" si="48"/>
        <v>868.18181818181824</v>
      </c>
      <c r="Q241" s="60">
        <f t="shared" si="49"/>
        <v>2.2738095238095242</v>
      </c>
      <c r="R241" s="58">
        <f t="shared" si="50"/>
        <v>705.68181818181824</v>
      </c>
      <c r="S241" s="58">
        <f t="shared" si="51"/>
        <v>560.68181818181824</v>
      </c>
      <c r="T241" s="58">
        <f t="shared" si="52"/>
        <v>268.18181818181819</v>
      </c>
      <c r="U241" s="60">
        <f t="shared" si="53"/>
        <v>1.8482142857142858</v>
      </c>
      <c r="V241" s="60">
        <f t="shared" si="54"/>
        <v>1.4684523809523811</v>
      </c>
      <c r="W241" s="60">
        <f t="shared" si="55"/>
        <v>0.70238095238095244</v>
      </c>
      <c r="X241" s="61"/>
      <c r="Y241" s="1"/>
      <c r="Z241" s="1"/>
    </row>
    <row r="242" spans="1:26" ht="15.75" customHeight="1">
      <c r="A242" s="54"/>
      <c r="B242" s="161"/>
      <c r="C242" s="33"/>
      <c r="D242" s="55" t="s">
        <v>1398</v>
      </c>
      <c r="E242" s="55" t="s">
        <v>68</v>
      </c>
      <c r="F242" s="56" t="s">
        <v>1055</v>
      </c>
      <c r="G242" s="57" t="s">
        <v>1400</v>
      </c>
      <c r="H242" s="58">
        <v>20000</v>
      </c>
      <c r="I242" s="58">
        <f t="shared" si="42"/>
        <v>11900</v>
      </c>
      <c r="J242" s="58">
        <f t="shared" si="43"/>
        <v>381.81818181818181</v>
      </c>
      <c r="K242" s="58">
        <v>1500</v>
      </c>
      <c r="L242" s="59">
        <f t="shared" si="44"/>
        <v>1250</v>
      </c>
      <c r="M242" s="58">
        <f t="shared" si="45"/>
        <v>1087.5</v>
      </c>
      <c r="N242" s="58">
        <f t="shared" si="46"/>
        <v>942.5</v>
      </c>
      <c r="O242" s="58">
        <f t="shared" si="47"/>
        <v>650</v>
      </c>
      <c r="P242" s="58">
        <f t="shared" si="48"/>
        <v>1131.8181818181818</v>
      </c>
      <c r="Q242" s="60">
        <f t="shared" si="49"/>
        <v>3.5571428571428569</v>
      </c>
      <c r="R242" s="58">
        <f t="shared" si="50"/>
        <v>619.31818181818176</v>
      </c>
      <c r="S242" s="58">
        <f t="shared" si="51"/>
        <v>494.31818181818181</v>
      </c>
      <c r="T242" s="58">
        <f t="shared" si="52"/>
        <v>431.81818181818181</v>
      </c>
      <c r="U242" s="60">
        <f t="shared" si="53"/>
        <v>1.9464285714285712</v>
      </c>
      <c r="V242" s="60">
        <f t="shared" si="54"/>
        <v>1.5535714285714286</v>
      </c>
      <c r="W242" s="60">
        <f t="shared" si="55"/>
        <v>1.3571428571428572</v>
      </c>
      <c r="X242" s="61"/>
      <c r="Y242" s="1"/>
      <c r="Z242" s="1"/>
    </row>
    <row r="243" spans="1:26" ht="15.75" customHeight="1">
      <c r="A243" s="54"/>
      <c r="B243" s="161"/>
      <c r="C243" s="69"/>
      <c r="D243" s="55" t="s">
        <v>1391</v>
      </c>
      <c r="E243" s="55" t="s">
        <v>68</v>
      </c>
      <c r="F243" s="56" t="s">
        <v>1007</v>
      </c>
      <c r="G243" s="57" t="s">
        <v>1393</v>
      </c>
      <c r="H243" s="58">
        <v>18000</v>
      </c>
      <c r="I243" s="58">
        <f t="shared" si="42"/>
        <v>14000</v>
      </c>
      <c r="J243" s="58">
        <f t="shared" si="43"/>
        <v>360.60606060606062</v>
      </c>
      <c r="K243" s="58">
        <v>1500</v>
      </c>
      <c r="L243" s="59">
        <f t="shared" si="44"/>
        <v>1450</v>
      </c>
      <c r="M243" s="58">
        <f t="shared" si="45"/>
        <v>937.5</v>
      </c>
      <c r="N243" s="58">
        <f t="shared" si="46"/>
        <v>812.5</v>
      </c>
      <c r="O243" s="58">
        <f t="shared" si="47"/>
        <v>750</v>
      </c>
      <c r="P243" s="58">
        <f t="shared" si="48"/>
        <v>868.18181818181824</v>
      </c>
      <c r="Q243" s="60">
        <f t="shared" si="49"/>
        <v>2.2738095238095242</v>
      </c>
      <c r="R243" s="58">
        <f t="shared" si="50"/>
        <v>705.68181818181824</v>
      </c>
      <c r="S243" s="58">
        <f t="shared" si="51"/>
        <v>560.68181818181824</v>
      </c>
      <c r="T243" s="58">
        <f t="shared" si="52"/>
        <v>268.18181818181819</v>
      </c>
      <c r="U243" s="60">
        <f t="shared" si="53"/>
        <v>1.8482142857142858</v>
      </c>
      <c r="V243" s="60">
        <f t="shared" si="54"/>
        <v>1.4684523809523811</v>
      </c>
      <c r="W243" s="60">
        <f t="shared" si="55"/>
        <v>0.70238095238095244</v>
      </c>
      <c r="X243" s="61"/>
      <c r="Y243" s="1"/>
      <c r="Z243" s="1"/>
    </row>
    <row r="244" spans="1:26" ht="15.75" customHeight="1">
      <c r="A244" s="54"/>
      <c r="B244" s="161"/>
      <c r="C244" s="33"/>
      <c r="D244" s="55" t="s">
        <v>1402</v>
      </c>
      <c r="E244" s="55" t="s">
        <v>607</v>
      </c>
      <c r="F244" s="56" t="s">
        <v>1014</v>
      </c>
      <c r="G244" s="57" t="s">
        <v>1403</v>
      </c>
      <c r="H244" s="58">
        <v>20000</v>
      </c>
      <c r="I244" s="58">
        <f t="shared" si="42"/>
        <v>12600</v>
      </c>
      <c r="J244" s="58">
        <f t="shared" si="43"/>
        <v>424.24242424242425</v>
      </c>
      <c r="K244" s="58">
        <v>1300</v>
      </c>
      <c r="L244" s="59">
        <f t="shared" si="44"/>
        <v>1450</v>
      </c>
      <c r="M244" s="58">
        <f t="shared" si="45"/>
        <v>1087.5</v>
      </c>
      <c r="N244" s="58">
        <f t="shared" si="46"/>
        <v>942.5</v>
      </c>
      <c r="O244" s="58">
        <f t="shared" si="47"/>
        <v>750</v>
      </c>
      <c r="P244" s="58">
        <f t="shared" si="48"/>
        <v>1089.3939393939395</v>
      </c>
      <c r="Q244" s="60">
        <f t="shared" si="49"/>
        <v>3.0210084033613445</v>
      </c>
      <c r="R244" s="58">
        <f t="shared" si="50"/>
        <v>576.89393939393938</v>
      </c>
      <c r="S244" s="58">
        <f t="shared" si="51"/>
        <v>451.89393939393938</v>
      </c>
      <c r="T244" s="58">
        <f t="shared" si="52"/>
        <v>389.39393939393938</v>
      </c>
      <c r="U244" s="60">
        <f t="shared" si="53"/>
        <v>1.5997899159663864</v>
      </c>
      <c r="V244" s="60">
        <f t="shared" si="54"/>
        <v>1.2531512605042017</v>
      </c>
      <c r="W244" s="60">
        <f t="shared" si="55"/>
        <v>1.0798319327731092</v>
      </c>
      <c r="X244" s="61" t="s">
        <v>21</v>
      </c>
      <c r="Y244" s="1"/>
      <c r="Z244" s="1"/>
    </row>
    <row r="245" spans="1:26" ht="15.75" customHeight="1">
      <c r="A245" s="54"/>
      <c r="B245" s="125"/>
      <c r="C245" s="33"/>
      <c r="D245" s="55" t="s">
        <v>1402</v>
      </c>
      <c r="E245" s="55" t="s">
        <v>68</v>
      </c>
      <c r="F245" s="56" t="s">
        <v>1014</v>
      </c>
      <c r="G245" s="57" t="s">
        <v>1404</v>
      </c>
      <c r="H245" s="58">
        <v>22000</v>
      </c>
      <c r="I245" s="58">
        <f t="shared" si="42"/>
        <v>14000</v>
      </c>
      <c r="J245" s="58">
        <f t="shared" si="43"/>
        <v>381.81818181818181</v>
      </c>
      <c r="K245" s="58">
        <v>1500</v>
      </c>
      <c r="L245" s="59">
        <f t="shared" si="44"/>
        <v>1250</v>
      </c>
      <c r="M245" s="58">
        <f t="shared" si="45"/>
        <v>1087.5</v>
      </c>
      <c r="N245" s="58">
        <f t="shared" si="46"/>
        <v>942.5</v>
      </c>
      <c r="O245" s="58">
        <f t="shared" si="47"/>
        <v>650</v>
      </c>
      <c r="P245" s="58">
        <f t="shared" si="48"/>
        <v>1025.7575757575758</v>
      </c>
      <c r="Q245" s="60">
        <f t="shared" si="49"/>
        <v>2.4178571428571427</v>
      </c>
      <c r="R245" s="58">
        <f t="shared" si="50"/>
        <v>663.25757575757575</v>
      </c>
      <c r="S245" s="58">
        <f t="shared" si="51"/>
        <v>518.25757575757575</v>
      </c>
      <c r="T245" s="58">
        <f t="shared" si="52"/>
        <v>325.75757575757575</v>
      </c>
      <c r="U245" s="60">
        <f t="shared" si="53"/>
        <v>1.563392857142857</v>
      </c>
      <c r="V245" s="60">
        <f t="shared" si="54"/>
        <v>1.2216071428571429</v>
      </c>
      <c r="W245" s="60">
        <f t="shared" si="55"/>
        <v>0.76785714285714279</v>
      </c>
      <c r="X245" s="61" t="s">
        <v>1405</v>
      </c>
      <c r="Y245" s="1"/>
      <c r="Z245" s="1"/>
    </row>
    <row r="246" spans="1:26" ht="15.75" customHeight="1">
      <c r="A246" s="54"/>
      <c r="B246" s="75" t="s">
        <v>1406</v>
      </c>
      <c r="C246" s="84"/>
      <c r="D246" s="55" t="s">
        <v>1407</v>
      </c>
      <c r="E246" s="55" t="s">
        <v>607</v>
      </c>
      <c r="F246" s="56" t="s">
        <v>1014</v>
      </c>
      <c r="G246" s="57" t="s">
        <v>1408</v>
      </c>
      <c r="H246" s="58">
        <v>15000</v>
      </c>
      <c r="I246" s="58">
        <f t="shared" si="42"/>
        <v>15399.999999999998</v>
      </c>
      <c r="J246" s="58">
        <f t="shared" si="43"/>
        <v>424.24242424242425</v>
      </c>
      <c r="K246" s="58">
        <v>1300</v>
      </c>
      <c r="L246" s="59">
        <f t="shared" si="44"/>
        <v>1450</v>
      </c>
      <c r="M246" s="58">
        <f t="shared" si="45"/>
        <v>937.5</v>
      </c>
      <c r="N246" s="58">
        <f t="shared" si="46"/>
        <v>812.5</v>
      </c>
      <c r="O246" s="58">
        <f t="shared" si="47"/>
        <v>750</v>
      </c>
      <c r="P246" s="58">
        <f t="shared" si="48"/>
        <v>868.18181818181824</v>
      </c>
      <c r="Q246" s="60">
        <f t="shared" si="49"/>
        <v>2.2738095238095242</v>
      </c>
      <c r="R246" s="58">
        <f t="shared" si="50"/>
        <v>705.68181818181824</v>
      </c>
      <c r="S246" s="58">
        <f t="shared" si="51"/>
        <v>560.68181818181824</v>
      </c>
      <c r="T246" s="58">
        <f t="shared" si="52"/>
        <v>268.18181818181819</v>
      </c>
      <c r="U246" s="60">
        <f t="shared" si="53"/>
        <v>1.8482142857142858</v>
      </c>
      <c r="V246" s="60">
        <f t="shared" si="54"/>
        <v>1.4684523809523811</v>
      </c>
      <c r="W246" s="60">
        <f t="shared" si="55"/>
        <v>0.70238095238095244</v>
      </c>
      <c r="X246" s="61"/>
      <c r="Y246" s="1"/>
      <c r="Z246" s="1"/>
    </row>
    <row r="247" spans="1:26" ht="15.75" customHeight="1">
      <c r="A247" s="54"/>
      <c r="B247" s="75" t="s">
        <v>1409</v>
      </c>
      <c r="C247" s="33"/>
      <c r="D247" s="55" t="s">
        <v>1410</v>
      </c>
      <c r="E247" s="55" t="s">
        <v>68</v>
      </c>
      <c r="F247" s="56" t="s">
        <v>1014</v>
      </c>
      <c r="G247" s="57" t="s">
        <v>1411</v>
      </c>
      <c r="H247" s="58">
        <v>28000</v>
      </c>
      <c r="I247" s="58">
        <f t="shared" si="42"/>
        <v>10500</v>
      </c>
      <c r="J247" s="58">
        <f t="shared" si="43"/>
        <v>466.66666666666663</v>
      </c>
      <c r="K247" s="58">
        <v>1500</v>
      </c>
      <c r="L247" s="59">
        <f t="shared" si="44"/>
        <v>1250</v>
      </c>
      <c r="M247" s="58">
        <f t="shared" si="45"/>
        <v>1087.5</v>
      </c>
      <c r="N247" s="58">
        <f t="shared" si="46"/>
        <v>942.5</v>
      </c>
      <c r="O247" s="58">
        <f t="shared" si="47"/>
        <v>650</v>
      </c>
      <c r="P247" s="58">
        <f t="shared" si="48"/>
        <v>1025.7575757575758</v>
      </c>
      <c r="Q247" s="60">
        <f t="shared" si="49"/>
        <v>2.4178571428571427</v>
      </c>
      <c r="R247" s="58">
        <f t="shared" si="50"/>
        <v>513.25757575757575</v>
      </c>
      <c r="S247" s="58">
        <f t="shared" si="51"/>
        <v>388.25757575757575</v>
      </c>
      <c r="T247" s="58">
        <f t="shared" si="52"/>
        <v>325.75757575757575</v>
      </c>
      <c r="U247" s="60">
        <f t="shared" si="53"/>
        <v>1.2098214285714286</v>
      </c>
      <c r="V247" s="60">
        <f t="shared" si="54"/>
        <v>0.9151785714285714</v>
      </c>
      <c r="W247" s="60">
        <f t="shared" si="55"/>
        <v>0.76785714285714279</v>
      </c>
      <c r="X247" s="83"/>
      <c r="Y247" s="1"/>
      <c r="Z247" s="1"/>
    </row>
    <row r="248" spans="1:26" ht="15.75" customHeight="1">
      <c r="A248" s="54"/>
      <c r="B248" s="75" t="s">
        <v>1412</v>
      </c>
      <c r="C248" s="84"/>
      <c r="D248" s="55" t="s">
        <v>1409</v>
      </c>
      <c r="E248" s="55" t="s">
        <v>607</v>
      </c>
      <c r="F248" s="56" t="s">
        <v>1007</v>
      </c>
      <c r="G248" s="57" t="s">
        <v>1413</v>
      </c>
      <c r="H248" s="58">
        <v>15000</v>
      </c>
      <c r="I248" s="58">
        <f t="shared" si="42"/>
        <v>19600</v>
      </c>
      <c r="J248" s="58">
        <f t="shared" si="43"/>
        <v>318.18181818181819</v>
      </c>
      <c r="K248" s="58">
        <v>1300</v>
      </c>
      <c r="L248" s="59">
        <f t="shared" si="44"/>
        <v>1450</v>
      </c>
      <c r="M248" s="58">
        <f t="shared" si="45"/>
        <v>937.5</v>
      </c>
      <c r="N248" s="58">
        <f t="shared" si="46"/>
        <v>812.5</v>
      </c>
      <c r="O248" s="58">
        <f t="shared" si="47"/>
        <v>750</v>
      </c>
      <c r="P248" s="58">
        <f t="shared" si="48"/>
        <v>783.33333333333337</v>
      </c>
      <c r="Q248" s="60">
        <f t="shared" si="49"/>
        <v>1.6785714285714288</v>
      </c>
      <c r="R248" s="58">
        <f t="shared" si="50"/>
        <v>620.83333333333337</v>
      </c>
      <c r="S248" s="58">
        <f t="shared" si="51"/>
        <v>475.83333333333337</v>
      </c>
      <c r="T248" s="58">
        <f t="shared" si="52"/>
        <v>183.33333333333337</v>
      </c>
      <c r="U248" s="60">
        <f t="shared" si="53"/>
        <v>1.330357142857143</v>
      </c>
      <c r="V248" s="60">
        <f t="shared" si="54"/>
        <v>1.0196428571428573</v>
      </c>
      <c r="W248" s="60">
        <f t="shared" si="55"/>
        <v>0.39285714285714296</v>
      </c>
      <c r="X248" s="61" t="s">
        <v>210</v>
      </c>
      <c r="Y248" s="1"/>
      <c r="Z248" s="1"/>
    </row>
    <row r="249" spans="1:26" ht="15.75" customHeight="1">
      <c r="A249" s="54"/>
      <c r="B249" s="75" t="s">
        <v>1414</v>
      </c>
      <c r="C249" s="84"/>
      <c r="D249" s="55" t="s">
        <v>1415</v>
      </c>
      <c r="E249" s="55" t="s">
        <v>607</v>
      </c>
      <c r="F249" s="56" t="s">
        <v>1121</v>
      </c>
      <c r="G249" s="57" t="s">
        <v>1416</v>
      </c>
      <c r="H249" s="58">
        <v>20000</v>
      </c>
      <c r="I249" s="58">
        <f t="shared" si="42"/>
        <v>10500</v>
      </c>
      <c r="J249" s="58">
        <f t="shared" si="43"/>
        <v>593.93939393939399</v>
      </c>
      <c r="K249" s="58">
        <v>1300</v>
      </c>
      <c r="L249" s="59">
        <f t="shared" si="44"/>
        <v>1250</v>
      </c>
      <c r="M249" s="58">
        <f t="shared" si="45"/>
        <v>1087.5</v>
      </c>
      <c r="N249" s="58">
        <f t="shared" si="46"/>
        <v>942.5</v>
      </c>
      <c r="O249" s="58">
        <f t="shared" si="47"/>
        <v>650</v>
      </c>
      <c r="P249" s="58">
        <f t="shared" si="48"/>
        <v>1131.8181818181818</v>
      </c>
      <c r="Q249" s="60">
        <f t="shared" si="49"/>
        <v>3.5571428571428569</v>
      </c>
      <c r="R249" s="58">
        <f t="shared" si="50"/>
        <v>619.31818181818176</v>
      </c>
      <c r="S249" s="58">
        <f t="shared" si="51"/>
        <v>494.31818181818181</v>
      </c>
      <c r="T249" s="58">
        <f t="shared" si="52"/>
        <v>431.81818181818181</v>
      </c>
      <c r="U249" s="60">
        <f t="shared" si="53"/>
        <v>1.9464285714285712</v>
      </c>
      <c r="V249" s="60">
        <f t="shared" si="54"/>
        <v>1.5535714285714286</v>
      </c>
      <c r="W249" s="60">
        <f t="shared" si="55"/>
        <v>1.3571428571428572</v>
      </c>
      <c r="X249" s="61"/>
      <c r="Y249" s="1"/>
      <c r="Z249" s="1"/>
    </row>
    <row r="250" spans="1:26" ht="15.75" customHeight="1">
      <c r="A250" s="54"/>
      <c r="B250" s="75"/>
      <c r="C250" s="84"/>
      <c r="D250" s="55" t="s">
        <v>1415</v>
      </c>
      <c r="E250" s="55" t="s">
        <v>68</v>
      </c>
      <c r="F250" s="56" t="s">
        <v>1121</v>
      </c>
      <c r="G250" s="57" t="s">
        <v>1417</v>
      </c>
      <c r="H250" s="58">
        <v>30000</v>
      </c>
      <c r="I250" s="58">
        <f t="shared" si="42"/>
        <v>14000</v>
      </c>
      <c r="J250" s="58">
        <f t="shared" si="43"/>
        <v>318.18181818181819</v>
      </c>
      <c r="K250" s="58">
        <v>1900</v>
      </c>
      <c r="L250" s="59">
        <f t="shared" si="44"/>
        <v>1250</v>
      </c>
      <c r="M250" s="58">
        <f t="shared" si="45"/>
        <v>937.5</v>
      </c>
      <c r="N250" s="58">
        <f t="shared" si="46"/>
        <v>812.5</v>
      </c>
      <c r="O250" s="58">
        <f t="shared" si="47"/>
        <v>650</v>
      </c>
      <c r="P250" s="58">
        <f t="shared" si="48"/>
        <v>656.06060606060601</v>
      </c>
      <c r="Q250" s="60">
        <f t="shared" si="49"/>
        <v>1.1045918367346936</v>
      </c>
      <c r="R250" s="58">
        <f t="shared" si="50"/>
        <v>493.56060606060601</v>
      </c>
      <c r="S250" s="58">
        <f t="shared" si="51"/>
        <v>348.56060606060601</v>
      </c>
      <c r="T250" s="58">
        <f t="shared" si="52"/>
        <v>56.060606060606005</v>
      </c>
      <c r="U250" s="60">
        <f t="shared" si="53"/>
        <v>0.83099489795918347</v>
      </c>
      <c r="V250" s="60">
        <f t="shared" si="54"/>
        <v>0.58686224489795902</v>
      </c>
      <c r="W250" s="60">
        <f t="shared" si="55"/>
        <v>9.4387755102040713E-2</v>
      </c>
      <c r="X250" s="61"/>
      <c r="Y250" s="1"/>
      <c r="Z250" s="1"/>
    </row>
    <row r="251" spans="1:26" ht="15.75" customHeight="1">
      <c r="A251" s="54"/>
      <c r="B251" s="75" t="s">
        <v>1418</v>
      </c>
      <c r="C251" s="84"/>
      <c r="D251" s="55" t="s">
        <v>1419</v>
      </c>
      <c r="E251" s="55" t="s">
        <v>607</v>
      </c>
      <c r="F251" s="56" t="s">
        <v>1014</v>
      </c>
      <c r="G251" s="57" t="s">
        <v>1420</v>
      </c>
      <c r="H251" s="58">
        <v>18000</v>
      </c>
      <c r="I251" s="58">
        <f t="shared" si="42"/>
        <v>21000</v>
      </c>
      <c r="J251" s="58">
        <f t="shared" si="43"/>
        <v>424.24242424242425</v>
      </c>
      <c r="K251" s="58">
        <v>1300</v>
      </c>
      <c r="L251" s="59">
        <f t="shared" si="44"/>
        <v>1850</v>
      </c>
      <c r="M251" s="58">
        <f t="shared" si="45"/>
        <v>937.5</v>
      </c>
      <c r="N251" s="58">
        <f t="shared" si="46"/>
        <v>812.5</v>
      </c>
      <c r="O251" s="58">
        <f t="shared" si="47"/>
        <v>950</v>
      </c>
      <c r="P251" s="58">
        <f t="shared" si="48"/>
        <v>931.81818181818176</v>
      </c>
      <c r="Q251" s="60">
        <f t="shared" si="49"/>
        <v>2.9285714285714284</v>
      </c>
      <c r="R251" s="58">
        <f t="shared" si="50"/>
        <v>619.31818181818176</v>
      </c>
      <c r="S251" s="58">
        <f t="shared" si="51"/>
        <v>494.31818181818181</v>
      </c>
      <c r="T251" s="58">
        <f t="shared" si="52"/>
        <v>331.81818181818181</v>
      </c>
      <c r="U251" s="60">
        <f t="shared" si="53"/>
        <v>1.9464285714285712</v>
      </c>
      <c r="V251" s="60">
        <f t="shared" si="54"/>
        <v>1.5535714285714286</v>
      </c>
      <c r="W251" s="60">
        <f t="shared" si="55"/>
        <v>1.0428571428571429</v>
      </c>
      <c r="X251" s="61"/>
      <c r="Y251" s="1"/>
      <c r="Z251" s="1"/>
    </row>
    <row r="252" spans="1:26" ht="15.75" customHeight="1">
      <c r="A252" s="86"/>
      <c r="B252" s="160" t="s">
        <v>15</v>
      </c>
      <c r="C252" s="84"/>
      <c r="D252" s="55" t="s">
        <v>1421</v>
      </c>
      <c r="E252" s="55" t="s">
        <v>68</v>
      </c>
      <c r="F252" s="56" t="s">
        <v>1121</v>
      </c>
      <c r="G252" s="57" t="s">
        <v>1422</v>
      </c>
      <c r="H252" s="58">
        <v>25000</v>
      </c>
      <c r="I252" s="58">
        <f t="shared" si="42"/>
        <v>12600</v>
      </c>
      <c r="J252" s="58">
        <f t="shared" si="43"/>
        <v>636.36363636363637</v>
      </c>
      <c r="K252" s="58">
        <v>1500</v>
      </c>
      <c r="L252" s="59">
        <f t="shared" si="44"/>
        <v>1250</v>
      </c>
      <c r="M252" s="58">
        <f t="shared" si="45"/>
        <v>1387.5</v>
      </c>
      <c r="N252" s="58">
        <f t="shared" si="46"/>
        <v>1202.5</v>
      </c>
      <c r="O252" s="58">
        <f t="shared" si="47"/>
        <v>650</v>
      </c>
      <c r="P252" s="58">
        <f t="shared" si="48"/>
        <v>1425.7575757575758</v>
      </c>
      <c r="Q252" s="60">
        <f t="shared" si="49"/>
        <v>3.3607142857142858</v>
      </c>
      <c r="R252" s="58">
        <f t="shared" si="50"/>
        <v>513.25757575757575</v>
      </c>
      <c r="S252" s="58">
        <f t="shared" si="51"/>
        <v>388.25757575757575</v>
      </c>
      <c r="T252" s="58">
        <f t="shared" si="52"/>
        <v>525.75757575757575</v>
      </c>
      <c r="U252" s="60">
        <f t="shared" si="53"/>
        <v>1.2098214285714286</v>
      </c>
      <c r="V252" s="60">
        <f t="shared" si="54"/>
        <v>0.9151785714285714</v>
      </c>
      <c r="W252" s="60">
        <f t="shared" si="55"/>
        <v>1.2392857142857143</v>
      </c>
      <c r="X252" s="61"/>
      <c r="Y252" s="1"/>
      <c r="Z252" s="1"/>
    </row>
    <row r="253" spans="1:26" ht="15.75" customHeight="1">
      <c r="A253" s="51" t="s">
        <v>1423</v>
      </c>
      <c r="B253" s="162"/>
      <c r="C253" s="43"/>
      <c r="D253" s="55" t="s">
        <v>1424</v>
      </c>
      <c r="E253" s="55"/>
      <c r="F253" s="56" t="s">
        <v>1425</v>
      </c>
      <c r="G253" s="57" t="s">
        <v>1426</v>
      </c>
      <c r="H253" s="58">
        <v>28000</v>
      </c>
      <c r="I253" s="58">
        <f t="shared" si="42"/>
        <v>17500</v>
      </c>
      <c r="J253" s="58">
        <f t="shared" si="43"/>
        <v>381.81818181818181</v>
      </c>
      <c r="K253" s="58">
        <v>3800</v>
      </c>
      <c r="L253" s="59">
        <f t="shared" si="44"/>
        <v>1450</v>
      </c>
      <c r="M253" s="58">
        <f t="shared" si="45"/>
        <v>937.5</v>
      </c>
      <c r="N253" s="58">
        <f t="shared" si="46"/>
        <v>812.5</v>
      </c>
      <c r="O253" s="58">
        <f t="shared" si="47"/>
        <v>750</v>
      </c>
      <c r="P253" s="58">
        <f t="shared" si="48"/>
        <v>613.63636363636363</v>
      </c>
      <c r="Q253" s="60">
        <f t="shared" si="49"/>
        <v>0.9642857142857143</v>
      </c>
      <c r="R253" s="58">
        <f t="shared" si="50"/>
        <v>751.13636363636363</v>
      </c>
      <c r="S253" s="58">
        <f t="shared" si="51"/>
        <v>566.13636363636363</v>
      </c>
      <c r="T253" s="58">
        <f t="shared" si="52"/>
        <v>13.636363636363626</v>
      </c>
      <c r="U253" s="60">
        <f t="shared" si="53"/>
        <v>1.1803571428571429</v>
      </c>
      <c r="V253" s="60">
        <f t="shared" si="54"/>
        <v>0.88964285714285707</v>
      </c>
      <c r="W253" s="60">
        <f t="shared" si="55"/>
        <v>2.1428571428571411E-2</v>
      </c>
      <c r="X253" s="61"/>
      <c r="Y253" s="1"/>
      <c r="Z253" s="1"/>
    </row>
    <row r="254" spans="1:26" ht="15.75" customHeight="1">
      <c r="A254" s="54"/>
      <c r="B254" s="162"/>
      <c r="C254" s="33"/>
      <c r="D254" s="55" t="s">
        <v>232</v>
      </c>
      <c r="E254" s="55"/>
      <c r="F254" s="56" t="s">
        <v>1425</v>
      </c>
      <c r="G254" s="57" t="s">
        <v>1427</v>
      </c>
      <c r="H254" s="58">
        <v>28000</v>
      </c>
      <c r="I254" s="58">
        <f t="shared" si="42"/>
        <v>19600</v>
      </c>
      <c r="J254" s="58">
        <f t="shared" si="43"/>
        <v>530.30303030303025</v>
      </c>
      <c r="K254" s="58">
        <v>3800</v>
      </c>
      <c r="L254" s="59">
        <f t="shared" si="44"/>
        <v>3750</v>
      </c>
      <c r="M254" s="58">
        <f t="shared" si="45"/>
        <v>1087.5</v>
      </c>
      <c r="N254" s="58">
        <f t="shared" si="46"/>
        <v>942.5</v>
      </c>
      <c r="O254" s="58">
        <f t="shared" si="47"/>
        <v>1900</v>
      </c>
      <c r="P254" s="58">
        <f t="shared" si="48"/>
        <v>1068.1818181818182</v>
      </c>
      <c r="Q254" s="60">
        <f t="shared" si="49"/>
        <v>2.7976190476190479</v>
      </c>
      <c r="R254" s="58">
        <f t="shared" si="50"/>
        <v>555.68181818181824</v>
      </c>
      <c r="S254" s="58">
        <f t="shared" si="51"/>
        <v>430.68181818181819</v>
      </c>
      <c r="T254" s="58">
        <f t="shared" si="52"/>
        <v>368.18181818181819</v>
      </c>
      <c r="U254" s="60">
        <f t="shared" si="53"/>
        <v>1.455357142857143</v>
      </c>
      <c r="V254" s="60">
        <f t="shared" si="54"/>
        <v>1.1279761904761905</v>
      </c>
      <c r="W254" s="60">
        <f t="shared" si="55"/>
        <v>0.9642857142857143</v>
      </c>
      <c r="X254" s="61"/>
      <c r="Y254" s="1"/>
      <c r="Z254" s="1"/>
    </row>
    <row r="255" spans="1:26" ht="15.75" customHeight="1">
      <c r="A255" s="54"/>
      <c r="B255" s="162"/>
      <c r="C255" s="33"/>
      <c r="D255" s="55" t="s">
        <v>1428</v>
      </c>
      <c r="E255" s="55"/>
      <c r="F255" s="56" t="s">
        <v>1425</v>
      </c>
      <c r="G255" s="57" t="s">
        <v>1429</v>
      </c>
      <c r="H255" s="58">
        <v>30000</v>
      </c>
      <c r="I255" s="58">
        <f t="shared" si="42"/>
        <v>19600</v>
      </c>
      <c r="J255" s="58">
        <f t="shared" si="43"/>
        <v>593.93939393939399</v>
      </c>
      <c r="K255" s="58">
        <v>3800</v>
      </c>
      <c r="L255" s="59">
        <f t="shared" si="44"/>
        <v>3750</v>
      </c>
      <c r="M255" s="58">
        <f t="shared" si="45"/>
        <v>2812.5</v>
      </c>
      <c r="N255" s="58">
        <f t="shared" si="46"/>
        <v>2437.5</v>
      </c>
      <c r="O255" s="58">
        <f t="shared" si="47"/>
        <v>1900</v>
      </c>
      <c r="P255" s="58">
        <f t="shared" si="48"/>
        <v>3219.69696969697</v>
      </c>
      <c r="Q255" s="60">
        <f t="shared" si="49"/>
        <v>6.0714285714285721</v>
      </c>
      <c r="R255" s="58">
        <f t="shared" si="50"/>
        <v>557.19696969696975</v>
      </c>
      <c r="S255" s="58">
        <f t="shared" si="51"/>
        <v>412.19696969696975</v>
      </c>
      <c r="T255" s="58">
        <f t="shared" si="52"/>
        <v>1369.6969696969697</v>
      </c>
      <c r="U255" s="60">
        <f t="shared" si="53"/>
        <v>1.0507142857142859</v>
      </c>
      <c r="V255" s="60">
        <f t="shared" si="54"/>
        <v>0.77728571428571447</v>
      </c>
      <c r="W255" s="60">
        <f t="shared" si="55"/>
        <v>2.5828571428571432</v>
      </c>
      <c r="X255" s="61" t="s">
        <v>214</v>
      </c>
      <c r="Y255" s="1"/>
      <c r="Z255" s="1"/>
    </row>
    <row r="256" spans="1:26" ht="15.75" customHeight="1">
      <c r="A256" s="54"/>
      <c r="B256" s="161"/>
      <c r="C256" s="33"/>
      <c r="D256" s="55" t="s">
        <v>1428</v>
      </c>
      <c r="E256" s="55" t="s">
        <v>1430</v>
      </c>
      <c r="F256" s="56" t="s">
        <v>1425</v>
      </c>
      <c r="G256" s="57" t="s">
        <v>1431</v>
      </c>
      <c r="H256" s="58">
        <v>20000</v>
      </c>
      <c r="I256" s="58">
        <f t="shared" si="42"/>
        <v>21000</v>
      </c>
      <c r="J256" s="58">
        <f t="shared" si="43"/>
        <v>593.93939393939399</v>
      </c>
      <c r="K256" s="58">
        <v>3800</v>
      </c>
      <c r="L256" s="59">
        <f t="shared" si="44"/>
        <v>3750</v>
      </c>
      <c r="M256" s="58">
        <f t="shared" si="45"/>
        <v>2812.5</v>
      </c>
      <c r="N256" s="58">
        <f t="shared" si="46"/>
        <v>2437.5</v>
      </c>
      <c r="O256" s="58">
        <f t="shared" si="47"/>
        <v>1900</v>
      </c>
      <c r="P256" s="58">
        <f t="shared" si="48"/>
        <v>3156.060606060606</v>
      </c>
      <c r="Q256" s="60">
        <f t="shared" si="49"/>
        <v>5.3137755102040813</v>
      </c>
      <c r="R256" s="58">
        <f t="shared" si="50"/>
        <v>2218.560606060606</v>
      </c>
      <c r="S256" s="58">
        <f t="shared" si="51"/>
        <v>1843.560606060606</v>
      </c>
      <c r="T256" s="58">
        <f t="shared" si="52"/>
        <v>1306.060606060606</v>
      </c>
      <c r="U256" s="60">
        <f t="shared" si="53"/>
        <v>3.735331632653061</v>
      </c>
      <c r="V256" s="60">
        <f t="shared" si="54"/>
        <v>3.1039540816326525</v>
      </c>
      <c r="W256" s="60">
        <f t="shared" si="55"/>
        <v>2.1989795918367343</v>
      </c>
      <c r="X256" s="61" t="s">
        <v>1432</v>
      </c>
      <c r="Y256" s="1"/>
      <c r="Z256" s="1"/>
    </row>
    <row r="257" spans="1:26" ht="15.75" customHeight="1">
      <c r="A257" s="54"/>
      <c r="B257" s="161"/>
      <c r="C257" s="33"/>
      <c r="D257" s="55" t="s">
        <v>1078</v>
      </c>
      <c r="E257" s="55"/>
      <c r="F257" s="56" t="s">
        <v>1425</v>
      </c>
      <c r="G257" s="57" t="s">
        <v>1433</v>
      </c>
      <c r="H257" s="58">
        <v>28000</v>
      </c>
      <c r="I257" s="58">
        <f t="shared" si="42"/>
        <v>14000</v>
      </c>
      <c r="J257" s="58">
        <f t="shared" si="43"/>
        <v>636.36363636363637</v>
      </c>
      <c r="K257" s="58">
        <v>3800</v>
      </c>
      <c r="L257" s="59">
        <f t="shared" si="44"/>
        <v>3750</v>
      </c>
      <c r="M257" s="58">
        <f t="shared" si="45"/>
        <v>2812.5</v>
      </c>
      <c r="N257" s="58">
        <f t="shared" si="46"/>
        <v>2437.5</v>
      </c>
      <c r="O257" s="58">
        <f t="shared" si="47"/>
        <v>1900</v>
      </c>
      <c r="P257" s="58">
        <f t="shared" si="48"/>
        <v>3156.060606060606</v>
      </c>
      <c r="Q257" s="60">
        <f t="shared" si="49"/>
        <v>5.3137755102040813</v>
      </c>
      <c r="R257" s="58">
        <f t="shared" si="50"/>
        <v>2218.560606060606</v>
      </c>
      <c r="S257" s="58">
        <f t="shared" si="51"/>
        <v>1843.560606060606</v>
      </c>
      <c r="T257" s="58">
        <f t="shared" si="52"/>
        <v>1306.060606060606</v>
      </c>
      <c r="U257" s="60">
        <f t="shared" si="53"/>
        <v>3.735331632653061</v>
      </c>
      <c r="V257" s="60">
        <f t="shared" si="54"/>
        <v>3.1039540816326525</v>
      </c>
      <c r="W257" s="60">
        <f t="shared" si="55"/>
        <v>2.1989795918367343</v>
      </c>
      <c r="X257" s="61" t="s">
        <v>216</v>
      </c>
      <c r="Y257" s="1"/>
      <c r="Z257" s="1"/>
    </row>
    <row r="258" spans="1:26" ht="15.75" customHeight="1">
      <c r="A258" s="54"/>
      <c r="B258" s="162"/>
      <c r="C258" s="33"/>
      <c r="D258" s="55" t="s">
        <v>450</v>
      </c>
      <c r="E258" s="55" t="s">
        <v>1434</v>
      </c>
      <c r="F258" s="56" t="s">
        <v>1425</v>
      </c>
      <c r="G258" s="74" t="s">
        <v>1435</v>
      </c>
      <c r="H258" s="58">
        <v>6500</v>
      </c>
      <c r="I258" s="58">
        <f t="shared" si="42"/>
        <v>19600</v>
      </c>
      <c r="J258" s="58">
        <f t="shared" si="43"/>
        <v>424.24242424242425</v>
      </c>
      <c r="K258" s="58">
        <v>3800</v>
      </c>
      <c r="L258" s="59">
        <f t="shared" si="44"/>
        <v>3750</v>
      </c>
      <c r="M258" s="58">
        <f t="shared" si="45"/>
        <v>2812.5</v>
      </c>
      <c r="N258" s="58">
        <f t="shared" si="46"/>
        <v>2437.5</v>
      </c>
      <c r="O258" s="58">
        <f t="shared" si="47"/>
        <v>1900</v>
      </c>
      <c r="P258" s="58">
        <f t="shared" si="48"/>
        <v>3113.6363636363635</v>
      </c>
      <c r="Q258" s="60">
        <f t="shared" si="49"/>
        <v>4.8928571428571423</v>
      </c>
      <c r="R258" s="58">
        <f t="shared" si="50"/>
        <v>2176.1363636363635</v>
      </c>
      <c r="S258" s="58">
        <f t="shared" si="51"/>
        <v>1801.1363636363635</v>
      </c>
      <c r="T258" s="58">
        <f t="shared" si="52"/>
        <v>1263.6363636363635</v>
      </c>
      <c r="U258" s="60">
        <f t="shared" si="53"/>
        <v>3.4196428571428568</v>
      </c>
      <c r="V258" s="60">
        <f t="shared" si="54"/>
        <v>2.8303571428571428</v>
      </c>
      <c r="W258" s="60">
        <f t="shared" si="55"/>
        <v>1.9857142857142855</v>
      </c>
      <c r="X258" s="61"/>
      <c r="Y258" s="1"/>
      <c r="Z258" s="1"/>
    </row>
    <row r="259" spans="1:26" ht="15.75" customHeight="1">
      <c r="A259" s="54"/>
      <c r="B259" s="162"/>
      <c r="C259" s="33"/>
      <c r="D259" s="55" t="s">
        <v>1436</v>
      </c>
      <c r="E259" s="55"/>
      <c r="F259" s="56" t="s">
        <v>1425</v>
      </c>
      <c r="G259" s="57" t="s">
        <v>1437</v>
      </c>
      <c r="H259" s="58">
        <v>28000</v>
      </c>
      <c r="I259" s="58">
        <f t="shared" si="42"/>
        <v>4550</v>
      </c>
      <c r="J259" s="58">
        <f t="shared" si="43"/>
        <v>593.93939393939399</v>
      </c>
      <c r="K259" s="58">
        <v>3800</v>
      </c>
      <c r="L259" s="59">
        <f t="shared" si="44"/>
        <v>3750</v>
      </c>
      <c r="M259" s="58">
        <f t="shared" si="45"/>
        <v>2812.5</v>
      </c>
      <c r="N259" s="58">
        <f t="shared" si="46"/>
        <v>2437.5</v>
      </c>
      <c r="O259" s="58">
        <f t="shared" si="47"/>
        <v>1900</v>
      </c>
      <c r="P259" s="58">
        <f t="shared" si="48"/>
        <v>3325.757575757576</v>
      </c>
      <c r="Q259" s="60">
        <f t="shared" si="49"/>
        <v>7.8392857142857144</v>
      </c>
      <c r="R259" s="58">
        <f t="shared" si="50"/>
        <v>2388.257575757576</v>
      </c>
      <c r="S259" s="58">
        <f t="shared" si="51"/>
        <v>2013.2575757575758</v>
      </c>
      <c r="T259" s="58">
        <f t="shared" si="52"/>
        <v>1475.7575757575758</v>
      </c>
      <c r="U259" s="60">
        <f t="shared" si="53"/>
        <v>5.6294642857142865</v>
      </c>
      <c r="V259" s="60">
        <f t="shared" si="54"/>
        <v>4.7455357142857144</v>
      </c>
      <c r="W259" s="60">
        <f t="shared" si="55"/>
        <v>3.4785714285714286</v>
      </c>
      <c r="X259" s="61"/>
      <c r="Y259" s="1"/>
      <c r="Z259" s="1"/>
    </row>
    <row r="260" spans="1:26" ht="15.75" customHeight="1">
      <c r="A260" s="54"/>
      <c r="B260" s="162"/>
      <c r="C260" s="33"/>
      <c r="D260" s="55" t="s">
        <v>501</v>
      </c>
      <c r="E260" s="55"/>
      <c r="F260" s="56" t="s">
        <v>1425</v>
      </c>
      <c r="G260" s="57" t="s">
        <v>1438</v>
      </c>
      <c r="H260" s="58">
        <v>30000</v>
      </c>
      <c r="I260" s="58">
        <f t="shared" si="42"/>
        <v>19600</v>
      </c>
      <c r="J260" s="58">
        <f t="shared" si="43"/>
        <v>137.87878787878788</v>
      </c>
      <c r="K260" s="58">
        <v>3800</v>
      </c>
      <c r="L260" s="59">
        <f t="shared" si="44"/>
        <v>3750</v>
      </c>
      <c r="M260" s="58">
        <f t="shared" si="45"/>
        <v>2812.5</v>
      </c>
      <c r="N260" s="58">
        <f t="shared" si="46"/>
        <v>2437.5</v>
      </c>
      <c r="O260" s="58">
        <f t="shared" si="47"/>
        <v>1900</v>
      </c>
      <c r="P260" s="58">
        <f t="shared" si="48"/>
        <v>3156.060606060606</v>
      </c>
      <c r="Q260" s="60">
        <f t="shared" si="49"/>
        <v>5.3137755102040813</v>
      </c>
      <c r="R260" s="58">
        <f t="shared" si="50"/>
        <v>2218.560606060606</v>
      </c>
      <c r="S260" s="58">
        <f t="shared" si="51"/>
        <v>1843.560606060606</v>
      </c>
      <c r="T260" s="58">
        <f t="shared" si="52"/>
        <v>1306.060606060606</v>
      </c>
      <c r="U260" s="60">
        <f t="shared" si="53"/>
        <v>3.735331632653061</v>
      </c>
      <c r="V260" s="60">
        <f t="shared" si="54"/>
        <v>3.1039540816326525</v>
      </c>
      <c r="W260" s="60">
        <f t="shared" si="55"/>
        <v>2.1989795918367343</v>
      </c>
      <c r="X260" s="61" t="s">
        <v>220</v>
      </c>
      <c r="Y260" s="1"/>
      <c r="Z260" s="1"/>
    </row>
    <row r="261" spans="1:26" ht="15.75" customHeight="1">
      <c r="A261" s="54"/>
      <c r="B261" s="162"/>
      <c r="C261" s="33"/>
      <c r="D261" s="55" t="s">
        <v>460</v>
      </c>
      <c r="E261" s="55"/>
      <c r="F261" s="56" t="s">
        <v>1425</v>
      </c>
      <c r="G261" s="57" t="s">
        <v>1439</v>
      </c>
      <c r="H261" s="58">
        <v>30000</v>
      </c>
      <c r="I261" s="58">
        <f t="shared" ref="I261:I324" si="56">H260*0.7</f>
        <v>21000</v>
      </c>
      <c r="J261" s="58">
        <f t="shared" ref="J261:J324" si="57">I260/33</f>
        <v>593.93939393939399</v>
      </c>
      <c r="K261" s="58">
        <v>3800</v>
      </c>
      <c r="L261" s="59">
        <f t="shared" ref="L261:L324" si="58">K260-50</f>
        <v>3750</v>
      </c>
      <c r="M261" s="58">
        <f t="shared" ref="M261:M324" si="59">L260*0.75</f>
        <v>2812.5</v>
      </c>
      <c r="N261" s="58">
        <f t="shared" ref="N261:N324" si="60">L260*0.65</f>
        <v>2437.5</v>
      </c>
      <c r="O261" s="58">
        <f t="shared" ref="O261:O324" si="61">K260*0.5</f>
        <v>1900</v>
      </c>
      <c r="P261" s="58">
        <f t="shared" ref="P261:P324" si="62">L260-J260</f>
        <v>3612.121212121212</v>
      </c>
      <c r="Q261" s="60">
        <f t="shared" ref="Q261:Q324" si="63">((L260-J260)/J260)</f>
        <v>26.197802197802197</v>
      </c>
      <c r="R261" s="58">
        <f t="shared" ref="R261:R324" si="64">M260-J260</f>
        <v>2674.621212121212</v>
      </c>
      <c r="S261" s="58">
        <f t="shared" ref="S261:S324" si="65">N260-J260</f>
        <v>2299.621212121212</v>
      </c>
      <c r="T261" s="58">
        <f t="shared" ref="T261:T324" si="66">O260-J260</f>
        <v>1762.121212121212</v>
      </c>
      <c r="U261" s="60">
        <f t="shared" ref="U261:U324" si="67">(M260-J260)/J260</f>
        <v>19.39835164835165</v>
      </c>
      <c r="V261" s="60">
        <f t="shared" ref="V261:V324" si="68">(N260-J260)/J260</f>
        <v>16.678571428571427</v>
      </c>
      <c r="W261" s="60">
        <f t="shared" ref="W261:W324" si="69">(O260-J260)/J260</f>
        <v>12.780219780219779</v>
      </c>
      <c r="X261" s="61"/>
      <c r="Y261" s="1"/>
      <c r="Z261" s="1"/>
    </row>
    <row r="262" spans="1:26" ht="15.75" customHeight="1">
      <c r="A262" s="54"/>
      <c r="B262" s="162"/>
      <c r="C262" s="33"/>
      <c r="D262" s="55" t="s">
        <v>1178</v>
      </c>
      <c r="E262" s="55" t="s">
        <v>1430</v>
      </c>
      <c r="F262" s="56" t="s">
        <v>1425</v>
      </c>
      <c r="G262" s="57" t="s">
        <v>1440</v>
      </c>
      <c r="H262" s="58">
        <v>20000</v>
      </c>
      <c r="I262" s="58">
        <f t="shared" si="56"/>
        <v>21000</v>
      </c>
      <c r="J262" s="58">
        <f t="shared" si="57"/>
        <v>636.36363636363637</v>
      </c>
      <c r="K262" s="58">
        <v>3800</v>
      </c>
      <c r="L262" s="59">
        <f t="shared" si="58"/>
        <v>3750</v>
      </c>
      <c r="M262" s="58">
        <f t="shared" si="59"/>
        <v>2812.5</v>
      </c>
      <c r="N262" s="58">
        <f t="shared" si="60"/>
        <v>2437.5</v>
      </c>
      <c r="O262" s="58">
        <f t="shared" si="61"/>
        <v>1900</v>
      </c>
      <c r="P262" s="58">
        <f t="shared" si="62"/>
        <v>3156.060606060606</v>
      </c>
      <c r="Q262" s="60">
        <f t="shared" si="63"/>
        <v>5.3137755102040813</v>
      </c>
      <c r="R262" s="58">
        <f t="shared" si="64"/>
        <v>2218.560606060606</v>
      </c>
      <c r="S262" s="58">
        <f t="shared" si="65"/>
        <v>1843.560606060606</v>
      </c>
      <c r="T262" s="58">
        <f t="shared" si="66"/>
        <v>1306.060606060606</v>
      </c>
      <c r="U262" s="60">
        <f t="shared" si="67"/>
        <v>3.735331632653061</v>
      </c>
      <c r="V262" s="60">
        <f t="shared" si="68"/>
        <v>3.1039540816326525</v>
      </c>
      <c r="W262" s="60">
        <f t="shared" si="69"/>
        <v>2.1989795918367343</v>
      </c>
      <c r="X262" s="61" t="s">
        <v>223</v>
      </c>
      <c r="Y262" s="1"/>
      <c r="Z262" s="1"/>
    </row>
    <row r="263" spans="1:26" ht="15.75" customHeight="1">
      <c r="A263" s="54"/>
      <c r="B263" s="162"/>
      <c r="C263" s="33"/>
      <c r="D263" s="55" t="s">
        <v>1178</v>
      </c>
      <c r="E263" s="55" t="s">
        <v>1441</v>
      </c>
      <c r="F263" s="56" t="s">
        <v>1442</v>
      </c>
      <c r="G263" s="57"/>
      <c r="H263" s="58">
        <v>18000</v>
      </c>
      <c r="I263" s="58">
        <f t="shared" si="56"/>
        <v>14000</v>
      </c>
      <c r="J263" s="58">
        <f t="shared" si="57"/>
        <v>636.36363636363637</v>
      </c>
      <c r="K263" s="58">
        <v>3800</v>
      </c>
      <c r="L263" s="59">
        <f t="shared" si="58"/>
        <v>3750</v>
      </c>
      <c r="M263" s="58">
        <f t="shared" si="59"/>
        <v>2812.5</v>
      </c>
      <c r="N263" s="58">
        <f t="shared" si="60"/>
        <v>2437.5</v>
      </c>
      <c r="O263" s="58">
        <f t="shared" si="61"/>
        <v>1900</v>
      </c>
      <c r="P263" s="58">
        <f t="shared" si="62"/>
        <v>3113.6363636363635</v>
      </c>
      <c r="Q263" s="60">
        <f t="shared" si="63"/>
        <v>4.8928571428571423</v>
      </c>
      <c r="R263" s="58">
        <f t="shared" si="64"/>
        <v>2176.1363636363635</v>
      </c>
      <c r="S263" s="58">
        <f t="shared" si="65"/>
        <v>1801.1363636363635</v>
      </c>
      <c r="T263" s="58">
        <f t="shared" si="66"/>
        <v>1263.6363636363635</v>
      </c>
      <c r="U263" s="60">
        <f t="shared" si="67"/>
        <v>3.4196428571428568</v>
      </c>
      <c r="V263" s="60">
        <f t="shared" si="68"/>
        <v>2.8303571428571428</v>
      </c>
      <c r="W263" s="60">
        <f t="shared" si="69"/>
        <v>1.9857142857142855</v>
      </c>
      <c r="X263" s="61" t="s">
        <v>120</v>
      </c>
      <c r="Y263" s="1"/>
      <c r="Z263" s="1"/>
    </row>
    <row r="264" spans="1:26" ht="15.75" customHeight="1">
      <c r="A264" s="54"/>
      <c r="B264" s="161"/>
      <c r="C264" s="33"/>
      <c r="D264" s="55" t="s">
        <v>1165</v>
      </c>
      <c r="E264" s="55" t="s">
        <v>1443</v>
      </c>
      <c r="F264" s="56" t="s">
        <v>1425</v>
      </c>
      <c r="G264" s="57" t="s">
        <v>1444</v>
      </c>
      <c r="H264" s="58">
        <v>20000</v>
      </c>
      <c r="I264" s="58">
        <f t="shared" si="56"/>
        <v>12600</v>
      </c>
      <c r="J264" s="58">
        <f t="shared" si="57"/>
        <v>424.24242424242425</v>
      </c>
      <c r="K264" s="58">
        <v>3800</v>
      </c>
      <c r="L264" s="59">
        <f t="shared" si="58"/>
        <v>3750</v>
      </c>
      <c r="M264" s="58">
        <f t="shared" si="59"/>
        <v>2812.5</v>
      </c>
      <c r="N264" s="58">
        <f t="shared" si="60"/>
        <v>2437.5</v>
      </c>
      <c r="O264" s="58">
        <f t="shared" si="61"/>
        <v>1900</v>
      </c>
      <c r="P264" s="58">
        <f t="shared" si="62"/>
        <v>3113.6363636363635</v>
      </c>
      <c r="Q264" s="60">
        <f t="shared" si="63"/>
        <v>4.8928571428571423</v>
      </c>
      <c r="R264" s="58">
        <f t="shared" si="64"/>
        <v>2176.1363636363635</v>
      </c>
      <c r="S264" s="58">
        <f t="shared" si="65"/>
        <v>1801.1363636363635</v>
      </c>
      <c r="T264" s="58">
        <f t="shared" si="66"/>
        <v>1263.6363636363635</v>
      </c>
      <c r="U264" s="60">
        <f t="shared" si="67"/>
        <v>3.4196428571428568</v>
      </c>
      <c r="V264" s="60">
        <f t="shared" si="68"/>
        <v>2.8303571428571428</v>
      </c>
      <c r="W264" s="60">
        <f t="shared" si="69"/>
        <v>1.9857142857142855</v>
      </c>
      <c r="X264" s="61"/>
      <c r="Y264" s="1"/>
      <c r="Z264" s="1"/>
    </row>
    <row r="265" spans="1:26" ht="15.75" customHeight="1">
      <c r="A265" s="54"/>
      <c r="B265" s="161"/>
      <c r="C265" s="33"/>
      <c r="D265" s="65" t="s">
        <v>1445</v>
      </c>
      <c r="E265" s="65" t="s">
        <v>1446</v>
      </c>
      <c r="F265" s="66" t="s">
        <v>1425</v>
      </c>
      <c r="G265" s="67" t="s">
        <v>1447</v>
      </c>
      <c r="H265" s="68">
        <v>20000</v>
      </c>
      <c r="I265" s="58">
        <f t="shared" si="56"/>
        <v>14000</v>
      </c>
      <c r="J265" s="58">
        <f t="shared" si="57"/>
        <v>381.81818181818181</v>
      </c>
      <c r="K265" s="58">
        <v>3800</v>
      </c>
      <c r="L265" s="59">
        <f t="shared" si="58"/>
        <v>3750</v>
      </c>
      <c r="M265" s="58">
        <f t="shared" si="59"/>
        <v>2812.5</v>
      </c>
      <c r="N265" s="58">
        <f t="shared" si="60"/>
        <v>2437.5</v>
      </c>
      <c r="O265" s="58">
        <f t="shared" si="61"/>
        <v>1900</v>
      </c>
      <c r="P265" s="58">
        <f t="shared" si="62"/>
        <v>3325.757575757576</v>
      </c>
      <c r="Q265" s="60">
        <f t="shared" si="63"/>
        <v>7.8392857142857144</v>
      </c>
      <c r="R265" s="58">
        <f t="shared" si="64"/>
        <v>2388.257575757576</v>
      </c>
      <c r="S265" s="58">
        <f t="shared" si="65"/>
        <v>2013.2575757575758</v>
      </c>
      <c r="T265" s="58">
        <f t="shared" si="66"/>
        <v>1475.7575757575758</v>
      </c>
      <c r="U265" s="60">
        <f t="shared" si="67"/>
        <v>5.6294642857142865</v>
      </c>
      <c r="V265" s="60">
        <f t="shared" si="68"/>
        <v>4.7455357142857144</v>
      </c>
      <c r="W265" s="60">
        <f t="shared" si="69"/>
        <v>3.4785714285714286</v>
      </c>
      <c r="X265" s="61"/>
      <c r="Y265" s="1"/>
      <c r="Z265" s="1"/>
    </row>
    <row r="266" spans="1:26" ht="15.75" customHeight="1">
      <c r="A266" s="54"/>
      <c r="B266" s="162"/>
      <c r="C266" s="33"/>
      <c r="D266" s="55" t="s">
        <v>1448</v>
      </c>
      <c r="E266" s="55" t="s">
        <v>1443</v>
      </c>
      <c r="F266" s="56" t="s">
        <v>1425</v>
      </c>
      <c r="G266" s="57" t="s">
        <v>1449</v>
      </c>
      <c r="H266" s="58">
        <v>25000</v>
      </c>
      <c r="I266" s="58">
        <f t="shared" si="56"/>
        <v>14000</v>
      </c>
      <c r="J266" s="58">
        <f t="shared" si="57"/>
        <v>424.24242424242425</v>
      </c>
      <c r="K266" s="58">
        <v>3800</v>
      </c>
      <c r="L266" s="59">
        <f t="shared" si="58"/>
        <v>3750</v>
      </c>
      <c r="M266" s="58">
        <f t="shared" si="59"/>
        <v>2812.5</v>
      </c>
      <c r="N266" s="58">
        <f t="shared" si="60"/>
        <v>2437.5</v>
      </c>
      <c r="O266" s="58">
        <f t="shared" si="61"/>
        <v>1900</v>
      </c>
      <c r="P266" s="58">
        <f t="shared" si="62"/>
        <v>3368.181818181818</v>
      </c>
      <c r="Q266" s="60">
        <f t="shared" si="63"/>
        <v>8.8214285714285712</v>
      </c>
      <c r="R266" s="58">
        <f t="shared" si="64"/>
        <v>2430.681818181818</v>
      </c>
      <c r="S266" s="58">
        <f t="shared" si="65"/>
        <v>2055.681818181818</v>
      </c>
      <c r="T266" s="58">
        <f t="shared" si="66"/>
        <v>1518.1818181818182</v>
      </c>
      <c r="U266" s="60">
        <f t="shared" si="67"/>
        <v>6.3660714285714279</v>
      </c>
      <c r="V266" s="60">
        <f t="shared" si="68"/>
        <v>5.3839285714285712</v>
      </c>
      <c r="W266" s="60">
        <f t="shared" si="69"/>
        <v>3.9761904761904763</v>
      </c>
      <c r="X266" s="61"/>
      <c r="Y266" s="1"/>
      <c r="Z266" s="1"/>
    </row>
    <row r="267" spans="1:26" ht="15.75" customHeight="1">
      <c r="A267" s="54"/>
      <c r="B267" s="162"/>
      <c r="C267" s="33"/>
      <c r="D267" s="55"/>
      <c r="E267" s="55" t="s">
        <v>1446</v>
      </c>
      <c r="F267" s="56" t="s">
        <v>1425</v>
      </c>
      <c r="G267" s="57" t="s">
        <v>1450</v>
      </c>
      <c r="H267" s="58">
        <v>25000</v>
      </c>
      <c r="I267" s="58">
        <f t="shared" si="56"/>
        <v>17500</v>
      </c>
      <c r="J267" s="58">
        <f t="shared" si="57"/>
        <v>424.24242424242425</v>
      </c>
      <c r="K267" s="58">
        <v>3800</v>
      </c>
      <c r="L267" s="59">
        <f t="shared" si="58"/>
        <v>3750</v>
      </c>
      <c r="M267" s="58">
        <f t="shared" si="59"/>
        <v>2812.5</v>
      </c>
      <c r="N267" s="58">
        <f t="shared" si="60"/>
        <v>2437.5</v>
      </c>
      <c r="O267" s="58">
        <f t="shared" si="61"/>
        <v>1900</v>
      </c>
      <c r="P267" s="58">
        <f t="shared" si="62"/>
        <v>3325.757575757576</v>
      </c>
      <c r="Q267" s="60">
        <f t="shared" si="63"/>
        <v>7.8392857142857144</v>
      </c>
      <c r="R267" s="58">
        <f t="shared" si="64"/>
        <v>2388.257575757576</v>
      </c>
      <c r="S267" s="58">
        <f t="shared" si="65"/>
        <v>2013.2575757575758</v>
      </c>
      <c r="T267" s="58">
        <f t="shared" si="66"/>
        <v>1475.7575757575758</v>
      </c>
      <c r="U267" s="60">
        <f t="shared" si="67"/>
        <v>5.6294642857142865</v>
      </c>
      <c r="V267" s="60">
        <f t="shared" si="68"/>
        <v>4.7455357142857144</v>
      </c>
      <c r="W267" s="60">
        <f t="shared" si="69"/>
        <v>3.4785714285714286</v>
      </c>
      <c r="X267" s="61"/>
      <c r="Y267" s="1"/>
      <c r="Z267" s="1"/>
    </row>
    <row r="268" spans="1:26" ht="15.75" customHeight="1">
      <c r="A268" s="54"/>
      <c r="B268" s="162"/>
      <c r="C268" s="33"/>
      <c r="D268" s="55" t="s">
        <v>1451</v>
      </c>
      <c r="E268" s="55" t="s">
        <v>1443</v>
      </c>
      <c r="F268" s="56" t="s">
        <v>1425</v>
      </c>
      <c r="G268" s="57" t="s">
        <v>1452</v>
      </c>
      <c r="H268" s="58">
        <v>25000</v>
      </c>
      <c r="I268" s="58">
        <f t="shared" si="56"/>
        <v>17500</v>
      </c>
      <c r="J268" s="58">
        <f t="shared" si="57"/>
        <v>530.30303030303025</v>
      </c>
      <c r="K268" s="58">
        <v>3800</v>
      </c>
      <c r="L268" s="59">
        <f t="shared" si="58"/>
        <v>3750</v>
      </c>
      <c r="M268" s="58">
        <f t="shared" si="59"/>
        <v>2812.5</v>
      </c>
      <c r="N268" s="58">
        <f t="shared" si="60"/>
        <v>2437.5</v>
      </c>
      <c r="O268" s="58">
        <f t="shared" si="61"/>
        <v>1900</v>
      </c>
      <c r="P268" s="58">
        <f t="shared" si="62"/>
        <v>3325.757575757576</v>
      </c>
      <c r="Q268" s="60">
        <f t="shared" si="63"/>
        <v>7.8392857142857144</v>
      </c>
      <c r="R268" s="58">
        <f t="shared" si="64"/>
        <v>2388.257575757576</v>
      </c>
      <c r="S268" s="58">
        <f t="shared" si="65"/>
        <v>2013.2575757575758</v>
      </c>
      <c r="T268" s="58">
        <f t="shared" si="66"/>
        <v>1475.7575757575758</v>
      </c>
      <c r="U268" s="60">
        <f t="shared" si="67"/>
        <v>5.6294642857142865</v>
      </c>
      <c r="V268" s="60">
        <f t="shared" si="68"/>
        <v>4.7455357142857144</v>
      </c>
      <c r="W268" s="60">
        <f t="shared" si="69"/>
        <v>3.4785714285714286</v>
      </c>
      <c r="X268" s="61" t="s">
        <v>227</v>
      </c>
      <c r="Y268" s="1"/>
      <c r="Z268" s="1"/>
    </row>
    <row r="269" spans="1:26" ht="15.75" customHeight="1">
      <c r="A269" s="54"/>
      <c r="B269" s="162"/>
      <c r="C269" s="33"/>
      <c r="D269" s="55"/>
      <c r="E269" s="55" t="s">
        <v>1446</v>
      </c>
      <c r="F269" s="56" t="s">
        <v>1425</v>
      </c>
      <c r="G269" s="57" t="s">
        <v>1453</v>
      </c>
      <c r="H269" s="58">
        <v>25000</v>
      </c>
      <c r="I269" s="58">
        <f t="shared" si="56"/>
        <v>17500</v>
      </c>
      <c r="J269" s="58">
        <f t="shared" si="57"/>
        <v>530.30303030303025</v>
      </c>
      <c r="K269" s="58">
        <v>3800</v>
      </c>
      <c r="L269" s="59">
        <f t="shared" si="58"/>
        <v>3750</v>
      </c>
      <c r="M269" s="58">
        <f t="shared" si="59"/>
        <v>2812.5</v>
      </c>
      <c r="N269" s="58">
        <f t="shared" si="60"/>
        <v>2437.5</v>
      </c>
      <c r="O269" s="58">
        <f t="shared" si="61"/>
        <v>1900</v>
      </c>
      <c r="P269" s="58">
        <f t="shared" si="62"/>
        <v>3219.69696969697</v>
      </c>
      <c r="Q269" s="60">
        <f t="shared" si="63"/>
        <v>6.0714285714285721</v>
      </c>
      <c r="R269" s="58">
        <f t="shared" si="64"/>
        <v>2282.19696969697</v>
      </c>
      <c r="S269" s="58">
        <f t="shared" si="65"/>
        <v>1907.1969696969697</v>
      </c>
      <c r="T269" s="58">
        <f t="shared" si="66"/>
        <v>1369.6969696969697</v>
      </c>
      <c r="U269" s="60">
        <f t="shared" si="67"/>
        <v>4.3035714285714297</v>
      </c>
      <c r="V269" s="60">
        <f t="shared" si="68"/>
        <v>3.596428571428572</v>
      </c>
      <c r="W269" s="60">
        <f t="shared" si="69"/>
        <v>2.5828571428571432</v>
      </c>
      <c r="X269" s="61" t="s">
        <v>228</v>
      </c>
      <c r="Y269" s="1"/>
      <c r="Z269" s="1"/>
    </row>
    <row r="270" spans="1:26" ht="15.75" customHeight="1">
      <c r="A270" s="54"/>
      <c r="B270" s="162"/>
      <c r="C270" s="33"/>
      <c r="D270" s="55" t="s">
        <v>1454</v>
      </c>
      <c r="E270" s="55" t="s">
        <v>1446</v>
      </c>
      <c r="F270" s="56" t="s">
        <v>1425</v>
      </c>
      <c r="G270" s="57" t="s">
        <v>1455</v>
      </c>
      <c r="H270" s="58">
        <v>25000</v>
      </c>
      <c r="I270" s="58">
        <f t="shared" si="56"/>
        <v>17500</v>
      </c>
      <c r="J270" s="58">
        <f t="shared" si="57"/>
        <v>530.30303030303025</v>
      </c>
      <c r="K270" s="58">
        <v>3800</v>
      </c>
      <c r="L270" s="59">
        <f t="shared" si="58"/>
        <v>3750</v>
      </c>
      <c r="M270" s="58">
        <f t="shared" si="59"/>
        <v>2812.5</v>
      </c>
      <c r="N270" s="58">
        <f t="shared" si="60"/>
        <v>2437.5</v>
      </c>
      <c r="O270" s="58">
        <f t="shared" si="61"/>
        <v>1900</v>
      </c>
      <c r="P270" s="58">
        <f t="shared" si="62"/>
        <v>3219.69696969697</v>
      </c>
      <c r="Q270" s="60">
        <f t="shared" si="63"/>
        <v>6.0714285714285721</v>
      </c>
      <c r="R270" s="58">
        <f t="shared" si="64"/>
        <v>2282.19696969697</v>
      </c>
      <c r="S270" s="58">
        <f t="shared" si="65"/>
        <v>1907.1969696969697</v>
      </c>
      <c r="T270" s="58">
        <f t="shared" si="66"/>
        <v>1369.6969696969697</v>
      </c>
      <c r="U270" s="60">
        <f t="shared" si="67"/>
        <v>4.3035714285714297</v>
      </c>
      <c r="V270" s="60">
        <f t="shared" si="68"/>
        <v>3.596428571428572</v>
      </c>
      <c r="W270" s="60">
        <f t="shared" si="69"/>
        <v>2.5828571428571432</v>
      </c>
      <c r="X270" s="61" t="s">
        <v>230</v>
      </c>
      <c r="Y270" s="1"/>
      <c r="Z270" s="1"/>
    </row>
    <row r="271" spans="1:26" ht="15.75" customHeight="1">
      <c r="A271" s="54"/>
      <c r="B271" s="162"/>
      <c r="C271" s="33"/>
      <c r="D271" s="56" t="s">
        <v>391</v>
      </c>
      <c r="E271" s="55" t="s">
        <v>1443</v>
      </c>
      <c r="F271" s="56" t="s">
        <v>1425</v>
      </c>
      <c r="G271" s="57" t="s">
        <v>1456</v>
      </c>
      <c r="H271" s="58">
        <v>30000</v>
      </c>
      <c r="I271" s="58">
        <f t="shared" si="56"/>
        <v>17500</v>
      </c>
      <c r="J271" s="58">
        <f t="shared" si="57"/>
        <v>530.30303030303025</v>
      </c>
      <c r="K271" s="58">
        <v>3800</v>
      </c>
      <c r="L271" s="59">
        <f t="shared" si="58"/>
        <v>3750</v>
      </c>
      <c r="M271" s="58">
        <f t="shared" si="59"/>
        <v>2812.5</v>
      </c>
      <c r="N271" s="58">
        <f t="shared" si="60"/>
        <v>2437.5</v>
      </c>
      <c r="O271" s="58">
        <f t="shared" si="61"/>
        <v>1900</v>
      </c>
      <c r="P271" s="58">
        <f t="shared" si="62"/>
        <v>3219.69696969697</v>
      </c>
      <c r="Q271" s="60">
        <f t="shared" si="63"/>
        <v>6.0714285714285721</v>
      </c>
      <c r="R271" s="58">
        <f t="shared" si="64"/>
        <v>2282.19696969697</v>
      </c>
      <c r="S271" s="58">
        <f t="shared" si="65"/>
        <v>1907.1969696969697</v>
      </c>
      <c r="T271" s="58">
        <f t="shared" si="66"/>
        <v>1369.6969696969697</v>
      </c>
      <c r="U271" s="60">
        <f t="shared" si="67"/>
        <v>4.3035714285714297</v>
      </c>
      <c r="V271" s="60">
        <f t="shared" si="68"/>
        <v>3.596428571428572</v>
      </c>
      <c r="W271" s="60">
        <f t="shared" si="69"/>
        <v>2.5828571428571432</v>
      </c>
      <c r="X271" s="61"/>
      <c r="Y271" s="1"/>
      <c r="Z271" s="1"/>
    </row>
    <row r="272" spans="1:26" ht="15.75" customHeight="1">
      <c r="A272" s="54"/>
      <c r="B272" s="161"/>
      <c r="C272" s="33"/>
      <c r="D272" s="56" t="s">
        <v>391</v>
      </c>
      <c r="E272" s="55" t="s">
        <v>1446</v>
      </c>
      <c r="F272" s="56" t="s">
        <v>1425</v>
      </c>
      <c r="G272" s="71" t="s">
        <v>1457</v>
      </c>
      <c r="H272" s="58">
        <v>25000</v>
      </c>
      <c r="I272" s="58">
        <f t="shared" si="56"/>
        <v>21000</v>
      </c>
      <c r="J272" s="58">
        <f t="shared" si="57"/>
        <v>530.30303030303025</v>
      </c>
      <c r="K272" s="58">
        <v>3800</v>
      </c>
      <c r="L272" s="59">
        <f t="shared" si="58"/>
        <v>3750</v>
      </c>
      <c r="M272" s="58">
        <f t="shared" si="59"/>
        <v>2812.5</v>
      </c>
      <c r="N272" s="58">
        <f t="shared" si="60"/>
        <v>2437.5</v>
      </c>
      <c r="O272" s="58">
        <f t="shared" si="61"/>
        <v>1900</v>
      </c>
      <c r="P272" s="58">
        <f t="shared" si="62"/>
        <v>3219.69696969697</v>
      </c>
      <c r="Q272" s="60">
        <f t="shared" si="63"/>
        <v>6.0714285714285721</v>
      </c>
      <c r="R272" s="58">
        <f t="shared" si="64"/>
        <v>2282.19696969697</v>
      </c>
      <c r="S272" s="58">
        <f t="shared" si="65"/>
        <v>1907.1969696969697</v>
      </c>
      <c r="T272" s="58">
        <f t="shared" si="66"/>
        <v>1369.6969696969697</v>
      </c>
      <c r="U272" s="60">
        <f t="shared" si="67"/>
        <v>4.3035714285714297</v>
      </c>
      <c r="V272" s="60">
        <f t="shared" si="68"/>
        <v>3.596428571428572</v>
      </c>
      <c r="W272" s="60">
        <f t="shared" si="69"/>
        <v>2.5828571428571432</v>
      </c>
      <c r="X272" s="61"/>
      <c r="Y272" s="1"/>
      <c r="Z272" s="1"/>
    </row>
    <row r="273" spans="1:26" ht="15.75" customHeight="1">
      <c r="A273" s="54"/>
      <c r="B273" s="125"/>
      <c r="C273" s="33"/>
      <c r="D273" s="56" t="s">
        <v>1458</v>
      </c>
      <c r="E273" s="55" t="s">
        <v>1443</v>
      </c>
      <c r="F273" s="56" t="s">
        <v>1425</v>
      </c>
      <c r="G273" s="57" t="s">
        <v>1459</v>
      </c>
      <c r="H273" s="58">
        <v>30000</v>
      </c>
      <c r="I273" s="58">
        <f t="shared" si="56"/>
        <v>17500</v>
      </c>
      <c r="J273" s="58">
        <f t="shared" si="57"/>
        <v>636.36363636363637</v>
      </c>
      <c r="K273" s="58">
        <v>3800</v>
      </c>
      <c r="L273" s="59">
        <f t="shared" si="58"/>
        <v>3750</v>
      </c>
      <c r="M273" s="58">
        <f t="shared" si="59"/>
        <v>2812.5</v>
      </c>
      <c r="N273" s="58">
        <f t="shared" si="60"/>
        <v>2437.5</v>
      </c>
      <c r="O273" s="58">
        <f t="shared" si="61"/>
        <v>1900</v>
      </c>
      <c r="P273" s="58">
        <f t="shared" si="62"/>
        <v>3219.69696969697</v>
      </c>
      <c r="Q273" s="60">
        <f t="shared" si="63"/>
        <v>6.0714285714285721</v>
      </c>
      <c r="R273" s="58">
        <f t="shared" si="64"/>
        <v>2282.19696969697</v>
      </c>
      <c r="S273" s="58">
        <f t="shared" si="65"/>
        <v>1907.1969696969697</v>
      </c>
      <c r="T273" s="58">
        <f t="shared" si="66"/>
        <v>1369.6969696969697</v>
      </c>
      <c r="U273" s="60">
        <f t="shared" si="67"/>
        <v>4.3035714285714297</v>
      </c>
      <c r="V273" s="60">
        <f t="shared" si="68"/>
        <v>3.596428571428572</v>
      </c>
      <c r="W273" s="60">
        <f t="shared" si="69"/>
        <v>2.5828571428571432</v>
      </c>
      <c r="X273" s="61"/>
      <c r="Y273" s="1"/>
      <c r="Z273" s="1"/>
    </row>
    <row r="274" spans="1:26" ht="15.75" customHeight="1">
      <c r="A274" s="54"/>
      <c r="B274" s="75" t="s">
        <v>66</v>
      </c>
      <c r="C274" s="33"/>
      <c r="D274" s="55" t="s">
        <v>1460</v>
      </c>
      <c r="E274" s="55" t="s">
        <v>1461</v>
      </c>
      <c r="F274" s="56" t="s">
        <v>1425</v>
      </c>
      <c r="G274" s="57" t="s">
        <v>1462</v>
      </c>
      <c r="H274" s="58">
        <v>25000</v>
      </c>
      <c r="I274" s="58">
        <f t="shared" si="56"/>
        <v>21000</v>
      </c>
      <c r="J274" s="58">
        <f t="shared" si="57"/>
        <v>530.30303030303025</v>
      </c>
      <c r="K274" s="58">
        <v>3800</v>
      </c>
      <c r="L274" s="59">
        <f t="shared" si="58"/>
        <v>3750</v>
      </c>
      <c r="M274" s="58">
        <f t="shared" si="59"/>
        <v>2812.5</v>
      </c>
      <c r="N274" s="58">
        <f t="shared" si="60"/>
        <v>2437.5</v>
      </c>
      <c r="O274" s="58">
        <f t="shared" si="61"/>
        <v>1900</v>
      </c>
      <c r="P274" s="58">
        <f t="shared" si="62"/>
        <v>3113.6363636363635</v>
      </c>
      <c r="Q274" s="60">
        <f t="shared" si="63"/>
        <v>4.8928571428571423</v>
      </c>
      <c r="R274" s="58">
        <f t="shared" si="64"/>
        <v>2176.1363636363635</v>
      </c>
      <c r="S274" s="58">
        <f t="shared" si="65"/>
        <v>1801.1363636363635</v>
      </c>
      <c r="T274" s="58">
        <f t="shared" si="66"/>
        <v>1263.6363636363635</v>
      </c>
      <c r="U274" s="60">
        <f t="shared" si="67"/>
        <v>3.4196428571428568</v>
      </c>
      <c r="V274" s="60">
        <f t="shared" si="68"/>
        <v>2.8303571428571428</v>
      </c>
      <c r="W274" s="60">
        <f t="shared" si="69"/>
        <v>1.9857142857142855</v>
      </c>
      <c r="X274" s="61"/>
      <c r="Y274" s="1"/>
      <c r="Z274" s="1"/>
    </row>
    <row r="275" spans="1:26" ht="15.75" customHeight="1">
      <c r="A275" s="54"/>
      <c r="B275" s="160" t="s">
        <v>655</v>
      </c>
      <c r="C275" s="33"/>
      <c r="D275" s="55" t="s">
        <v>1463</v>
      </c>
      <c r="E275" s="55" t="s">
        <v>1464</v>
      </c>
      <c r="F275" s="56" t="s">
        <v>1425</v>
      </c>
      <c r="G275" s="71" t="s">
        <v>1465</v>
      </c>
      <c r="H275" s="58">
        <v>28000</v>
      </c>
      <c r="I275" s="58">
        <f t="shared" si="56"/>
        <v>17500</v>
      </c>
      <c r="J275" s="58">
        <f t="shared" si="57"/>
        <v>636.36363636363637</v>
      </c>
      <c r="K275" s="58">
        <v>3800</v>
      </c>
      <c r="L275" s="59">
        <f t="shared" si="58"/>
        <v>3750</v>
      </c>
      <c r="M275" s="58">
        <f t="shared" si="59"/>
        <v>2812.5</v>
      </c>
      <c r="N275" s="58">
        <f t="shared" si="60"/>
        <v>2437.5</v>
      </c>
      <c r="O275" s="58">
        <f t="shared" si="61"/>
        <v>1900</v>
      </c>
      <c r="P275" s="58">
        <f t="shared" si="62"/>
        <v>3219.69696969697</v>
      </c>
      <c r="Q275" s="60">
        <f t="shared" si="63"/>
        <v>6.0714285714285721</v>
      </c>
      <c r="R275" s="58">
        <f t="shared" si="64"/>
        <v>2282.19696969697</v>
      </c>
      <c r="S275" s="58">
        <f t="shared" si="65"/>
        <v>1907.1969696969697</v>
      </c>
      <c r="T275" s="58">
        <f t="shared" si="66"/>
        <v>1369.6969696969697</v>
      </c>
      <c r="U275" s="60">
        <f t="shared" si="67"/>
        <v>4.3035714285714297</v>
      </c>
      <c r="V275" s="60">
        <f t="shared" si="68"/>
        <v>3.596428571428572</v>
      </c>
      <c r="W275" s="60">
        <f t="shared" si="69"/>
        <v>2.5828571428571432</v>
      </c>
      <c r="X275" s="61"/>
      <c r="Y275" s="1"/>
      <c r="Z275" s="1"/>
    </row>
    <row r="276" spans="1:26" ht="15.75" customHeight="1">
      <c r="A276" s="54"/>
      <c r="B276" s="162"/>
      <c r="C276" s="33"/>
      <c r="D276" s="55" t="s">
        <v>1466</v>
      </c>
      <c r="E276" s="55" t="s">
        <v>1443</v>
      </c>
      <c r="F276" s="56" t="s">
        <v>1425</v>
      </c>
      <c r="G276" s="57" t="s">
        <v>1467</v>
      </c>
      <c r="H276" s="58">
        <v>25000</v>
      </c>
      <c r="I276" s="58">
        <f t="shared" si="56"/>
        <v>19600</v>
      </c>
      <c r="J276" s="58">
        <f t="shared" si="57"/>
        <v>530.30303030303025</v>
      </c>
      <c r="K276" s="58">
        <v>3800</v>
      </c>
      <c r="L276" s="59">
        <f t="shared" si="58"/>
        <v>3750</v>
      </c>
      <c r="M276" s="58">
        <f t="shared" si="59"/>
        <v>2812.5</v>
      </c>
      <c r="N276" s="58">
        <f t="shared" si="60"/>
        <v>2437.5</v>
      </c>
      <c r="O276" s="58">
        <f t="shared" si="61"/>
        <v>1900</v>
      </c>
      <c r="P276" s="58">
        <f t="shared" si="62"/>
        <v>3113.6363636363635</v>
      </c>
      <c r="Q276" s="60">
        <f t="shared" si="63"/>
        <v>4.8928571428571423</v>
      </c>
      <c r="R276" s="58">
        <f t="shared" si="64"/>
        <v>2176.1363636363635</v>
      </c>
      <c r="S276" s="58">
        <f t="shared" si="65"/>
        <v>1801.1363636363635</v>
      </c>
      <c r="T276" s="58">
        <f t="shared" si="66"/>
        <v>1263.6363636363635</v>
      </c>
      <c r="U276" s="60">
        <f t="shared" si="67"/>
        <v>3.4196428571428568</v>
      </c>
      <c r="V276" s="60">
        <f t="shared" si="68"/>
        <v>2.8303571428571428</v>
      </c>
      <c r="W276" s="60">
        <f t="shared" si="69"/>
        <v>1.9857142857142855</v>
      </c>
      <c r="X276" s="61" t="s">
        <v>235</v>
      </c>
      <c r="Y276" s="1"/>
      <c r="Z276" s="1"/>
    </row>
    <row r="277" spans="1:26" ht="15.75" customHeight="1">
      <c r="A277" s="54"/>
      <c r="B277" s="161"/>
      <c r="C277" s="33"/>
      <c r="D277" s="55"/>
      <c r="E277" s="55" t="s">
        <v>1446</v>
      </c>
      <c r="F277" s="56" t="s">
        <v>1425</v>
      </c>
      <c r="G277" s="57" t="s">
        <v>1468</v>
      </c>
      <c r="H277" s="58">
        <v>25000</v>
      </c>
      <c r="I277" s="58">
        <f t="shared" si="56"/>
        <v>17500</v>
      </c>
      <c r="J277" s="58">
        <f t="shared" si="57"/>
        <v>593.93939393939399</v>
      </c>
      <c r="K277" s="58">
        <v>3800</v>
      </c>
      <c r="L277" s="59">
        <f t="shared" si="58"/>
        <v>3750</v>
      </c>
      <c r="M277" s="58">
        <f t="shared" si="59"/>
        <v>2812.5</v>
      </c>
      <c r="N277" s="58">
        <f t="shared" si="60"/>
        <v>2437.5</v>
      </c>
      <c r="O277" s="58">
        <f t="shared" si="61"/>
        <v>1900</v>
      </c>
      <c r="P277" s="58">
        <f t="shared" si="62"/>
        <v>3219.69696969697</v>
      </c>
      <c r="Q277" s="60">
        <f t="shared" si="63"/>
        <v>6.0714285714285721</v>
      </c>
      <c r="R277" s="58">
        <f t="shared" si="64"/>
        <v>2282.19696969697</v>
      </c>
      <c r="S277" s="58">
        <f t="shared" si="65"/>
        <v>1907.1969696969697</v>
      </c>
      <c r="T277" s="58">
        <f t="shared" si="66"/>
        <v>1369.6969696969697</v>
      </c>
      <c r="U277" s="60">
        <f t="shared" si="67"/>
        <v>4.3035714285714297</v>
      </c>
      <c r="V277" s="60">
        <f t="shared" si="68"/>
        <v>3.596428571428572</v>
      </c>
      <c r="W277" s="60">
        <f t="shared" si="69"/>
        <v>2.5828571428571432</v>
      </c>
      <c r="X277" s="61" t="s">
        <v>236</v>
      </c>
      <c r="Y277" s="1"/>
      <c r="Z277" s="1"/>
    </row>
    <row r="278" spans="1:26" ht="15.75" customHeight="1">
      <c r="A278" s="54"/>
      <c r="B278" s="125"/>
      <c r="C278" s="33"/>
      <c r="D278" s="55" t="s">
        <v>1469</v>
      </c>
      <c r="E278" s="55" t="s">
        <v>1446</v>
      </c>
      <c r="F278" s="56" t="s">
        <v>1425</v>
      </c>
      <c r="G278" s="57" t="s">
        <v>1470</v>
      </c>
      <c r="H278" s="58">
        <v>25000</v>
      </c>
      <c r="I278" s="58">
        <f t="shared" si="56"/>
        <v>17500</v>
      </c>
      <c r="J278" s="58">
        <f t="shared" si="57"/>
        <v>530.30303030303025</v>
      </c>
      <c r="K278" s="58">
        <v>3800</v>
      </c>
      <c r="L278" s="59">
        <f t="shared" si="58"/>
        <v>3750</v>
      </c>
      <c r="M278" s="58">
        <f t="shared" si="59"/>
        <v>2812.5</v>
      </c>
      <c r="N278" s="58">
        <f t="shared" si="60"/>
        <v>2437.5</v>
      </c>
      <c r="O278" s="58">
        <f t="shared" si="61"/>
        <v>1900</v>
      </c>
      <c r="P278" s="58">
        <f t="shared" si="62"/>
        <v>3156.060606060606</v>
      </c>
      <c r="Q278" s="60">
        <f t="shared" si="63"/>
        <v>5.3137755102040813</v>
      </c>
      <c r="R278" s="58">
        <f t="shared" si="64"/>
        <v>2218.560606060606</v>
      </c>
      <c r="S278" s="58">
        <f t="shared" si="65"/>
        <v>1843.560606060606</v>
      </c>
      <c r="T278" s="58">
        <f t="shared" si="66"/>
        <v>1306.060606060606</v>
      </c>
      <c r="U278" s="60">
        <f t="shared" si="67"/>
        <v>3.735331632653061</v>
      </c>
      <c r="V278" s="60">
        <f t="shared" si="68"/>
        <v>3.1039540816326525</v>
      </c>
      <c r="W278" s="60">
        <f t="shared" si="69"/>
        <v>2.1989795918367343</v>
      </c>
      <c r="X278" s="61"/>
      <c r="Y278" s="1"/>
      <c r="Z278" s="1"/>
    </row>
    <row r="279" spans="1:26" ht="15.75" customHeight="1">
      <c r="A279" s="54"/>
      <c r="B279" s="160" t="s">
        <v>1336</v>
      </c>
      <c r="C279" s="33"/>
      <c r="D279" s="55" t="s">
        <v>1471</v>
      </c>
      <c r="E279" s="55" t="s">
        <v>1443</v>
      </c>
      <c r="F279" s="56" t="s">
        <v>1425</v>
      </c>
      <c r="G279" s="57" t="s">
        <v>1472</v>
      </c>
      <c r="H279" s="58">
        <v>25000</v>
      </c>
      <c r="I279" s="58">
        <f t="shared" si="56"/>
        <v>17500</v>
      </c>
      <c r="J279" s="58">
        <f t="shared" si="57"/>
        <v>530.30303030303025</v>
      </c>
      <c r="K279" s="58">
        <v>3800</v>
      </c>
      <c r="L279" s="59">
        <f t="shared" si="58"/>
        <v>3750</v>
      </c>
      <c r="M279" s="58">
        <f t="shared" si="59"/>
        <v>2812.5</v>
      </c>
      <c r="N279" s="58">
        <f t="shared" si="60"/>
        <v>2437.5</v>
      </c>
      <c r="O279" s="58">
        <f t="shared" si="61"/>
        <v>1900</v>
      </c>
      <c r="P279" s="58">
        <f t="shared" si="62"/>
        <v>3219.69696969697</v>
      </c>
      <c r="Q279" s="60">
        <f t="shared" si="63"/>
        <v>6.0714285714285721</v>
      </c>
      <c r="R279" s="58">
        <f t="shared" si="64"/>
        <v>2282.19696969697</v>
      </c>
      <c r="S279" s="58">
        <f t="shared" si="65"/>
        <v>1907.1969696969697</v>
      </c>
      <c r="T279" s="58">
        <f t="shared" si="66"/>
        <v>1369.6969696969697</v>
      </c>
      <c r="U279" s="60">
        <f t="shared" si="67"/>
        <v>4.3035714285714297</v>
      </c>
      <c r="V279" s="60">
        <f t="shared" si="68"/>
        <v>3.596428571428572</v>
      </c>
      <c r="W279" s="60">
        <f t="shared" si="69"/>
        <v>2.5828571428571432</v>
      </c>
      <c r="X279" s="61"/>
      <c r="Y279" s="1"/>
      <c r="Z279" s="1"/>
    </row>
    <row r="280" spans="1:26" ht="15.75" customHeight="1">
      <c r="A280" s="54"/>
      <c r="B280" s="162"/>
      <c r="C280" s="33"/>
      <c r="D280" s="55" t="s">
        <v>356</v>
      </c>
      <c r="E280" s="55" t="s">
        <v>1443</v>
      </c>
      <c r="F280" s="56" t="s">
        <v>1425</v>
      </c>
      <c r="G280" s="57" t="s">
        <v>1473</v>
      </c>
      <c r="H280" s="58">
        <v>25000</v>
      </c>
      <c r="I280" s="58">
        <f t="shared" si="56"/>
        <v>17500</v>
      </c>
      <c r="J280" s="58">
        <f t="shared" si="57"/>
        <v>530.30303030303025</v>
      </c>
      <c r="K280" s="58">
        <v>3800</v>
      </c>
      <c r="L280" s="59">
        <f t="shared" si="58"/>
        <v>3750</v>
      </c>
      <c r="M280" s="58">
        <f t="shared" si="59"/>
        <v>2812.5</v>
      </c>
      <c r="N280" s="58">
        <f t="shared" si="60"/>
        <v>2437.5</v>
      </c>
      <c r="O280" s="58">
        <f t="shared" si="61"/>
        <v>1900</v>
      </c>
      <c r="P280" s="58">
        <f t="shared" si="62"/>
        <v>3219.69696969697</v>
      </c>
      <c r="Q280" s="60">
        <f t="shared" si="63"/>
        <v>6.0714285714285721</v>
      </c>
      <c r="R280" s="58">
        <f t="shared" si="64"/>
        <v>2282.19696969697</v>
      </c>
      <c r="S280" s="58">
        <f t="shared" si="65"/>
        <v>1907.1969696969697</v>
      </c>
      <c r="T280" s="58">
        <f t="shared" si="66"/>
        <v>1369.6969696969697</v>
      </c>
      <c r="U280" s="60">
        <f t="shared" si="67"/>
        <v>4.3035714285714297</v>
      </c>
      <c r="V280" s="60">
        <f t="shared" si="68"/>
        <v>3.596428571428572</v>
      </c>
      <c r="W280" s="60">
        <f t="shared" si="69"/>
        <v>2.5828571428571432</v>
      </c>
      <c r="X280" s="61"/>
      <c r="Y280" s="1"/>
      <c r="Z280" s="1"/>
    </row>
    <row r="281" spans="1:26" ht="15.75" customHeight="1">
      <c r="A281" s="54"/>
      <c r="B281" s="162"/>
      <c r="C281" s="33"/>
      <c r="D281" s="55" t="s">
        <v>356</v>
      </c>
      <c r="E281" s="55" t="s">
        <v>1446</v>
      </c>
      <c r="F281" s="56" t="s">
        <v>1425</v>
      </c>
      <c r="G281" s="57" t="s">
        <v>1474</v>
      </c>
      <c r="H281" s="58">
        <v>15000</v>
      </c>
      <c r="I281" s="58">
        <f t="shared" si="56"/>
        <v>17500</v>
      </c>
      <c r="J281" s="58">
        <f t="shared" si="57"/>
        <v>530.30303030303025</v>
      </c>
      <c r="K281" s="58">
        <v>3800</v>
      </c>
      <c r="L281" s="59">
        <f t="shared" si="58"/>
        <v>3750</v>
      </c>
      <c r="M281" s="58">
        <f t="shared" si="59"/>
        <v>2812.5</v>
      </c>
      <c r="N281" s="58">
        <f t="shared" si="60"/>
        <v>2437.5</v>
      </c>
      <c r="O281" s="58">
        <f t="shared" si="61"/>
        <v>1900</v>
      </c>
      <c r="P281" s="58">
        <f t="shared" si="62"/>
        <v>3219.69696969697</v>
      </c>
      <c r="Q281" s="60">
        <f t="shared" si="63"/>
        <v>6.0714285714285721</v>
      </c>
      <c r="R281" s="58">
        <f t="shared" si="64"/>
        <v>2282.19696969697</v>
      </c>
      <c r="S281" s="58">
        <f t="shared" si="65"/>
        <v>1907.1969696969697</v>
      </c>
      <c r="T281" s="58">
        <f t="shared" si="66"/>
        <v>1369.6969696969697</v>
      </c>
      <c r="U281" s="60">
        <f t="shared" si="67"/>
        <v>4.3035714285714297</v>
      </c>
      <c r="V281" s="60">
        <f t="shared" si="68"/>
        <v>3.596428571428572</v>
      </c>
      <c r="W281" s="60">
        <f t="shared" si="69"/>
        <v>2.5828571428571432</v>
      </c>
      <c r="X281" s="61"/>
      <c r="Y281" s="1"/>
      <c r="Z281" s="1"/>
    </row>
    <row r="282" spans="1:26" ht="15.75" customHeight="1">
      <c r="A282" s="54"/>
      <c r="B282" s="161"/>
      <c r="C282" s="33"/>
      <c r="D282" s="55" t="s">
        <v>1274</v>
      </c>
      <c r="E282" s="55" t="s">
        <v>1443</v>
      </c>
      <c r="F282" s="56" t="s">
        <v>1425</v>
      </c>
      <c r="G282" s="57" t="s">
        <v>1475</v>
      </c>
      <c r="H282" s="58">
        <v>28000</v>
      </c>
      <c r="I282" s="58">
        <f t="shared" si="56"/>
        <v>10500</v>
      </c>
      <c r="J282" s="58">
        <f t="shared" si="57"/>
        <v>530.30303030303025</v>
      </c>
      <c r="K282" s="58">
        <v>3800</v>
      </c>
      <c r="L282" s="59">
        <f t="shared" si="58"/>
        <v>3750</v>
      </c>
      <c r="M282" s="58">
        <f t="shared" si="59"/>
        <v>2812.5</v>
      </c>
      <c r="N282" s="58">
        <f t="shared" si="60"/>
        <v>2437.5</v>
      </c>
      <c r="O282" s="58">
        <f t="shared" si="61"/>
        <v>1900</v>
      </c>
      <c r="P282" s="58">
        <f t="shared" si="62"/>
        <v>3219.69696969697</v>
      </c>
      <c r="Q282" s="60">
        <f t="shared" si="63"/>
        <v>6.0714285714285721</v>
      </c>
      <c r="R282" s="58">
        <f t="shared" si="64"/>
        <v>2282.19696969697</v>
      </c>
      <c r="S282" s="58">
        <f t="shared" si="65"/>
        <v>1907.1969696969697</v>
      </c>
      <c r="T282" s="58">
        <f t="shared" si="66"/>
        <v>1369.6969696969697</v>
      </c>
      <c r="U282" s="60">
        <f t="shared" si="67"/>
        <v>4.3035714285714297</v>
      </c>
      <c r="V282" s="60">
        <f t="shared" si="68"/>
        <v>3.596428571428572</v>
      </c>
      <c r="W282" s="60">
        <f t="shared" si="69"/>
        <v>2.5828571428571432</v>
      </c>
      <c r="X282" s="61" t="s">
        <v>239</v>
      </c>
      <c r="Y282" s="1"/>
      <c r="Z282" s="1"/>
    </row>
    <row r="283" spans="1:26" ht="15.75" customHeight="1">
      <c r="A283" s="86"/>
      <c r="B283" s="161"/>
      <c r="C283" s="69"/>
      <c r="D283" s="55" t="s">
        <v>1274</v>
      </c>
      <c r="E283" s="55" t="s">
        <v>1430</v>
      </c>
      <c r="F283" s="56" t="s">
        <v>1425</v>
      </c>
      <c r="G283" s="57" t="s">
        <v>1476</v>
      </c>
      <c r="H283" s="58">
        <v>28000</v>
      </c>
      <c r="I283" s="58">
        <f t="shared" si="56"/>
        <v>19600</v>
      </c>
      <c r="J283" s="58">
        <f t="shared" si="57"/>
        <v>318.18181818181819</v>
      </c>
      <c r="K283" s="58">
        <v>3800</v>
      </c>
      <c r="L283" s="59">
        <f t="shared" si="58"/>
        <v>3750</v>
      </c>
      <c r="M283" s="58">
        <f t="shared" si="59"/>
        <v>2812.5</v>
      </c>
      <c r="N283" s="58">
        <f t="shared" si="60"/>
        <v>2437.5</v>
      </c>
      <c r="O283" s="58">
        <f t="shared" si="61"/>
        <v>1900</v>
      </c>
      <c r="P283" s="58">
        <f t="shared" si="62"/>
        <v>3219.69696969697</v>
      </c>
      <c r="Q283" s="60">
        <f t="shared" si="63"/>
        <v>6.0714285714285721</v>
      </c>
      <c r="R283" s="58">
        <f t="shared" si="64"/>
        <v>2282.19696969697</v>
      </c>
      <c r="S283" s="58">
        <f t="shared" si="65"/>
        <v>1907.1969696969697</v>
      </c>
      <c r="T283" s="58">
        <f t="shared" si="66"/>
        <v>1369.6969696969697</v>
      </c>
      <c r="U283" s="60">
        <f t="shared" si="67"/>
        <v>4.3035714285714297</v>
      </c>
      <c r="V283" s="60">
        <f t="shared" si="68"/>
        <v>3.596428571428572</v>
      </c>
      <c r="W283" s="60">
        <f t="shared" si="69"/>
        <v>2.5828571428571432</v>
      </c>
      <c r="X283" s="61" t="s">
        <v>241</v>
      </c>
      <c r="Y283" s="1"/>
      <c r="Z283" s="1"/>
    </row>
    <row r="284" spans="1:26" ht="15.75" customHeight="1">
      <c r="A284" s="51" t="s">
        <v>1477</v>
      </c>
      <c r="B284" s="161"/>
      <c r="C284" s="43"/>
      <c r="D284" s="55" t="s">
        <v>1478</v>
      </c>
      <c r="E284" s="55" t="s">
        <v>393</v>
      </c>
      <c r="F284" s="56"/>
      <c r="G284" s="57" t="s">
        <v>1479</v>
      </c>
      <c r="H284" s="58">
        <v>15000</v>
      </c>
      <c r="I284" s="58">
        <f t="shared" si="56"/>
        <v>19600</v>
      </c>
      <c r="J284" s="58">
        <f t="shared" si="57"/>
        <v>593.93939393939399</v>
      </c>
      <c r="K284" s="58">
        <v>1400</v>
      </c>
      <c r="L284" s="59">
        <f t="shared" si="58"/>
        <v>3750</v>
      </c>
      <c r="M284" s="58">
        <f t="shared" si="59"/>
        <v>2812.5</v>
      </c>
      <c r="N284" s="58">
        <f t="shared" si="60"/>
        <v>2437.5</v>
      </c>
      <c r="O284" s="58">
        <f t="shared" si="61"/>
        <v>1900</v>
      </c>
      <c r="P284" s="58">
        <f t="shared" si="62"/>
        <v>3431.818181818182</v>
      </c>
      <c r="Q284" s="60">
        <f t="shared" si="63"/>
        <v>10.785714285714286</v>
      </c>
      <c r="R284" s="58">
        <f t="shared" si="64"/>
        <v>2494.318181818182</v>
      </c>
      <c r="S284" s="58">
        <f t="shared" si="65"/>
        <v>2119.318181818182</v>
      </c>
      <c r="T284" s="58">
        <f t="shared" si="66"/>
        <v>1581.8181818181818</v>
      </c>
      <c r="U284" s="60">
        <f t="shared" si="67"/>
        <v>7.8392857142857144</v>
      </c>
      <c r="V284" s="60">
        <f t="shared" si="68"/>
        <v>6.6607142857142865</v>
      </c>
      <c r="W284" s="60">
        <f t="shared" si="69"/>
        <v>4.9714285714285715</v>
      </c>
      <c r="X284" s="61" t="s">
        <v>243</v>
      </c>
      <c r="Y284" s="1"/>
      <c r="Z284" s="1"/>
    </row>
    <row r="285" spans="1:26" ht="15.75" customHeight="1">
      <c r="A285" s="54"/>
      <c r="B285" s="161"/>
      <c r="C285" s="33"/>
      <c r="D285" s="55" t="s">
        <v>412</v>
      </c>
      <c r="E285" s="55" t="s">
        <v>412</v>
      </c>
      <c r="F285" s="56"/>
      <c r="G285" s="57" t="s">
        <v>1480</v>
      </c>
      <c r="H285" s="58">
        <v>16000</v>
      </c>
      <c r="I285" s="58">
        <f t="shared" si="56"/>
        <v>10500</v>
      </c>
      <c r="J285" s="58">
        <f t="shared" si="57"/>
        <v>593.93939393939399</v>
      </c>
      <c r="K285" s="58">
        <v>1400</v>
      </c>
      <c r="L285" s="59">
        <f t="shared" si="58"/>
        <v>1350</v>
      </c>
      <c r="M285" s="58">
        <f t="shared" si="59"/>
        <v>2812.5</v>
      </c>
      <c r="N285" s="58">
        <f t="shared" si="60"/>
        <v>2437.5</v>
      </c>
      <c r="O285" s="58">
        <f t="shared" si="61"/>
        <v>700</v>
      </c>
      <c r="P285" s="58">
        <f t="shared" si="62"/>
        <v>3156.060606060606</v>
      </c>
      <c r="Q285" s="60">
        <f t="shared" si="63"/>
        <v>5.3137755102040813</v>
      </c>
      <c r="R285" s="58">
        <f t="shared" si="64"/>
        <v>2218.560606060606</v>
      </c>
      <c r="S285" s="58">
        <f t="shared" si="65"/>
        <v>1843.560606060606</v>
      </c>
      <c r="T285" s="58">
        <f t="shared" si="66"/>
        <v>1306.060606060606</v>
      </c>
      <c r="U285" s="60">
        <f t="shared" si="67"/>
        <v>3.735331632653061</v>
      </c>
      <c r="V285" s="60">
        <f t="shared" si="68"/>
        <v>3.1039540816326525</v>
      </c>
      <c r="W285" s="60">
        <f t="shared" si="69"/>
        <v>2.1989795918367343</v>
      </c>
      <c r="X285" s="61" t="s">
        <v>244</v>
      </c>
      <c r="Y285" s="1"/>
      <c r="Z285" s="1"/>
    </row>
    <row r="286" spans="1:26" ht="15.75" customHeight="1">
      <c r="A286" s="54"/>
      <c r="B286" s="162"/>
      <c r="C286" s="33"/>
      <c r="D286" s="55" t="s">
        <v>1481</v>
      </c>
      <c r="E286" s="55" t="s">
        <v>607</v>
      </c>
      <c r="F286" s="56"/>
      <c r="G286" s="57" t="s">
        <v>1482</v>
      </c>
      <c r="H286" s="58">
        <v>16000</v>
      </c>
      <c r="I286" s="58">
        <f t="shared" si="56"/>
        <v>11200</v>
      </c>
      <c r="J286" s="58">
        <f t="shared" si="57"/>
        <v>318.18181818181819</v>
      </c>
      <c r="K286" s="58">
        <v>1300</v>
      </c>
      <c r="L286" s="59">
        <f t="shared" si="58"/>
        <v>1350</v>
      </c>
      <c r="M286" s="58">
        <f t="shared" si="59"/>
        <v>1012.5</v>
      </c>
      <c r="N286" s="58">
        <f t="shared" si="60"/>
        <v>877.5</v>
      </c>
      <c r="O286" s="58">
        <f t="shared" si="61"/>
        <v>700</v>
      </c>
      <c r="P286" s="58">
        <f t="shared" si="62"/>
        <v>756.06060606060601</v>
      </c>
      <c r="Q286" s="60">
        <f t="shared" si="63"/>
        <v>1.2729591836734693</v>
      </c>
      <c r="R286" s="58">
        <f t="shared" si="64"/>
        <v>2218.560606060606</v>
      </c>
      <c r="S286" s="58">
        <f t="shared" si="65"/>
        <v>1843.560606060606</v>
      </c>
      <c r="T286" s="58">
        <f t="shared" si="66"/>
        <v>106.06060606060601</v>
      </c>
      <c r="U286" s="60">
        <f t="shared" si="67"/>
        <v>3.735331632653061</v>
      </c>
      <c r="V286" s="60">
        <f t="shared" si="68"/>
        <v>3.1039540816326525</v>
      </c>
      <c r="W286" s="60">
        <f t="shared" si="69"/>
        <v>0.17857142857142846</v>
      </c>
      <c r="X286" s="61" t="s">
        <v>245</v>
      </c>
      <c r="Y286" s="1"/>
      <c r="Z286" s="1"/>
    </row>
    <row r="287" spans="1:26" ht="15.75" customHeight="1">
      <c r="A287" s="54"/>
      <c r="B287" s="162"/>
      <c r="C287" s="33"/>
      <c r="D287" s="55" t="s">
        <v>1165</v>
      </c>
      <c r="E287" s="55" t="s">
        <v>607</v>
      </c>
      <c r="F287" s="56"/>
      <c r="G287" s="57" t="s">
        <v>1483</v>
      </c>
      <c r="H287" s="58">
        <v>15000</v>
      </c>
      <c r="I287" s="58">
        <f t="shared" si="56"/>
        <v>11200</v>
      </c>
      <c r="J287" s="58">
        <f t="shared" si="57"/>
        <v>339.39393939393938</v>
      </c>
      <c r="K287" s="58">
        <v>1300</v>
      </c>
      <c r="L287" s="59">
        <f t="shared" si="58"/>
        <v>1250</v>
      </c>
      <c r="M287" s="58">
        <f t="shared" si="59"/>
        <v>1012.5</v>
      </c>
      <c r="N287" s="58">
        <f t="shared" si="60"/>
        <v>877.5</v>
      </c>
      <c r="O287" s="58">
        <f t="shared" si="61"/>
        <v>650</v>
      </c>
      <c r="P287" s="58">
        <f t="shared" si="62"/>
        <v>1031.8181818181818</v>
      </c>
      <c r="Q287" s="60">
        <f t="shared" si="63"/>
        <v>3.2428571428571424</v>
      </c>
      <c r="R287" s="58">
        <f t="shared" si="64"/>
        <v>694.31818181818176</v>
      </c>
      <c r="S287" s="58">
        <f t="shared" si="65"/>
        <v>559.31818181818176</v>
      </c>
      <c r="T287" s="58">
        <f t="shared" si="66"/>
        <v>381.81818181818181</v>
      </c>
      <c r="U287" s="60">
        <f t="shared" si="67"/>
        <v>2.1821428571428569</v>
      </c>
      <c r="V287" s="60">
        <f t="shared" si="68"/>
        <v>1.7578571428571426</v>
      </c>
      <c r="W287" s="60">
        <f t="shared" si="69"/>
        <v>1.2</v>
      </c>
      <c r="X287" s="61" t="s">
        <v>247</v>
      </c>
      <c r="Y287" s="1"/>
      <c r="Z287" s="1"/>
    </row>
    <row r="288" spans="1:26" ht="15.75" customHeight="1">
      <c r="A288" s="54"/>
      <c r="B288" s="162"/>
      <c r="C288" s="33"/>
      <c r="D288" s="55" t="s">
        <v>1484</v>
      </c>
      <c r="E288" s="55" t="s">
        <v>607</v>
      </c>
      <c r="F288" s="56"/>
      <c r="G288" s="57" t="s">
        <v>1485</v>
      </c>
      <c r="H288" s="58">
        <v>18000</v>
      </c>
      <c r="I288" s="58">
        <f t="shared" si="56"/>
        <v>10500</v>
      </c>
      <c r="J288" s="58">
        <f t="shared" si="57"/>
        <v>339.39393939393938</v>
      </c>
      <c r="K288" s="58">
        <v>1300</v>
      </c>
      <c r="L288" s="59">
        <f t="shared" si="58"/>
        <v>1250</v>
      </c>
      <c r="M288" s="58">
        <f t="shared" si="59"/>
        <v>937.5</v>
      </c>
      <c r="N288" s="58">
        <f t="shared" si="60"/>
        <v>812.5</v>
      </c>
      <c r="O288" s="58">
        <f t="shared" si="61"/>
        <v>650</v>
      </c>
      <c r="P288" s="58">
        <f t="shared" si="62"/>
        <v>910.60606060606062</v>
      </c>
      <c r="Q288" s="60">
        <f t="shared" si="63"/>
        <v>2.6830357142857144</v>
      </c>
      <c r="R288" s="58">
        <f t="shared" si="64"/>
        <v>673.10606060606062</v>
      </c>
      <c r="S288" s="58">
        <f t="shared" si="65"/>
        <v>538.10606060606062</v>
      </c>
      <c r="T288" s="58">
        <f t="shared" si="66"/>
        <v>310.60606060606062</v>
      </c>
      <c r="U288" s="60">
        <f t="shared" si="67"/>
        <v>1.9832589285714288</v>
      </c>
      <c r="V288" s="60">
        <f t="shared" si="68"/>
        <v>1.5854910714285715</v>
      </c>
      <c r="W288" s="60">
        <f t="shared" si="69"/>
        <v>0.91517857142857151</v>
      </c>
      <c r="X288" s="61" t="s">
        <v>249</v>
      </c>
      <c r="Y288" s="1"/>
      <c r="Z288" s="1"/>
    </row>
    <row r="289" spans="1:26" ht="15.75" customHeight="1">
      <c r="A289" s="54"/>
      <c r="B289" s="162"/>
      <c r="C289" s="33"/>
      <c r="D289" s="55" t="s">
        <v>1178</v>
      </c>
      <c r="E289" s="55" t="s">
        <v>607</v>
      </c>
      <c r="F289" s="56"/>
      <c r="G289" s="57" t="s">
        <v>1486</v>
      </c>
      <c r="H289" s="58">
        <v>15000</v>
      </c>
      <c r="I289" s="58">
        <f t="shared" si="56"/>
        <v>12600</v>
      </c>
      <c r="J289" s="58">
        <f t="shared" si="57"/>
        <v>318.18181818181819</v>
      </c>
      <c r="K289" s="58">
        <v>1300</v>
      </c>
      <c r="L289" s="59">
        <f t="shared" si="58"/>
        <v>1250</v>
      </c>
      <c r="M289" s="58">
        <f t="shared" si="59"/>
        <v>937.5</v>
      </c>
      <c r="N289" s="58">
        <f t="shared" si="60"/>
        <v>812.5</v>
      </c>
      <c r="O289" s="58">
        <f t="shared" si="61"/>
        <v>650</v>
      </c>
      <c r="P289" s="58">
        <f t="shared" si="62"/>
        <v>910.60606060606062</v>
      </c>
      <c r="Q289" s="60">
        <f t="shared" si="63"/>
        <v>2.6830357142857144</v>
      </c>
      <c r="R289" s="58">
        <f t="shared" si="64"/>
        <v>598.10606060606062</v>
      </c>
      <c r="S289" s="58">
        <f t="shared" si="65"/>
        <v>473.10606060606062</v>
      </c>
      <c r="T289" s="58">
        <f t="shared" si="66"/>
        <v>310.60606060606062</v>
      </c>
      <c r="U289" s="60">
        <f t="shared" si="67"/>
        <v>1.7622767857142858</v>
      </c>
      <c r="V289" s="60">
        <f t="shared" si="68"/>
        <v>1.3939732142857144</v>
      </c>
      <c r="W289" s="60">
        <f t="shared" si="69"/>
        <v>0.91517857142857151</v>
      </c>
      <c r="X289" s="61"/>
      <c r="Y289" s="1"/>
      <c r="Z289" s="1"/>
    </row>
    <row r="290" spans="1:26" ht="15.75" customHeight="1">
      <c r="A290" s="54"/>
      <c r="B290" s="161"/>
      <c r="C290" s="33"/>
      <c r="D290" s="55" t="s">
        <v>1487</v>
      </c>
      <c r="E290" s="55" t="s">
        <v>607</v>
      </c>
      <c r="F290" s="56"/>
      <c r="G290" s="57" t="s">
        <v>1488</v>
      </c>
      <c r="H290" s="58">
        <v>20000</v>
      </c>
      <c r="I290" s="58">
        <f t="shared" si="56"/>
        <v>10500</v>
      </c>
      <c r="J290" s="58">
        <f t="shared" si="57"/>
        <v>381.81818181818181</v>
      </c>
      <c r="K290" s="58">
        <v>2200</v>
      </c>
      <c r="L290" s="59">
        <f t="shared" si="58"/>
        <v>1250</v>
      </c>
      <c r="M290" s="58">
        <f t="shared" si="59"/>
        <v>937.5</v>
      </c>
      <c r="N290" s="58">
        <f t="shared" si="60"/>
        <v>812.5</v>
      </c>
      <c r="O290" s="58">
        <f t="shared" si="61"/>
        <v>650</v>
      </c>
      <c r="P290" s="58">
        <f t="shared" si="62"/>
        <v>931.81818181818176</v>
      </c>
      <c r="Q290" s="60">
        <f t="shared" si="63"/>
        <v>2.9285714285714284</v>
      </c>
      <c r="R290" s="58">
        <f t="shared" si="64"/>
        <v>619.31818181818176</v>
      </c>
      <c r="S290" s="58">
        <f t="shared" si="65"/>
        <v>494.31818181818181</v>
      </c>
      <c r="T290" s="58">
        <f t="shared" si="66"/>
        <v>331.81818181818181</v>
      </c>
      <c r="U290" s="60">
        <f t="shared" si="67"/>
        <v>1.9464285714285712</v>
      </c>
      <c r="V290" s="60">
        <f t="shared" si="68"/>
        <v>1.5535714285714286</v>
      </c>
      <c r="W290" s="60">
        <f t="shared" si="69"/>
        <v>1.0428571428571429</v>
      </c>
      <c r="X290" s="61" t="s">
        <v>250</v>
      </c>
      <c r="Y290" s="1"/>
      <c r="Z290" s="1"/>
    </row>
    <row r="291" spans="1:26" ht="15.75" customHeight="1">
      <c r="A291" s="54"/>
      <c r="B291" s="161"/>
      <c r="C291" s="33"/>
      <c r="D291" s="55" t="s">
        <v>1487</v>
      </c>
      <c r="E291" s="55" t="s">
        <v>1489</v>
      </c>
      <c r="F291" s="56"/>
      <c r="G291" s="57" t="s">
        <v>1490</v>
      </c>
      <c r="H291" s="58">
        <v>25000</v>
      </c>
      <c r="I291" s="58">
        <f t="shared" si="56"/>
        <v>14000</v>
      </c>
      <c r="J291" s="58">
        <f t="shared" si="57"/>
        <v>318.18181818181819</v>
      </c>
      <c r="K291" s="58">
        <v>2300</v>
      </c>
      <c r="L291" s="59">
        <f t="shared" si="58"/>
        <v>2150</v>
      </c>
      <c r="M291" s="58">
        <f t="shared" si="59"/>
        <v>937.5</v>
      </c>
      <c r="N291" s="58">
        <f t="shared" si="60"/>
        <v>812.5</v>
      </c>
      <c r="O291" s="58">
        <f t="shared" si="61"/>
        <v>1100</v>
      </c>
      <c r="P291" s="58">
        <f t="shared" si="62"/>
        <v>868.18181818181824</v>
      </c>
      <c r="Q291" s="60">
        <f t="shared" si="63"/>
        <v>2.2738095238095242</v>
      </c>
      <c r="R291" s="58">
        <f t="shared" si="64"/>
        <v>555.68181818181824</v>
      </c>
      <c r="S291" s="58">
        <f t="shared" si="65"/>
        <v>430.68181818181819</v>
      </c>
      <c r="T291" s="58">
        <f t="shared" si="66"/>
        <v>268.18181818181819</v>
      </c>
      <c r="U291" s="60">
        <f t="shared" si="67"/>
        <v>1.455357142857143</v>
      </c>
      <c r="V291" s="60">
        <f t="shared" si="68"/>
        <v>1.1279761904761905</v>
      </c>
      <c r="W291" s="60">
        <f t="shared" si="69"/>
        <v>0.70238095238095244</v>
      </c>
      <c r="X291" s="61" t="s">
        <v>250</v>
      </c>
      <c r="Y291" s="1"/>
      <c r="Z291" s="1"/>
    </row>
    <row r="292" spans="1:26" ht="15.75" customHeight="1">
      <c r="A292" s="54"/>
      <c r="B292" s="162"/>
      <c r="C292" s="33"/>
      <c r="D292" s="55" t="s">
        <v>148</v>
      </c>
      <c r="E292" s="55" t="s">
        <v>607</v>
      </c>
      <c r="F292" s="56"/>
      <c r="G292" s="57" t="s">
        <v>1491</v>
      </c>
      <c r="H292" s="58">
        <v>18000</v>
      </c>
      <c r="I292" s="58">
        <f t="shared" si="56"/>
        <v>17500</v>
      </c>
      <c r="J292" s="58">
        <f t="shared" si="57"/>
        <v>424.24242424242425</v>
      </c>
      <c r="K292" s="58">
        <v>1500</v>
      </c>
      <c r="L292" s="59">
        <f t="shared" si="58"/>
        <v>2250</v>
      </c>
      <c r="M292" s="58">
        <f t="shared" si="59"/>
        <v>1612.5</v>
      </c>
      <c r="N292" s="58">
        <f t="shared" si="60"/>
        <v>1397.5</v>
      </c>
      <c r="O292" s="58">
        <f t="shared" si="61"/>
        <v>1150</v>
      </c>
      <c r="P292" s="58">
        <f t="shared" si="62"/>
        <v>1831.8181818181818</v>
      </c>
      <c r="Q292" s="60">
        <f t="shared" si="63"/>
        <v>5.7571428571428571</v>
      </c>
      <c r="R292" s="58">
        <f t="shared" si="64"/>
        <v>619.31818181818176</v>
      </c>
      <c r="S292" s="58">
        <f t="shared" si="65"/>
        <v>494.31818181818181</v>
      </c>
      <c r="T292" s="58">
        <f t="shared" si="66"/>
        <v>781.81818181818176</v>
      </c>
      <c r="U292" s="60">
        <f t="shared" si="67"/>
        <v>1.9464285714285712</v>
      </c>
      <c r="V292" s="60">
        <f t="shared" si="68"/>
        <v>1.5535714285714286</v>
      </c>
      <c r="W292" s="60">
        <f t="shared" si="69"/>
        <v>2.4571428571428569</v>
      </c>
      <c r="X292" s="61" t="s">
        <v>252</v>
      </c>
      <c r="Y292" s="1"/>
      <c r="Z292" s="1"/>
    </row>
    <row r="293" spans="1:26" ht="15.75" customHeight="1">
      <c r="A293" s="54"/>
      <c r="B293" s="162"/>
      <c r="C293" s="33"/>
      <c r="D293" s="55" t="s">
        <v>148</v>
      </c>
      <c r="E293" s="55" t="s">
        <v>1492</v>
      </c>
      <c r="F293" s="56"/>
      <c r="G293" s="57" t="s">
        <v>1493</v>
      </c>
      <c r="H293" s="58">
        <v>20000</v>
      </c>
      <c r="I293" s="58">
        <f t="shared" si="56"/>
        <v>12600</v>
      </c>
      <c r="J293" s="58">
        <f t="shared" si="57"/>
        <v>530.30303030303025</v>
      </c>
      <c r="K293" s="58">
        <v>1700</v>
      </c>
      <c r="L293" s="59">
        <f t="shared" si="58"/>
        <v>1450</v>
      </c>
      <c r="M293" s="58">
        <f t="shared" si="59"/>
        <v>1687.5</v>
      </c>
      <c r="N293" s="58">
        <f t="shared" si="60"/>
        <v>1462.5</v>
      </c>
      <c r="O293" s="58">
        <f t="shared" si="61"/>
        <v>750</v>
      </c>
      <c r="P293" s="58">
        <f t="shared" si="62"/>
        <v>1825.7575757575758</v>
      </c>
      <c r="Q293" s="60">
        <f t="shared" si="63"/>
        <v>4.3035714285714288</v>
      </c>
      <c r="R293" s="58">
        <f t="shared" si="64"/>
        <v>1188.2575757575758</v>
      </c>
      <c r="S293" s="58">
        <f t="shared" si="65"/>
        <v>973.25757575757575</v>
      </c>
      <c r="T293" s="58">
        <f t="shared" si="66"/>
        <v>725.75757575757575</v>
      </c>
      <c r="U293" s="60">
        <f t="shared" si="67"/>
        <v>2.8008928571428573</v>
      </c>
      <c r="V293" s="60">
        <f t="shared" si="68"/>
        <v>2.2941071428571429</v>
      </c>
      <c r="W293" s="60">
        <f t="shared" si="69"/>
        <v>1.7107142857142856</v>
      </c>
      <c r="X293" s="61" t="s">
        <v>253</v>
      </c>
      <c r="Y293" s="1"/>
      <c r="Z293" s="1"/>
    </row>
    <row r="294" spans="1:26" ht="15.75" customHeight="1">
      <c r="A294" s="54"/>
      <c r="B294" s="162"/>
      <c r="C294" s="33"/>
      <c r="D294" s="55" t="s">
        <v>1494</v>
      </c>
      <c r="E294" s="55" t="s">
        <v>607</v>
      </c>
      <c r="F294" s="56"/>
      <c r="G294" s="57" t="s">
        <v>1495</v>
      </c>
      <c r="H294" s="58">
        <v>15000</v>
      </c>
      <c r="I294" s="58">
        <f t="shared" si="56"/>
        <v>14000</v>
      </c>
      <c r="J294" s="58">
        <f t="shared" si="57"/>
        <v>381.81818181818181</v>
      </c>
      <c r="K294" s="58">
        <v>1400</v>
      </c>
      <c r="L294" s="59">
        <f t="shared" si="58"/>
        <v>1650</v>
      </c>
      <c r="M294" s="58">
        <f t="shared" si="59"/>
        <v>1087.5</v>
      </c>
      <c r="N294" s="58">
        <f t="shared" si="60"/>
        <v>942.5</v>
      </c>
      <c r="O294" s="58">
        <f t="shared" si="61"/>
        <v>850</v>
      </c>
      <c r="P294" s="58">
        <f t="shared" si="62"/>
        <v>919.69696969696975</v>
      </c>
      <c r="Q294" s="60">
        <f t="shared" si="63"/>
        <v>1.7342857142857144</v>
      </c>
      <c r="R294" s="58">
        <f t="shared" si="64"/>
        <v>1157.1969696969697</v>
      </c>
      <c r="S294" s="58">
        <f t="shared" si="65"/>
        <v>932.19696969696975</v>
      </c>
      <c r="T294" s="58">
        <f t="shared" si="66"/>
        <v>219.69696969696975</v>
      </c>
      <c r="U294" s="60">
        <f t="shared" si="67"/>
        <v>2.1821428571428574</v>
      </c>
      <c r="V294" s="60">
        <f t="shared" si="68"/>
        <v>1.757857142857143</v>
      </c>
      <c r="W294" s="60">
        <f t="shared" si="69"/>
        <v>0.41428571428571442</v>
      </c>
      <c r="X294" s="61" t="s">
        <v>254</v>
      </c>
      <c r="Y294" s="1"/>
      <c r="Z294" s="1"/>
    </row>
    <row r="295" spans="1:26" ht="15.75" customHeight="1">
      <c r="A295" s="54"/>
      <c r="B295" s="161"/>
      <c r="C295" s="33"/>
      <c r="D295" s="55" t="s">
        <v>133</v>
      </c>
      <c r="E295" s="55" t="s">
        <v>131</v>
      </c>
      <c r="F295" s="56"/>
      <c r="G295" s="57" t="s">
        <v>1496</v>
      </c>
      <c r="H295" s="58">
        <v>18000</v>
      </c>
      <c r="I295" s="58">
        <f t="shared" si="56"/>
        <v>10500</v>
      </c>
      <c r="J295" s="58">
        <f t="shared" si="57"/>
        <v>424.24242424242425</v>
      </c>
      <c r="K295" s="58">
        <v>1400</v>
      </c>
      <c r="L295" s="59">
        <f t="shared" si="58"/>
        <v>1350</v>
      </c>
      <c r="M295" s="58">
        <f t="shared" si="59"/>
        <v>1237.5</v>
      </c>
      <c r="N295" s="58">
        <f t="shared" si="60"/>
        <v>1072.5</v>
      </c>
      <c r="O295" s="58">
        <f t="shared" si="61"/>
        <v>700</v>
      </c>
      <c r="P295" s="58">
        <f t="shared" si="62"/>
        <v>1268.1818181818182</v>
      </c>
      <c r="Q295" s="60">
        <f t="shared" si="63"/>
        <v>3.3214285714285716</v>
      </c>
      <c r="R295" s="58">
        <f t="shared" si="64"/>
        <v>705.68181818181824</v>
      </c>
      <c r="S295" s="58">
        <f t="shared" si="65"/>
        <v>560.68181818181824</v>
      </c>
      <c r="T295" s="58">
        <f t="shared" si="66"/>
        <v>468.18181818181819</v>
      </c>
      <c r="U295" s="60">
        <f t="shared" si="67"/>
        <v>1.8482142857142858</v>
      </c>
      <c r="V295" s="60">
        <f t="shared" si="68"/>
        <v>1.4684523809523811</v>
      </c>
      <c r="W295" s="60">
        <f t="shared" si="69"/>
        <v>1.2261904761904763</v>
      </c>
      <c r="X295" s="61"/>
      <c r="Y295" s="1"/>
      <c r="Z295" s="1"/>
    </row>
    <row r="296" spans="1:26" ht="15.75" customHeight="1">
      <c r="A296" s="54"/>
      <c r="B296" s="161"/>
      <c r="C296" s="33"/>
      <c r="D296" s="55" t="s">
        <v>1497</v>
      </c>
      <c r="E296" s="55" t="s">
        <v>607</v>
      </c>
      <c r="F296" s="56"/>
      <c r="G296" s="57" t="s">
        <v>1498</v>
      </c>
      <c r="H296" s="58">
        <v>18000</v>
      </c>
      <c r="I296" s="58">
        <f t="shared" si="56"/>
        <v>12600</v>
      </c>
      <c r="J296" s="58">
        <f t="shared" si="57"/>
        <v>318.18181818181819</v>
      </c>
      <c r="K296" s="58">
        <v>1400</v>
      </c>
      <c r="L296" s="59">
        <f t="shared" si="58"/>
        <v>1350</v>
      </c>
      <c r="M296" s="58">
        <f t="shared" si="59"/>
        <v>1012.5</v>
      </c>
      <c r="N296" s="58">
        <f t="shared" si="60"/>
        <v>877.5</v>
      </c>
      <c r="O296" s="58">
        <f t="shared" si="61"/>
        <v>700</v>
      </c>
      <c r="P296" s="58">
        <f t="shared" si="62"/>
        <v>925.75757575757575</v>
      </c>
      <c r="Q296" s="60">
        <f t="shared" si="63"/>
        <v>2.1821428571428569</v>
      </c>
      <c r="R296" s="58">
        <f t="shared" si="64"/>
        <v>813.25757575757575</v>
      </c>
      <c r="S296" s="58">
        <f t="shared" si="65"/>
        <v>648.25757575757575</v>
      </c>
      <c r="T296" s="58">
        <f t="shared" si="66"/>
        <v>275.75757575757575</v>
      </c>
      <c r="U296" s="60">
        <f t="shared" si="67"/>
        <v>1.9169642857142857</v>
      </c>
      <c r="V296" s="60">
        <f t="shared" si="68"/>
        <v>1.5280357142857142</v>
      </c>
      <c r="W296" s="60">
        <f t="shared" si="69"/>
        <v>0.65</v>
      </c>
      <c r="X296" s="61"/>
      <c r="Y296" s="1"/>
      <c r="Z296" s="1"/>
    </row>
    <row r="297" spans="1:26" ht="15.75" customHeight="1">
      <c r="A297" s="87"/>
      <c r="B297" s="162"/>
      <c r="C297" s="88"/>
      <c r="D297" s="55" t="s">
        <v>1428</v>
      </c>
      <c r="E297" s="55" t="s">
        <v>607</v>
      </c>
      <c r="F297" s="89"/>
      <c r="G297" s="57" t="s">
        <v>1499</v>
      </c>
      <c r="H297" s="58">
        <v>15000</v>
      </c>
      <c r="I297" s="58">
        <f t="shared" si="56"/>
        <v>12600</v>
      </c>
      <c r="J297" s="58">
        <f t="shared" si="57"/>
        <v>381.81818181818181</v>
      </c>
      <c r="K297" s="58">
        <v>1300</v>
      </c>
      <c r="L297" s="59">
        <f t="shared" si="58"/>
        <v>1350</v>
      </c>
      <c r="M297" s="58">
        <f t="shared" si="59"/>
        <v>1012.5</v>
      </c>
      <c r="N297" s="58">
        <f t="shared" si="60"/>
        <v>877.5</v>
      </c>
      <c r="O297" s="58">
        <f t="shared" si="61"/>
        <v>700</v>
      </c>
      <c r="P297" s="58">
        <f t="shared" si="62"/>
        <v>1031.8181818181818</v>
      </c>
      <c r="Q297" s="60">
        <f t="shared" si="63"/>
        <v>3.2428571428571424</v>
      </c>
      <c r="R297" s="58">
        <f t="shared" si="64"/>
        <v>694.31818181818176</v>
      </c>
      <c r="S297" s="58">
        <f t="shared" si="65"/>
        <v>559.31818181818176</v>
      </c>
      <c r="T297" s="58">
        <f t="shared" si="66"/>
        <v>381.81818181818181</v>
      </c>
      <c r="U297" s="60">
        <f t="shared" si="67"/>
        <v>2.1821428571428569</v>
      </c>
      <c r="V297" s="60">
        <f t="shared" si="68"/>
        <v>1.7578571428571426</v>
      </c>
      <c r="W297" s="60">
        <f t="shared" si="69"/>
        <v>1.2</v>
      </c>
      <c r="X297" s="55" t="s">
        <v>256</v>
      </c>
      <c r="Y297" s="1"/>
      <c r="Z297" s="1"/>
    </row>
    <row r="298" spans="1:26" ht="15.75" customHeight="1">
      <c r="A298" s="54"/>
      <c r="B298" s="162"/>
      <c r="C298" s="33"/>
      <c r="D298" s="55" t="s">
        <v>1078</v>
      </c>
      <c r="E298" s="55" t="s">
        <v>607</v>
      </c>
      <c r="F298" s="56"/>
      <c r="G298" s="57" t="s">
        <v>1500</v>
      </c>
      <c r="H298" s="58">
        <v>20000</v>
      </c>
      <c r="I298" s="58">
        <f t="shared" si="56"/>
        <v>10500</v>
      </c>
      <c r="J298" s="58">
        <f t="shared" si="57"/>
        <v>381.81818181818181</v>
      </c>
      <c r="K298" s="58">
        <v>1300</v>
      </c>
      <c r="L298" s="59">
        <f t="shared" si="58"/>
        <v>1250</v>
      </c>
      <c r="M298" s="58">
        <f t="shared" si="59"/>
        <v>1012.5</v>
      </c>
      <c r="N298" s="58">
        <f t="shared" si="60"/>
        <v>877.5</v>
      </c>
      <c r="O298" s="58">
        <f t="shared" si="61"/>
        <v>650</v>
      </c>
      <c r="P298" s="58">
        <f t="shared" si="62"/>
        <v>968.18181818181824</v>
      </c>
      <c r="Q298" s="60">
        <f t="shared" si="63"/>
        <v>2.535714285714286</v>
      </c>
      <c r="R298" s="58">
        <f t="shared" si="64"/>
        <v>630.68181818181824</v>
      </c>
      <c r="S298" s="58">
        <f t="shared" si="65"/>
        <v>495.68181818181819</v>
      </c>
      <c r="T298" s="58">
        <f t="shared" si="66"/>
        <v>318.18181818181819</v>
      </c>
      <c r="U298" s="60">
        <f t="shared" si="67"/>
        <v>1.6517857142857144</v>
      </c>
      <c r="V298" s="60">
        <f t="shared" si="68"/>
        <v>1.2982142857142858</v>
      </c>
      <c r="W298" s="60">
        <f t="shared" si="69"/>
        <v>0.83333333333333337</v>
      </c>
      <c r="X298" s="61" t="s">
        <v>13</v>
      </c>
      <c r="Y298" s="1"/>
      <c r="Z298" s="1"/>
    </row>
    <row r="299" spans="1:26" ht="15.75" customHeight="1">
      <c r="A299" s="54"/>
      <c r="B299" s="162"/>
      <c r="C299" s="33"/>
      <c r="D299" s="55" t="s">
        <v>232</v>
      </c>
      <c r="E299" s="55" t="s">
        <v>607</v>
      </c>
      <c r="F299" s="56"/>
      <c r="G299" s="57" t="s">
        <v>1501</v>
      </c>
      <c r="H299" s="58">
        <v>15000</v>
      </c>
      <c r="I299" s="58">
        <f t="shared" si="56"/>
        <v>14000</v>
      </c>
      <c r="J299" s="58">
        <f t="shared" si="57"/>
        <v>318.18181818181819</v>
      </c>
      <c r="K299" s="58">
        <v>1300</v>
      </c>
      <c r="L299" s="59">
        <f t="shared" si="58"/>
        <v>1250</v>
      </c>
      <c r="M299" s="58">
        <f t="shared" si="59"/>
        <v>937.5</v>
      </c>
      <c r="N299" s="58">
        <f t="shared" si="60"/>
        <v>812.5</v>
      </c>
      <c r="O299" s="58">
        <f t="shared" si="61"/>
        <v>650</v>
      </c>
      <c r="P299" s="58">
        <f t="shared" si="62"/>
        <v>868.18181818181824</v>
      </c>
      <c r="Q299" s="60">
        <f t="shared" si="63"/>
        <v>2.2738095238095242</v>
      </c>
      <c r="R299" s="58">
        <f t="shared" si="64"/>
        <v>630.68181818181824</v>
      </c>
      <c r="S299" s="58">
        <f t="shared" si="65"/>
        <v>495.68181818181819</v>
      </c>
      <c r="T299" s="58">
        <f t="shared" si="66"/>
        <v>268.18181818181819</v>
      </c>
      <c r="U299" s="60">
        <f t="shared" si="67"/>
        <v>1.6517857142857144</v>
      </c>
      <c r="V299" s="60">
        <f t="shared" si="68"/>
        <v>1.2982142857142858</v>
      </c>
      <c r="W299" s="60">
        <f t="shared" si="69"/>
        <v>0.70238095238095244</v>
      </c>
      <c r="X299" s="61"/>
      <c r="Y299" s="1"/>
      <c r="Z299" s="1"/>
    </row>
    <row r="300" spans="1:26" ht="15.75" customHeight="1">
      <c r="A300" s="54"/>
      <c r="B300" s="162"/>
      <c r="C300" s="33"/>
      <c r="D300" s="55" t="s">
        <v>322</v>
      </c>
      <c r="E300" s="55" t="s">
        <v>607</v>
      </c>
      <c r="F300" s="56"/>
      <c r="G300" s="57" t="s">
        <v>1502</v>
      </c>
      <c r="H300" s="58">
        <v>18000</v>
      </c>
      <c r="I300" s="58">
        <f t="shared" si="56"/>
        <v>10500</v>
      </c>
      <c r="J300" s="58">
        <f t="shared" si="57"/>
        <v>424.24242424242425</v>
      </c>
      <c r="K300" s="58">
        <v>1300</v>
      </c>
      <c r="L300" s="59">
        <f t="shared" si="58"/>
        <v>1250</v>
      </c>
      <c r="M300" s="58">
        <f t="shared" si="59"/>
        <v>937.5</v>
      </c>
      <c r="N300" s="58">
        <f t="shared" si="60"/>
        <v>812.5</v>
      </c>
      <c r="O300" s="58">
        <f t="shared" si="61"/>
        <v>650</v>
      </c>
      <c r="P300" s="58">
        <f t="shared" si="62"/>
        <v>931.81818181818176</v>
      </c>
      <c r="Q300" s="60">
        <f t="shared" si="63"/>
        <v>2.9285714285714284</v>
      </c>
      <c r="R300" s="58">
        <f t="shared" si="64"/>
        <v>619.31818181818176</v>
      </c>
      <c r="S300" s="58">
        <f t="shared" si="65"/>
        <v>494.31818181818181</v>
      </c>
      <c r="T300" s="58">
        <f t="shared" si="66"/>
        <v>331.81818181818181</v>
      </c>
      <c r="U300" s="60">
        <f t="shared" si="67"/>
        <v>1.9464285714285712</v>
      </c>
      <c r="V300" s="60">
        <f t="shared" si="68"/>
        <v>1.5535714285714286</v>
      </c>
      <c r="W300" s="60">
        <f t="shared" si="69"/>
        <v>1.0428571428571429</v>
      </c>
      <c r="X300" s="61" t="s">
        <v>258</v>
      </c>
      <c r="Y300" s="1"/>
      <c r="Z300" s="1"/>
    </row>
    <row r="301" spans="1:26" ht="15.75" customHeight="1">
      <c r="A301" s="54"/>
      <c r="B301" s="162"/>
      <c r="C301" s="33"/>
      <c r="D301" s="55" t="s">
        <v>314</v>
      </c>
      <c r="E301" s="55" t="s">
        <v>607</v>
      </c>
      <c r="F301" s="56"/>
      <c r="G301" s="57" t="s">
        <v>1503</v>
      </c>
      <c r="H301" s="58">
        <v>16000</v>
      </c>
      <c r="I301" s="58">
        <f t="shared" si="56"/>
        <v>12600</v>
      </c>
      <c r="J301" s="58">
        <f t="shared" si="57"/>
        <v>318.18181818181819</v>
      </c>
      <c r="K301" s="58">
        <v>1300</v>
      </c>
      <c r="L301" s="59">
        <f t="shared" si="58"/>
        <v>1250</v>
      </c>
      <c r="M301" s="58">
        <f t="shared" si="59"/>
        <v>937.5</v>
      </c>
      <c r="N301" s="58">
        <f t="shared" si="60"/>
        <v>812.5</v>
      </c>
      <c r="O301" s="58">
        <f t="shared" si="61"/>
        <v>650</v>
      </c>
      <c r="P301" s="58">
        <f t="shared" si="62"/>
        <v>825.75757575757575</v>
      </c>
      <c r="Q301" s="60">
        <f t="shared" si="63"/>
        <v>1.9464285714285714</v>
      </c>
      <c r="R301" s="58">
        <f t="shared" si="64"/>
        <v>513.25757575757575</v>
      </c>
      <c r="S301" s="58">
        <f t="shared" si="65"/>
        <v>388.25757575757575</v>
      </c>
      <c r="T301" s="58">
        <f t="shared" si="66"/>
        <v>225.75757575757575</v>
      </c>
      <c r="U301" s="60">
        <f t="shared" si="67"/>
        <v>1.2098214285714286</v>
      </c>
      <c r="V301" s="60">
        <f t="shared" si="68"/>
        <v>0.9151785714285714</v>
      </c>
      <c r="W301" s="60">
        <f t="shared" si="69"/>
        <v>0.53214285714285714</v>
      </c>
      <c r="X301" s="61" t="s">
        <v>260</v>
      </c>
      <c r="Y301" s="1"/>
      <c r="Z301" s="1"/>
    </row>
    <row r="302" spans="1:26" ht="15.75" customHeight="1">
      <c r="A302" s="54"/>
      <c r="B302" s="162"/>
      <c r="C302" s="33"/>
      <c r="D302" s="55" t="s">
        <v>1504</v>
      </c>
      <c r="E302" s="55" t="s">
        <v>607</v>
      </c>
      <c r="F302" s="56"/>
      <c r="G302" s="57" t="s">
        <v>1505</v>
      </c>
      <c r="H302" s="58">
        <v>16000</v>
      </c>
      <c r="I302" s="58">
        <f t="shared" si="56"/>
        <v>11200</v>
      </c>
      <c r="J302" s="58">
        <f t="shared" si="57"/>
        <v>381.81818181818181</v>
      </c>
      <c r="K302" s="58">
        <v>1300</v>
      </c>
      <c r="L302" s="59">
        <f t="shared" si="58"/>
        <v>1250</v>
      </c>
      <c r="M302" s="58">
        <f t="shared" si="59"/>
        <v>937.5</v>
      </c>
      <c r="N302" s="58">
        <f t="shared" si="60"/>
        <v>812.5</v>
      </c>
      <c r="O302" s="58">
        <f t="shared" si="61"/>
        <v>650</v>
      </c>
      <c r="P302" s="58">
        <f t="shared" si="62"/>
        <v>931.81818181818176</v>
      </c>
      <c r="Q302" s="60">
        <f t="shared" si="63"/>
        <v>2.9285714285714284</v>
      </c>
      <c r="R302" s="58">
        <f t="shared" si="64"/>
        <v>619.31818181818176</v>
      </c>
      <c r="S302" s="58">
        <f t="shared" si="65"/>
        <v>494.31818181818181</v>
      </c>
      <c r="T302" s="58">
        <f t="shared" si="66"/>
        <v>331.81818181818181</v>
      </c>
      <c r="U302" s="60">
        <f t="shared" si="67"/>
        <v>1.9464285714285712</v>
      </c>
      <c r="V302" s="60">
        <f t="shared" si="68"/>
        <v>1.5535714285714286</v>
      </c>
      <c r="W302" s="60">
        <f t="shared" si="69"/>
        <v>1.0428571428571429</v>
      </c>
      <c r="X302" s="61" t="s">
        <v>262</v>
      </c>
      <c r="Y302" s="1"/>
      <c r="Z302" s="1"/>
    </row>
    <row r="303" spans="1:26" ht="15.75" customHeight="1">
      <c r="A303" s="54"/>
      <c r="B303" s="162"/>
      <c r="C303" s="33"/>
      <c r="D303" s="55" t="s">
        <v>1506</v>
      </c>
      <c r="E303" s="55" t="s">
        <v>607</v>
      </c>
      <c r="F303" s="56"/>
      <c r="G303" s="57" t="s">
        <v>1507</v>
      </c>
      <c r="H303" s="58">
        <v>16000</v>
      </c>
      <c r="I303" s="58">
        <f t="shared" si="56"/>
        <v>11200</v>
      </c>
      <c r="J303" s="58">
        <f t="shared" si="57"/>
        <v>339.39393939393938</v>
      </c>
      <c r="K303" s="58">
        <v>1300</v>
      </c>
      <c r="L303" s="59">
        <f t="shared" si="58"/>
        <v>1250</v>
      </c>
      <c r="M303" s="58">
        <f t="shared" si="59"/>
        <v>937.5</v>
      </c>
      <c r="N303" s="58">
        <f t="shared" si="60"/>
        <v>812.5</v>
      </c>
      <c r="O303" s="58">
        <f t="shared" si="61"/>
        <v>650</v>
      </c>
      <c r="P303" s="58">
        <f t="shared" si="62"/>
        <v>868.18181818181824</v>
      </c>
      <c r="Q303" s="60">
        <f t="shared" si="63"/>
        <v>2.2738095238095242</v>
      </c>
      <c r="R303" s="58">
        <f t="shared" si="64"/>
        <v>555.68181818181824</v>
      </c>
      <c r="S303" s="58">
        <f t="shared" si="65"/>
        <v>430.68181818181819</v>
      </c>
      <c r="T303" s="58">
        <f t="shared" si="66"/>
        <v>268.18181818181819</v>
      </c>
      <c r="U303" s="60">
        <f t="shared" si="67"/>
        <v>1.455357142857143</v>
      </c>
      <c r="V303" s="60">
        <f t="shared" si="68"/>
        <v>1.1279761904761905</v>
      </c>
      <c r="W303" s="60">
        <f t="shared" si="69"/>
        <v>0.70238095238095244</v>
      </c>
      <c r="X303" s="61" t="s">
        <v>263</v>
      </c>
      <c r="Y303" s="1"/>
      <c r="Z303" s="1"/>
    </row>
    <row r="304" spans="1:26" ht="15.75" customHeight="1">
      <c r="A304" s="54"/>
      <c r="B304" s="162"/>
      <c r="C304" s="33"/>
      <c r="D304" s="55" t="s">
        <v>1508</v>
      </c>
      <c r="E304" s="55" t="s">
        <v>493</v>
      </c>
      <c r="F304" s="56"/>
      <c r="G304" s="57" t="s">
        <v>1509</v>
      </c>
      <c r="H304" s="58">
        <v>15000</v>
      </c>
      <c r="I304" s="58">
        <f t="shared" si="56"/>
        <v>11200</v>
      </c>
      <c r="J304" s="58">
        <f t="shared" si="57"/>
        <v>339.39393939393938</v>
      </c>
      <c r="K304" s="58">
        <v>1400</v>
      </c>
      <c r="L304" s="59">
        <f t="shared" si="58"/>
        <v>1250</v>
      </c>
      <c r="M304" s="58">
        <f t="shared" si="59"/>
        <v>937.5</v>
      </c>
      <c r="N304" s="58">
        <f t="shared" si="60"/>
        <v>812.5</v>
      </c>
      <c r="O304" s="58">
        <f t="shared" si="61"/>
        <v>650</v>
      </c>
      <c r="P304" s="58">
        <f t="shared" si="62"/>
        <v>910.60606060606062</v>
      </c>
      <c r="Q304" s="60">
        <f t="shared" si="63"/>
        <v>2.6830357142857144</v>
      </c>
      <c r="R304" s="58">
        <f t="shared" si="64"/>
        <v>598.10606060606062</v>
      </c>
      <c r="S304" s="58">
        <f t="shared" si="65"/>
        <v>473.10606060606062</v>
      </c>
      <c r="T304" s="58">
        <f t="shared" si="66"/>
        <v>310.60606060606062</v>
      </c>
      <c r="U304" s="60">
        <f t="shared" si="67"/>
        <v>1.7622767857142858</v>
      </c>
      <c r="V304" s="60">
        <f t="shared" si="68"/>
        <v>1.3939732142857144</v>
      </c>
      <c r="W304" s="60">
        <f t="shared" si="69"/>
        <v>0.91517857142857151</v>
      </c>
      <c r="X304" s="61"/>
      <c r="Y304" s="1"/>
      <c r="Z304" s="1"/>
    </row>
    <row r="305" spans="1:26" ht="15.75" customHeight="1">
      <c r="A305" s="54"/>
      <c r="B305" s="162"/>
      <c r="C305" s="33"/>
      <c r="D305" s="55" t="s">
        <v>1064</v>
      </c>
      <c r="E305" s="55" t="s">
        <v>607</v>
      </c>
      <c r="F305" s="56"/>
      <c r="G305" s="57" t="s">
        <v>1510</v>
      </c>
      <c r="H305" s="58">
        <v>15000</v>
      </c>
      <c r="I305" s="58">
        <f t="shared" si="56"/>
        <v>10500</v>
      </c>
      <c r="J305" s="58">
        <f t="shared" si="57"/>
        <v>339.39393939393938</v>
      </c>
      <c r="K305" s="58">
        <v>1300</v>
      </c>
      <c r="L305" s="59">
        <f t="shared" si="58"/>
        <v>1350</v>
      </c>
      <c r="M305" s="58">
        <f t="shared" si="59"/>
        <v>937.5</v>
      </c>
      <c r="N305" s="58">
        <f t="shared" si="60"/>
        <v>812.5</v>
      </c>
      <c r="O305" s="58">
        <f t="shared" si="61"/>
        <v>700</v>
      </c>
      <c r="P305" s="58">
        <f t="shared" si="62"/>
        <v>910.60606060606062</v>
      </c>
      <c r="Q305" s="60">
        <f t="shared" si="63"/>
        <v>2.6830357142857144</v>
      </c>
      <c r="R305" s="58">
        <f t="shared" si="64"/>
        <v>598.10606060606062</v>
      </c>
      <c r="S305" s="58">
        <f t="shared" si="65"/>
        <v>473.10606060606062</v>
      </c>
      <c r="T305" s="58">
        <f t="shared" si="66"/>
        <v>310.60606060606062</v>
      </c>
      <c r="U305" s="60">
        <f t="shared" si="67"/>
        <v>1.7622767857142858</v>
      </c>
      <c r="V305" s="60">
        <f t="shared" si="68"/>
        <v>1.3939732142857144</v>
      </c>
      <c r="W305" s="60">
        <f t="shared" si="69"/>
        <v>0.91517857142857151</v>
      </c>
      <c r="X305" s="61" t="s">
        <v>264</v>
      </c>
      <c r="Y305" s="1"/>
      <c r="Z305" s="1"/>
    </row>
    <row r="306" spans="1:26" ht="15.75" customHeight="1">
      <c r="A306" s="54"/>
      <c r="B306" s="162"/>
      <c r="C306" s="33"/>
      <c r="D306" s="55" t="s">
        <v>1511</v>
      </c>
      <c r="E306" s="55" t="s">
        <v>607</v>
      </c>
      <c r="F306" s="56"/>
      <c r="G306" s="57" t="s">
        <v>1512</v>
      </c>
      <c r="H306" s="58">
        <v>18000</v>
      </c>
      <c r="I306" s="58">
        <f t="shared" si="56"/>
        <v>10500</v>
      </c>
      <c r="J306" s="58">
        <f t="shared" si="57"/>
        <v>318.18181818181819</v>
      </c>
      <c r="K306" s="58">
        <v>1400</v>
      </c>
      <c r="L306" s="59">
        <f t="shared" si="58"/>
        <v>1250</v>
      </c>
      <c r="M306" s="58">
        <f t="shared" si="59"/>
        <v>1012.5</v>
      </c>
      <c r="N306" s="58">
        <f t="shared" si="60"/>
        <v>877.5</v>
      </c>
      <c r="O306" s="58">
        <f t="shared" si="61"/>
        <v>650</v>
      </c>
      <c r="P306" s="58">
        <f t="shared" si="62"/>
        <v>1010.6060606060606</v>
      </c>
      <c r="Q306" s="60">
        <f t="shared" si="63"/>
        <v>2.9776785714285716</v>
      </c>
      <c r="R306" s="58">
        <f t="shared" si="64"/>
        <v>598.10606060606062</v>
      </c>
      <c r="S306" s="58">
        <f t="shared" si="65"/>
        <v>473.10606060606062</v>
      </c>
      <c r="T306" s="58">
        <f t="shared" si="66"/>
        <v>360.60606060606062</v>
      </c>
      <c r="U306" s="60">
        <f t="shared" si="67"/>
        <v>1.7622767857142858</v>
      </c>
      <c r="V306" s="60">
        <f t="shared" si="68"/>
        <v>1.3939732142857144</v>
      </c>
      <c r="W306" s="60">
        <f t="shared" si="69"/>
        <v>1.0625</v>
      </c>
      <c r="X306" s="61"/>
      <c r="Y306" s="1"/>
      <c r="Z306" s="1"/>
    </row>
    <row r="307" spans="1:26" ht="15.75" customHeight="1">
      <c r="A307" s="54"/>
      <c r="B307" s="162"/>
      <c r="C307" s="33"/>
      <c r="D307" s="55" t="s">
        <v>1513</v>
      </c>
      <c r="E307" s="55" t="s">
        <v>607</v>
      </c>
      <c r="F307" s="56"/>
      <c r="G307" s="57" t="s">
        <v>1514</v>
      </c>
      <c r="H307" s="58">
        <v>15000</v>
      </c>
      <c r="I307" s="58">
        <f t="shared" si="56"/>
        <v>12600</v>
      </c>
      <c r="J307" s="58">
        <f t="shared" si="57"/>
        <v>318.18181818181819</v>
      </c>
      <c r="K307" s="58">
        <v>1500</v>
      </c>
      <c r="L307" s="59">
        <f t="shared" si="58"/>
        <v>1350</v>
      </c>
      <c r="M307" s="58">
        <f t="shared" si="59"/>
        <v>937.5</v>
      </c>
      <c r="N307" s="58">
        <f t="shared" si="60"/>
        <v>812.5</v>
      </c>
      <c r="O307" s="58">
        <f t="shared" si="61"/>
        <v>700</v>
      </c>
      <c r="P307" s="58">
        <f t="shared" si="62"/>
        <v>931.81818181818176</v>
      </c>
      <c r="Q307" s="60">
        <f t="shared" si="63"/>
        <v>2.9285714285714284</v>
      </c>
      <c r="R307" s="58">
        <f t="shared" si="64"/>
        <v>694.31818181818176</v>
      </c>
      <c r="S307" s="58">
        <f t="shared" si="65"/>
        <v>559.31818181818176</v>
      </c>
      <c r="T307" s="58">
        <f t="shared" si="66"/>
        <v>331.81818181818181</v>
      </c>
      <c r="U307" s="60">
        <f t="shared" si="67"/>
        <v>2.1821428571428569</v>
      </c>
      <c r="V307" s="60">
        <f t="shared" si="68"/>
        <v>1.7578571428571426</v>
      </c>
      <c r="W307" s="60">
        <f t="shared" si="69"/>
        <v>1.0428571428571429</v>
      </c>
      <c r="X307" s="61" t="s">
        <v>265</v>
      </c>
      <c r="Y307" s="1"/>
      <c r="Z307" s="1"/>
    </row>
    <row r="308" spans="1:26" ht="15.75" customHeight="1">
      <c r="A308" s="54"/>
      <c r="B308" s="162"/>
      <c r="C308" s="33"/>
      <c r="D308" s="55" t="s">
        <v>1013</v>
      </c>
      <c r="E308" s="55" t="s">
        <v>607</v>
      </c>
      <c r="F308" s="56"/>
      <c r="G308" s="57" t="s">
        <v>1515</v>
      </c>
      <c r="H308" s="58">
        <v>15000</v>
      </c>
      <c r="I308" s="58">
        <f t="shared" si="56"/>
        <v>10500</v>
      </c>
      <c r="J308" s="58">
        <f t="shared" si="57"/>
        <v>381.81818181818181</v>
      </c>
      <c r="K308" s="58">
        <v>1500</v>
      </c>
      <c r="L308" s="59">
        <f t="shared" si="58"/>
        <v>1450</v>
      </c>
      <c r="M308" s="58">
        <f t="shared" si="59"/>
        <v>1012.5</v>
      </c>
      <c r="N308" s="58">
        <f t="shared" si="60"/>
        <v>877.5</v>
      </c>
      <c r="O308" s="58">
        <f t="shared" si="61"/>
        <v>750</v>
      </c>
      <c r="P308" s="58">
        <f t="shared" si="62"/>
        <v>1031.8181818181818</v>
      </c>
      <c r="Q308" s="60">
        <f t="shared" si="63"/>
        <v>3.2428571428571424</v>
      </c>
      <c r="R308" s="58">
        <f t="shared" si="64"/>
        <v>619.31818181818176</v>
      </c>
      <c r="S308" s="58">
        <f t="shared" si="65"/>
        <v>494.31818181818181</v>
      </c>
      <c r="T308" s="58">
        <f t="shared" si="66"/>
        <v>381.81818181818181</v>
      </c>
      <c r="U308" s="60">
        <f t="shared" si="67"/>
        <v>1.9464285714285712</v>
      </c>
      <c r="V308" s="60">
        <f t="shared" si="68"/>
        <v>1.5535714285714286</v>
      </c>
      <c r="W308" s="60">
        <f t="shared" si="69"/>
        <v>1.2</v>
      </c>
      <c r="X308" s="61" t="s">
        <v>266</v>
      </c>
      <c r="Y308" s="1"/>
      <c r="Z308" s="1"/>
    </row>
    <row r="309" spans="1:26" ht="15.75" customHeight="1">
      <c r="A309" s="54"/>
      <c r="B309" s="161"/>
      <c r="C309" s="33"/>
      <c r="D309" s="55" t="s">
        <v>1516</v>
      </c>
      <c r="E309" s="55"/>
      <c r="F309" s="56"/>
      <c r="G309" s="57" t="s">
        <v>1517</v>
      </c>
      <c r="H309" s="58">
        <v>25000</v>
      </c>
      <c r="I309" s="58">
        <f t="shared" si="56"/>
        <v>10500</v>
      </c>
      <c r="J309" s="58">
        <f t="shared" si="57"/>
        <v>318.18181818181819</v>
      </c>
      <c r="K309" s="58">
        <v>1300</v>
      </c>
      <c r="L309" s="59">
        <f t="shared" si="58"/>
        <v>1450</v>
      </c>
      <c r="M309" s="58">
        <f t="shared" si="59"/>
        <v>1087.5</v>
      </c>
      <c r="N309" s="58">
        <f t="shared" si="60"/>
        <v>942.5</v>
      </c>
      <c r="O309" s="58">
        <f t="shared" si="61"/>
        <v>750</v>
      </c>
      <c r="P309" s="58">
        <f t="shared" si="62"/>
        <v>1068.1818181818182</v>
      </c>
      <c r="Q309" s="60">
        <f t="shared" si="63"/>
        <v>2.7976190476190479</v>
      </c>
      <c r="R309" s="58">
        <f t="shared" si="64"/>
        <v>630.68181818181824</v>
      </c>
      <c r="S309" s="58">
        <f t="shared" si="65"/>
        <v>495.68181818181819</v>
      </c>
      <c r="T309" s="58">
        <f t="shared" si="66"/>
        <v>368.18181818181819</v>
      </c>
      <c r="U309" s="60">
        <f t="shared" si="67"/>
        <v>1.6517857142857144</v>
      </c>
      <c r="V309" s="60">
        <f t="shared" si="68"/>
        <v>1.2982142857142858</v>
      </c>
      <c r="W309" s="60">
        <f t="shared" si="69"/>
        <v>0.9642857142857143</v>
      </c>
      <c r="X309" s="61"/>
      <c r="Y309" s="1"/>
      <c r="Z309" s="1"/>
    </row>
    <row r="310" spans="1:26" ht="15.75" customHeight="1">
      <c r="A310" s="54"/>
      <c r="B310" s="125"/>
      <c r="C310" s="33"/>
      <c r="D310" s="55" t="s">
        <v>1518</v>
      </c>
      <c r="E310" s="55"/>
      <c r="F310" s="56"/>
      <c r="G310" s="57" t="s">
        <v>1519</v>
      </c>
      <c r="H310" s="58">
        <v>15000</v>
      </c>
      <c r="I310" s="58">
        <f t="shared" si="56"/>
        <v>17500</v>
      </c>
      <c r="J310" s="58">
        <f t="shared" si="57"/>
        <v>318.18181818181819</v>
      </c>
      <c r="K310" s="58">
        <v>1300</v>
      </c>
      <c r="L310" s="59">
        <f t="shared" si="58"/>
        <v>1250</v>
      </c>
      <c r="M310" s="58">
        <f t="shared" si="59"/>
        <v>1087.5</v>
      </c>
      <c r="N310" s="58">
        <f t="shared" si="60"/>
        <v>942.5</v>
      </c>
      <c r="O310" s="58">
        <f t="shared" si="61"/>
        <v>650</v>
      </c>
      <c r="P310" s="58">
        <f t="shared" si="62"/>
        <v>1131.8181818181818</v>
      </c>
      <c r="Q310" s="60">
        <f t="shared" si="63"/>
        <v>3.5571428571428569</v>
      </c>
      <c r="R310" s="58">
        <f t="shared" si="64"/>
        <v>769.31818181818176</v>
      </c>
      <c r="S310" s="58">
        <f t="shared" si="65"/>
        <v>624.31818181818176</v>
      </c>
      <c r="T310" s="58">
        <f t="shared" si="66"/>
        <v>431.81818181818181</v>
      </c>
      <c r="U310" s="60">
        <f t="shared" si="67"/>
        <v>2.4178571428571427</v>
      </c>
      <c r="V310" s="60">
        <f t="shared" si="68"/>
        <v>1.962142857142857</v>
      </c>
      <c r="W310" s="60">
        <f t="shared" si="69"/>
        <v>1.3571428571428572</v>
      </c>
      <c r="X310" s="61"/>
      <c r="Y310" s="1"/>
      <c r="Z310" s="1"/>
    </row>
    <row r="311" spans="1:26" ht="15.75" customHeight="1">
      <c r="A311" s="54"/>
      <c r="B311" s="160" t="s">
        <v>802</v>
      </c>
      <c r="C311" s="33"/>
      <c r="D311" s="55">
        <v>2003</v>
      </c>
      <c r="E311" s="55" t="s">
        <v>607</v>
      </c>
      <c r="F311" s="56"/>
      <c r="G311" s="57" t="s">
        <v>1520</v>
      </c>
      <c r="H311" s="58">
        <v>15000</v>
      </c>
      <c r="I311" s="58">
        <f t="shared" si="56"/>
        <v>10500</v>
      </c>
      <c r="J311" s="58">
        <f t="shared" si="57"/>
        <v>530.30303030303025</v>
      </c>
      <c r="K311" s="58">
        <v>1300</v>
      </c>
      <c r="L311" s="59">
        <f t="shared" si="58"/>
        <v>1250</v>
      </c>
      <c r="M311" s="58">
        <f t="shared" si="59"/>
        <v>937.5</v>
      </c>
      <c r="N311" s="58">
        <f t="shared" si="60"/>
        <v>812.5</v>
      </c>
      <c r="O311" s="58">
        <f t="shared" si="61"/>
        <v>650</v>
      </c>
      <c r="P311" s="58">
        <f t="shared" si="62"/>
        <v>931.81818181818176</v>
      </c>
      <c r="Q311" s="60">
        <f t="shared" si="63"/>
        <v>2.9285714285714284</v>
      </c>
      <c r="R311" s="58">
        <f t="shared" si="64"/>
        <v>769.31818181818176</v>
      </c>
      <c r="S311" s="58">
        <f t="shared" si="65"/>
        <v>624.31818181818176</v>
      </c>
      <c r="T311" s="58">
        <f t="shared" si="66"/>
        <v>331.81818181818181</v>
      </c>
      <c r="U311" s="60">
        <f t="shared" si="67"/>
        <v>2.4178571428571427</v>
      </c>
      <c r="V311" s="60">
        <f t="shared" si="68"/>
        <v>1.962142857142857</v>
      </c>
      <c r="W311" s="60">
        <f t="shared" si="69"/>
        <v>1.0428571428571429</v>
      </c>
      <c r="X311" s="61" t="s">
        <v>268</v>
      </c>
      <c r="Y311" s="1"/>
      <c r="Z311" s="1"/>
    </row>
    <row r="312" spans="1:26" ht="15.75" customHeight="1">
      <c r="A312" s="54"/>
      <c r="B312" s="162"/>
      <c r="C312" s="33"/>
      <c r="D312" s="55" t="s">
        <v>1274</v>
      </c>
      <c r="E312" s="55" t="s">
        <v>358</v>
      </c>
      <c r="F312" s="56"/>
      <c r="G312" s="57" t="s">
        <v>1521</v>
      </c>
      <c r="H312" s="58">
        <v>25000</v>
      </c>
      <c r="I312" s="58">
        <f t="shared" si="56"/>
        <v>10500</v>
      </c>
      <c r="J312" s="58">
        <f t="shared" si="57"/>
        <v>318.18181818181819</v>
      </c>
      <c r="K312" s="58">
        <v>3000</v>
      </c>
      <c r="L312" s="59">
        <f t="shared" si="58"/>
        <v>1250</v>
      </c>
      <c r="M312" s="58">
        <f t="shared" si="59"/>
        <v>937.5</v>
      </c>
      <c r="N312" s="58">
        <f t="shared" si="60"/>
        <v>812.5</v>
      </c>
      <c r="O312" s="58">
        <f t="shared" si="61"/>
        <v>650</v>
      </c>
      <c r="P312" s="58">
        <f t="shared" si="62"/>
        <v>719.69696969696975</v>
      </c>
      <c r="Q312" s="60">
        <f t="shared" si="63"/>
        <v>1.3571428571428574</v>
      </c>
      <c r="R312" s="58">
        <f t="shared" si="64"/>
        <v>407.19696969696975</v>
      </c>
      <c r="S312" s="58">
        <f t="shared" si="65"/>
        <v>282.19696969696975</v>
      </c>
      <c r="T312" s="58">
        <f t="shared" si="66"/>
        <v>119.69696969696975</v>
      </c>
      <c r="U312" s="60">
        <f t="shared" si="67"/>
        <v>0.76785714285714302</v>
      </c>
      <c r="V312" s="60">
        <f t="shared" si="68"/>
        <v>0.53214285714285725</v>
      </c>
      <c r="W312" s="60">
        <f t="shared" si="69"/>
        <v>0.22571428571428584</v>
      </c>
      <c r="X312" s="61" t="s">
        <v>120</v>
      </c>
      <c r="Y312" s="1"/>
      <c r="Z312" s="1"/>
    </row>
    <row r="313" spans="1:26" ht="15.75" customHeight="1">
      <c r="A313" s="54"/>
      <c r="B313" s="162"/>
      <c r="C313" s="33"/>
      <c r="D313" s="55" t="s">
        <v>1274</v>
      </c>
      <c r="E313" s="55" t="s">
        <v>607</v>
      </c>
      <c r="F313" s="56"/>
      <c r="G313" s="57" t="s">
        <v>1522</v>
      </c>
      <c r="H313" s="58">
        <v>20000</v>
      </c>
      <c r="I313" s="58">
        <f t="shared" si="56"/>
        <v>17500</v>
      </c>
      <c r="J313" s="58">
        <f t="shared" si="57"/>
        <v>318.18181818181819</v>
      </c>
      <c r="K313" s="58">
        <v>1500</v>
      </c>
      <c r="L313" s="59">
        <f t="shared" si="58"/>
        <v>2950</v>
      </c>
      <c r="M313" s="58">
        <f t="shared" si="59"/>
        <v>937.5</v>
      </c>
      <c r="N313" s="58">
        <f t="shared" si="60"/>
        <v>812.5</v>
      </c>
      <c r="O313" s="58">
        <f t="shared" si="61"/>
        <v>1500</v>
      </c>
      <c r="P313" s="58">
        <f t="shared" si="62"/>
        <v>931.81818181818176</v>
      </c>
      <c r="Q313" s="60">
        <f t="shared" si="63"/>
        <v>2.9285714285714284</v>
      </c>
      <c r="R313" s="58">
        <f t="shared" si="64"/>
        <v>619.31818181818176</v>
      </c>
      <c r="S313" s="58">
        <f t="shared" si="65"/>
        <v>494.31818181818181</v>
      </c>
      <c r="T313" s="58">
        <f t="shared" si="66"/>
        <v>331.81818181818181</v>
      </c>
      <c r="U313" s="60">
        <f t="shared" si="67"/>
        <v>1.9464285714285712</v>
      </c>
      <c r="V313" s="60">
        <f t="shared" si="68"/>
        <v>1.5535714285714286</v>
      </c>
      <c r="W313" s="60">
        <f t="shared" si="69"/>
        <v>1.0428571428571429</v>
      </c>
      <c r="X313" s="61" t="s">
        <v>269</v>
      </c>
      <c r="Y313" s="1"/>
      <c r="Z313" s="1"/>
    </row>
    <row r="314" spans="1:26" ht="15.75" customHeight="1">
      <c r="A314" s="54"/>
      <c r="B314" s="161"/>
      <c r="C314" s="33"/>
      <c r="D314" s="55" t="s">
        <v>356</v>
      </c>
      <c r="E314" s="55" t="s">
        <v>607</v>
      </c>
      <c r="F314" s="56" t="s">
        <v>1523</v>
      </c>
      <c r="G314" s="57" t="s">
        <v>1524</v>
      </c>
      <c r="H314" s="58">
        <v>18000</v>
      </c>
      <c r="I314" s="58">
        <f t="shared" si="56"/>
        <v>14000</v>
      </c>
      <c r="J314" s="58">
        <f t="shared" si="57"/>
        <v>530.30303030303025</v>
      </c>
      <c r="K314" s="58">
        <v>1600</v>
      </c>
      <c r="L314" s="59">
        <f t="shared" si="58"/>
        <v>1450</v>
      </c>
      <c r="M314" s="58">
        <f t="shared" si="59"/>
        <v>2212.5</v>
      </c>
      <c r="N314" s="58">
        <f t="shared" si="60"/>
        <v>1917.5</v>
      </c>
      <c r="O314" s="58">
        <f t="shared" si="61"/>
        <v>750</v>
      </c>
      <c r="P314" s="58">
        <f t="shared" si="62"/>
        <v>2631.818181818182</v>
      </c>
      <c r="Q314" s="60">
        <f t="shared" si="63"/>
        <v>8.2714285714285722</v>
      </c>
      <c r="R314" s="58">
        <f t="shared" si="64"/>
        <v>619.31818181818176</v>
      </c>
      <c r="S314" s="58">
        <f t="shared" si="65"/>
        <v>494.31818181818181</v>
      </c>
      <c r="T314" s="58">
        <f t="shared" si="66"/>
        <v>1181.8181818181818</v>
      </c>
      <c r="U314" s="60">
        <f t="shared" si="67"/>
        <v>1.9464285714285712</v>
      </c>
      <c r="V314" s="60">
        <f t="shared" si="68"/>
        <v>1.5535714285714286</v>
      </c>
      <c r="W314" s="60">
        <f t="shared" si="69"/>
        <v>3.714285714285714</v>
      </c>
      <c r="X314" s="61"/>
      <c r="Y314" s="1"/>
      <c r="Z314" s="1"/>
    </row>
    <row r="315" spans="1:26" ht="15.75" customHeight="1">
      <c r="A315" s="54"/>
      <c r="B315" s="125"/>
      <c r="C315" s="33"/>
      <c r="D315" s="55" t="s">
        <v>356</v>
      </c>
      <c r="E315" s="55" t="s">
        <v>607</v>
      </c>
      <c r="F315" s="56" t="s">
        <v>1525</v>
      </c>
      <c r="G315" s="57" t="s">
        <v>1526</v>
      </c>
      <c r="H315" s="58">
        <v>18000</v>
      </c>
      <c r="I315" s="58">
        <f t="shared" si="56"/>
        <v>12600</v>
      </c>
      <c r="J315" s="58">
        <f t="shared" si="57"/>
        <v>424.24242424242425</v>
      </c>
      <c r="K315" s="58">
        <v>1500</v>
      </c>
      <c r="L315" s="59">
        <f t="shared" si="58"/>
        <v>1550</v>
      </c>
      <c r="M315" s="58">
        <f t="shared" si="59"/>
        <v>1087.5</v>
      </c>
      <c r="N315" s="58">
        <f t="shared" si="60"/>
        <v>942.5</v>
      </c>
      <c r="O315" s="58">
        <f t="shared" si="61"/>
        <v>800</v>
      </c>
      <c r="P315" s="58">
        <f t="shared" si="62"/>
        <v>919.69696969696975</v>
      </c>
      <c r="Q315" s="60">
        <f t="shared" si="63"/>
        <v>1.7342857142857144</v>
      </c>
      <c r="R315" s="58">
        <f t="shared" si="64"/>
        <v>1682.1969696969697</v>
      </c>
      <c r="S315" s="58">
        <f t="shared" si="65"/>
        <v>1387.1969696969697</v>
      </c>
      <c r="T315" s="58">
        <f t="shared" si="66"/>
        <v>219.69696969696975</v>
      </c>
      <c r="U315" s="60">
        <f t="shared" si="67"/>
        <v>3.1721428571428576</v>
      </c>
      <c r="V315" s="60">
        <f t="shared" si="68"/>
        <v>2.6158571428571431</v>
      </c>
      <c r="W315" s="60">
        <f t="shared" si="69"/>
        <v>0.41428571428571442</v>
      </c>
      <c r="X315" s="61"/>
      <c r="Y315" s="1"/>
      <c r="Z315" s="1"/>
    </row>
    <row r="316" spans="1:26" ht="15.75" customHeight="1">
      <c r="A316" s="54"/>
      <c r="B316" s="75" t="s">
        <v>1390</v>
      </c>
      <c r="C316" s="33"/>
      <c r="D316" s="55" t="s">
        <v>1394</v>
      </c>
      <c r="E316" s="55" t="s">
        <v>607</v>
      </c>
      <c r="F316" s="56"/>
      <c r="G316" s="57" t="s">
        <v>1527</v>
      </c>
      <c r="H316" s="58">
        <v>16000</v>
      </c>
      <c r="I316" s="58">
        <f t="shared" si="56"/>
        <v>12600</v>
      </c>
      <c r="J316" s="58">
        <f t="shared" si="57"/>
        <v>381.81818181818181</v>
      </c>
      <c r="K316" s="58">
        <v>1300</v>
      </c>
      <c r="L316" s="59">
        <f t="shared" si="58"/>
        <v>1450</v>
      </c>
      <c r="M316" s="58">
        <f t="shared" si="59"/>
        <v>1162.5</v>
      </c>
      <c r="N316" s="58">
        <f t="shared" si="60"/>
        <v>1007.5</v>
      </c>
      <c r="O316" s="58">
        <f t="shared" si="61"/>
        <v>750</v>
      </c>
      <c r="P316" s="58">
        <f t="shared" si="62"/>
        <v>1125.7575757575758</v>
      </c>
      <c r="Q316" s="60">
        <f t="shared" si="63"/>
        <v>2.6535714285714285</v>
      </c>
      <c r="R316" s="58">
        <f t="shared" si="64"/>
        <v>663.25757575757575</v>
      </c>
      <c r="S316" s="58">
        <f t="shared" si="65"/>
        <v>518.25757575757575</v>
      </c>
      <c r="T316" s="58">
        <f t="shared" si="66"/>
        <v>375.75757575757575</v>
      </c>
      <c r="U316" s="60">
        <f t="shared" si="67"/>
        <v>1.563392857142857</v>
      </c>
      <c r="V316" s="60">
        <f t="shared" si="68"/>
        <v>1.2216071428571429</v>
      </c>
      <c r="W316" s="60">
        <f t="shared" si="69"/>
        <v>0.88571428571428568</v>
      </c>
      <c r="X316" s="61"/>
      <c r="Y316" s="1"/>
      <c r="Z316" s="1"/>
    </row>
    <row r="317" spans="1:26" ht="15.75" customHeight="1">
      <c r="A317" s="54"/>
      <c r="B317" s="160" t="s">
        <v>1336</v>
      </c>
      <c r="C317" s="33"/>
      <c r="D317" s="55" t="s">
        <v>1528</v>
      </c>
      <c r="E317" s="55"/>
      <c r="F317" s="56"/>
      <c r="G317" s="57" t="s">
        <v>1529</v>
      </c>
      <c r="H317" s="58">
        <v>16000</v>
      </c>
      <c r="I317" s="58">
        <f t="shared" si="56"/>
        <v>11200</v>
      </c>
      <c r="J317" s="58">
        <f t="shared" si="57"/>
        <v>381.81818181818181</v>
      </c>
      <c r="K317" s="58">
        <v>1300</v>
      </c>
      <c r="L317" s="59">
        <f t="shared" si="58"/>
        <v>1250</v>
      </c>
      <c r="M317" s="58">
        <f t="shared" si="59"/>
        <v>1087.5</v>
      </c>
      <c r="N317" s="58">
        <f t="shared" si="60"/>
        <v>942.5</v>
      </c>
      <c r="O317" s="58">
        <f t="shared" si="61"/>
        <v>650</v>
      </c>
      <c r="P317" s="58">
        <f t="shared" si="62"/>
        <v>1068.1818181818182</v>
      </c>
      <c r="Q317" s="60">
        <f t="shared" si="63"/>
        <v>2.7976190476190479</v>
      </c>
      <c r="R317" s="58">
        <f t="shared" si="64"/>
        <v>780.68181818181824</v>
      </c>
      <c r="S317" s="58">
        <f t="shared" si="65"/>
        <v>625.68181818181824</v>
      </c>
      <c r="T317" s="58">
        <f t="shared" si="66"/>
        <v>368.18181818181819</v>
      </c>
      <c r="U317" s="60">
        <f t="shared" si="67"/>
        <v>2.0446428571428572</v>
      </c>
      <c r="V317" s="60">
        <f t="shared" si="68"/>
        <v>1.6386904761904764</v>
      </c>
      <c r="W317" s="60">
        <f t="shared" si="69"/>
        <v>0.9642857142857143</v>
      </c>
      <c r="X317" s="61"/>
      <c r="Y317" s="1"/>
      <c r="Z317" s="1"/>
    </row>
    <row r="318" spans="1:26" ht="15.75" customHeight="1">
      <c r="A318" s="54"/>
      <c r="B318" s="162"/>
      <c r="C318" s="33"/>
      <c r="D318" s="55" t="s">
        <v>1530</v>
      </c>
      <c r="E318" s="55" t="s">
        <v>607</v>
      </c>
      <c r="F318" s="56"/>
      <c r="G318" s="57" t="s">
        <v>1531</v>
      </c>
      <c r="H318" s="58">
        <v>15000</v>
      </c>
      <c r="I318" s="58">
        <f t="shared" si="56"/>
        <v>11200</v>
      </c>
      <c r="J318" s="58">
        <f t="shared" si="57"/>
        <v>339.39393939393938</v>
      </c>
      <c r="K318" s="58">
        <v>1300</v>
      </c>
      <c r="L318" s="59">
        <f t="shared" si="58"/>
        <v>1250</v>
      </c>
      <c r="M318" s="58">
        <f t="shared" si="59"/>
        <v>937.5</v>
      </c>
      <c r="N318" s="58">
        <f t="shared" si="60"/>
        <v>812.5</v>
      </c>
      <c r="O318" s="58">
        <f t="shared" si="61"/>
        <v>650</v>
      </c>
      <c r="P318" s="58">
        <f t="shared" si="62"/>
        <v>868.18181818181824</v>
      </c>
      <c r="Q318" s="60">
        <f t="shared" si="63"/>
        <v>2.2738095238095242</v>
      </c>
      <c r="R318" s="58">
        <f t="shared" si="64"/>
        <v>705.68181818181824</v>
      </c>
      <c r="S318" s="58">
        <f t="shared" si="65"/>
        <v>560.68181818181824</v>
      </c>
      <c r="T318" s="58">
        <f t="shared" si="66"/>
        <v>268.18181818181819</v>
      </c>
      <c r="U318" s="60">
        <f t="shared" si="67"/>
        <v>1.8482142857142858</v>
      </c>
      <c r="V318" s="60">
        <f t="shared" si="68"/>
        <v>1.4684523809523811</v>
      </c>
      <c r="W318" s="60">
        <f t="shared" si="69"/>
        <v>0.70238095238095244</v>
      </c>
      <c r="X318" s="61" t="s">
        <v>270</v>
      </c>
      <c r="Y318" s="1"/>
      <c r="Z318" s="1"/>
    </row>
    <row r="319" spans="1:26" ht="15.75" customHeight="1">
      <c r="A319" s="54"/>
      <c r="B319" s="162"/>
      <c r="C319" s="33"/>
      <c r="D319" s="55" t="s">
        <v>1532</v>
      </c>
      <c r="E319" s="55" t="s">
        <v>607</v>
      </c>
      <c r="F319" s="56"/>
      <c r="G319" s="57" t="s">
        <v>1533</v>
      </c>
      <c r="H319" s="58">
        <v>15000</v>
      </c>
      <c r="I319" s="58">
        <f t="shared" si="56"/>
        <v>10500</v>
      </c>
      <c r="J319" s="58">
        <f t="shared" si="57"/>
        <v>339.39393939393938</v>
      </c>
      <c r="K319" s="58">
        <v>1300</v>
      </c>
      <c r="L319" s="59">
        <f t="shared" si="58"/>
        <v>1250</v>
      </c>
      <c r="M319" s="58">
        <f t="shared" si="59"/>
        <v>937.5</v>
      </c>
      <c r="N319" s="58">
        <f t="shared" si="60"/>
        <v>812.5</v>
      </c>
      <c r="O319" s="58">
        <f t="shared" si="61"/>
        <v>650</v>
      </c>
      <c r="P319" s="58">
        <f t="shared" si="62"/>
        <v>910.60606060606062</v>
      </c>
      <c r="Q319" s="60">
        <f t="shared" si="63"/>
        <v>2.6830357142857144</v>
      </c>
      <c r="R319" s="58">
        <f t="shared" si="64"/>
        <v>598.10606060606062</v>
      </c>
      <c r="S319" s="58">
        <f t="shared" si="65"/>
        <v>473.10606060606062</v>
      </c>
      <c r="T319" s="58">
        <f t="shared" si="66"/>
        <v>310.60606060606062</v>
      </c>
      <c r="U319" s="60">
        <f t="shared" si="67"/>
        <v>1.7622767857142858</v>
      </c>
      <c r="V319" s="60">
        <f t="shared" si="68"/>
        <v>1.3939732142857144</v>
      </c>
      <c r="W319" s="60">
        <f t="shared" si="69"/>
        <v>0.91517857142857151</v>
      </c>
      <c r="X319" s="61" t="s">
        <v>270</v>
      </c>
      <c r="Y319" s="1"/>
      <c r="Z319" s="1"/>
    </row>
    <row r="320" spans="1:26" ht="15.75" customHeight="1">
      <c r="A320" s="54"/>
      <c r="B320" s="162"/>
      <c r="C320" s="33"/>
      <c r="D320" s="55" t="s">
        <v>1534</v>
      </c>
      <c r="E320" s="55" t="s">
        <v>607</v>
      </c>
      <c r="F320" s="56"/>
      <c r="G320" s="57" t="s">
        <v>1535</v>
      </c>
      <c r="H320" s="58">
        <v>15000</v>
      </c>
      <c r="I320" s="58">
        <f t="shared" si="56"/>
        <v>10500</v>
      </c>
      <c r="J320" s="58">
        <f t="shared" si="57"/>
        <v>318.18181818181819</v>
      </c>
      <c r="K320" s="58">
        <v>1300</v>
      </c>
      <c r="L320" s="59">
        <f t="shared" si="58"/>
        <v>1250</v>
      </c>
      <c r="M320" s="58">
        <f t="shared" si="59"/>
        <v>937.5</v>
      </c>
      <c r="N320" s="58">
        <f t="shared" si="60"/>
        <v>812.5</v>
      </c>
      <c r="O320" s="58">
        <f t="shared" si="61"/>
        <v>650</v>
      </c>
      <c r="P320" s="58">
        <f t="shared" si="62"/>
        <v>910.60606060606062</v>
      </c>
      <c r="Q320" s="60">
        <f t="shared" si="63"/>
        <v>2.6830357142857144</v>
      </c>
      <c r="R320" s="58">
        <f t="shared" si="64"/>
        <v>598.10606060606062</v>
      </c>
      <c r="S320" s="58">
        <f t="shared" si="65"/>
        <v>473.10606060606062</v>
      </c>
      <c r="T320" s="58">
        <f t="shared" si="66"/>
        <v>310.60606060606062</v>
      </c>
      <c r="U320" s="60">
        <f t="shared" si="67"/>
        <v>1.7622767857142858</v>
      </c>
      <c r="V320" s="60">
        <f t="shared" si="68"/>
        <v>1.3939732142857144</v>
      </c>
      <c r="W320" s="60">
        <f t="shared" si="69"/>
        <v>0.91517857142857151</v>
      </c>
      <c r="X320" s="61"/>
      <c r="Y320" s="1"/>
      <c r="Z320" s="1"/>
    </row>
    <row r="321" spans="1:26" ht="15.75" customHeight="1">
      <c r="A321" s="54"/>
      <c r="B321" s="162"/>
      <c r="C321" s="33"/>
      <c r="D321" s="55" t="s">
        <v>1096</v>
      </c>
      <c r="E321" s="55" t="s">
        <v>607</v>
      </c>
      <c r="F321" s="56"/>
      <c r="G321" s="57" t="s">
        <v>1536</v>
      </c>
      <c r="H321" s="58">
        <v>18000</v>
      </c>
      <c r="I321" s="58">
        <f t="shared" si="56"/>
        <v>10500</v>
      </c>
      <c r="J321" s="58">
        <f t="shared" si="57"/>
        <v>318.18181818181819</v>
      </c>
      <c r="K321" s="58">
        <v>1500</v>
      </c>
      <c r="L321" s="59">
        <f t="shared" si="58"/>
        <v>1250</v>
      </c>
      <c r="M321" s="58">
        <f t="shared" si="59"/>
        <v>937.5</v>
      </c>
      <c r="N321" s="58">
        <f t="shared" si="60"/>
        <v>812.5</v>
      </c>
      <c r="O321" s="58">
        <f t="shared" si="61"/>
        <v>650</v>
      </c>
      <c r="P321" s="58">
        <f t="shared" si="62"/>
        <v>931.81818181818176</v>
      </c>
      <c r="Q321" s="60">
        <f t="shared" si="63"/>
        <v>2.9285714285714284</v>
      </c>
      <c r="R321" s="58">
        <f t="shared" si="64"/>
        <v>619.31818181818176</v>
      </c>
      <c r="S321" s="58">
        <f t="shared" si="65"/>
        <v>494.31818181818181</v>
      </c>
      <c r="T321" s="58">
        <f t="shared" si="66"/>
        <v>331.81818181818181</v>
      </c>
      <c r="U321" s="60">
        <f t="shared" si="67"/>
        <v>1.9464285714285712</v>
      </c>
      <c r="V321" s="60">
        <f t="shared" si="68"/>
        <v>1.5535714285714286</v>
      </c>
      <c r="W321" s="60">
        <f t="shared" si="69"/>
        <v>1.0428571428571429</v>
      </c>
      <c r="X321" s="61"/>
      <c r="Y321" s="1"/>
      <c r="Z321" s="1"/>
    </row>
    <row r="322" spans="1:26" ht="15.75" customHeight="1">
      <c r="A322" s="54"/>
      <c r="B322" s="162"/>
      <c r="C322" s="33"/>
      <c r="D322" s="55" t="s">
        <v>656</v>
      </c>
      <c r="E322" s="55" t="s">
        <v>68</v>
      </c>
      <c r="F322" s="56"/>
      <c r="G322" s="57" t="s">
        <v>1537</v>
      </c>
      <c r="H322" s="58">
        <v>15000</v>
      </c>
      <c r="I322" s="58">
        <f t="shared" si="56"/>
        <v>12600</v>
      </c>
      <c r="J322" s="58">
        <f t="shared" si="57"/>
        <v>318.18181818181819</v>
      </c>
      <c r="K322" s="58">
        <v>1300</v>
      </c>
      <c r="L322" s="59">
        <f t="shared" si="58"/>
        <v>1450</v>
      </c>
      <c r="M322" s="58">
        <f t="shared" si="59"/>
        <v>937.5</v>
      </c>
      <c r="N322" s="58">
        <f t="shared" si="60"/>
        <v>812.5</v>
      </c>
      <c r="O322" s="58">
        <f t="shared" si="61"/>
        <v>750</v>
      </c>
      <c r="P322" s="58">
        <f t="shared" si="62"/>
        <v>931.81818181818176</v>
      </c>
      <c r="Q322" s="60">
        <f t="shared" si="63"/>
        <v>2.9285714285714284</v>
      </c>
      <c r="R322" s="58">
        <f t="shared" si="64"/>
        <v>619.31818181818176</v>
      </c>
      <c r="S322" s="58">
        <f t="shared" si="65"/>
        <v>494.31818181818181</v>
      </c>
      <c r="T322" s="58">
        <f t="shared" si="66"/>
        <v>331.81818181818181</v>
      </c>
      <c r="U322" s="60">
        <f t="shared" si="67"/>
        <v>1.9464285714285712</v>
      </c>
      <c r="V322" s="60">
        <f t="shared" si="68"/>
        <v>1.5535714285714286</v>
      </c>
      <c r="W322" s="60">
        <f t="shared" si="69"/>
        <v>1.0428571428571429</v>
      </c>
      <c r="X322" s="61" t="s">
        <v>264</v>
      </c>
      <c r="Y322" s="1"/>
      <c r="Z322" s="1"/>
    </row>
    <row r="323" spans="1:26" ht="15.75" customHeight="1">
      <c r="A323" s="54"/>
      <c r="B323" s="162"/>
      <c r="C323" s="33"/>
      <c r="D323" s="55" t="s">
        <v>1538</v>
      </c>
      <c r="E323" s="55" t="s">
        <v>607</v>
      </c>
      <c r="F323" s="56"/>
      <c r="G323" s="57" t="s">
        <v>1539</v>
      </c>
      <c r="H323" s="58">
        <v>18000</v>
      </c>
      <c r="I323" s="58">
        <f t="shared" si="56"/>
        <v>10500</v>
      </c>
      <c r="J323" s="58">
        <f t="shared" si="57"/>
        <v>381.81818181818181</v>
      </c>
      <c r="K323" s="58">
        <v>1500</v>
      </c>
      <c r="L323" s="59">
        <f t="shared" si="58"/>
        <v>1250</v>
      </c>
      <c r="M323" s="58">
        <f t="shared" si="59"/>
        <v>1087.5</v>
      </c>
      <c r="N323" s="58">
        <f t="shared" si="60"/>
        <v>942.5</v>
      </c>
      <c r="O323" s="58">
        <f t="shared" si="61"/>
        <v>650</v>
      </c>
      <c r="P323" s="58">
        <f t="shared" si="62"/>
        <v>1131.8181818181818</v>
      </c>
      <c r="Q323" s="60">
        <f t="shared" si="63"/>
        <v>3.5571428571428569</v>
      </c>
      <c r="R323" s="58">
        <f t="shared" si="64"/>
        <v>619.31818181818176</v>
      </c>
      <c r="S323" s="58">
        <f t="shared" si="65"/>
        <v>494.31818181818181</v>
      </c>
      <c r="T323" s="58">
        <f t="shared" si="66"/>
        <v>431.81818181818181</v>
      </c>
      <c r="U323" s="60">
        <f t="shared" si="67"/>
        <v>1.9464285714285712</v>
      </c>
      <c r="V323" s="60">
        <f t="shared" si="68"/>
        <v>1.5535714285714286</v>
      </c>
      <c r="W323" s="60">
        <f t="shared" si="69"/>
        <v>1.3571428571428572</v>
      </c>
      <c r="X323" s="61" t="s">
        <v>41</v>
      </c>
      <c r="Y323" s="1"/>
      <c r="Z323" s="1"/>
    </row>
    <row r="324" spans="1:26" ht="15.75" customHeight="1">
      <c r="A324" s="54"/>
      <c r="B324" s="162"/>
      <c r="C324" s="33"/>
      <c r="D324" s="55" t="s">
        <v>765</v>
      </c>
      <c r="E324" s="55" t="s">
        <v>607</v>
      </c>
      <c r="F324" s="56"/>
      <c r="G324" s="57" t="s">
        <v>1540</v>
      </c>
      <c r="H324" s="58">
        <v>15000</v>
      </c>
      <c r="I324" s="58">
        <f t="shared" si="56"/>
        <v>12600</v>
      </c>
      <c r="J324" s="58">
        <f t="shared" si="57"/>
        <v>318.18181818181819</v>
      </c>
      <c r="K324" s="58">
        <v>1300</v>
      </c>
      <c r="L324" s="59">
        <f t="shared" si="58"/>
        <v>1450</v>
      </c>
      <c r="M324" s="58">
        <f t="shared" si="59"/>
        <v>937.5</v>
      </c>
      <c r="N324" s="58">
        <f t="shared" si="60"/>
        <v>812.5</v>
      </c>
      <c r="O324" s="58">
        <f t="shared" si="61"/>
        <v>750</v>
      </c>
      <c r="P324" s="58">
        <f t="shared" si="62"/>
        <v>868.18181818181824</v>
      </c>
      <c r="Q324" s="60">
        <f t="shared" si="63"/>
        <v>2.2738095238095242</v>
      </c>
      <c r="R324" s="58">
        <f t="shared" si="64"/>
        <v>705.68181818181824</v>
      </c>
      <c r="S324" s="58">
        <f t="shared" si="65"/>
        <v>560.68181818181824</v>
      </c>
      <c r="T324" s="58">
        <f t="shared" si="66"/>
        <v>268.18181818181819</v>
      </c>
      <c r="U324" s="60">
        <f t="shared" si="67"/>
        <v>1.8482142857142858</v>
      </c>
      <c r="V324" s="60">
        <f t="shared" si="68"/>
        <v>1.4684523809523811</v>
      </c>
      <c r="W324" s="60">
        <f t="shared" si="69"/>
        <v>0.70238095238095244</v>
      </c>
      <c r="X324" s="61"/>
      <c r="Y324" s="1"/>
      <c r="Z324" s="1"/>
    </row>
    <row r="325" spans="1:26" ht="15.75" customHeight="1">
      <c r="A325" s="54"/>
      <c r="B325" s="161"/>
      <c r="C325" s="33"/>
      <c r="D325" s="55" t="s">
        <v>1541</v>
      </c>
      <c r="E325" s="55" t="s">
        <v>607</v>
      </c>
      <c r="F325" s="56"/>
      <c r="G325" s="57" t="s">
        <v>1542</v>
      </c>
      <c r="H325" s="58">
        <v>15000</v>
      </c>
      <c r="I325" s="58">
        <f t="shared" ref="I325:I388" si="70">H324*0.7</f>
        <v>10500</v>
      </c>
      <c r="J325" s="58">
        <f t="shared" ref="J325:J388" si="71">I324/33</f>
        <v>381.81818181818181</v>
      </c>
      <c r="K325" s="58">
        <v>1300</v>
      </c>
      <c r="L325" s="59">
        <f t="shared" ref="L325:L388" si="72">K324-50</f>
        <v>1250</v>
      </c>
      <c r="M325" s="58">
        <f t="shared" ref="M325:M388" si="73">L324*0.75</f>
        <v>1087.5</v>
      </c>
      <c r="N325" s="58">
        <f t="shared" ref="N325:N388" si="74">L324*0.65</f>
        <v>942.5</v>
      </c>
      <c r="O325" s="58">
        <f t="shared" ref="O325:O388" si="75">K324*0.5</f>
        <v>650</v>
      </c>
      <c r="P325" s="58">
        <f t="shared" ref="P325:P388" si="76">L324-J324</f>
        <v>1131.8181818181818</v>
      </c>
      <c r="Q325" s="60">
        <f t="shared" ref="Q325:Q388" si="77">((L324-J324)/J324)</f>
        <v>3.5571428571428569</v>
      </c>
      <c r="R325" s="58">
        <f t="shared" ref="R325:R388" si="78">M324-J324</f>
        <v>619.31818181818176</v>
      </c>
      <c r="S325" s="58">
        <f t="shared" ref="S325:S388" si="79">N324-J324</f>
        <v>494.31818181818181</v>
      </c>
      <c r="T325" s="58">
        <f t="shared" ref="T325:T388" si="80">O324-J324</f>
        <v>431.81818181818181</v>
      </c>
      <c r="U325" s="60">
        <f t="shared" ref="U325:U388" si="81">(M324-J324)/J324</f>
        <v>1.9464285714285712</v>
      </c>
      <c r="V325" s="60">
        <f t="shared" ref="V325:V388" si="82">(N324-J324)/J324</f>
        <v>1.5535714285714286</v>
      </c>
      <c r="W325" s="60">
        <f t="shared" ref="W325:W388" si="83">(O324-J324)/J324</f>
        <v>1.3571428571428572</v>
      </c>
      <c r="X325" s="61" t="s">
        <v>272</v>
      </c>
      <c r="Y325" s="1"/>
      <c r="Z325" s="1"/>
    </row>
    <row r="326" spans="1:26" ht="15.75" customHeight="1">
      <c r="A326" s="54"/>
      <c r="B326" s="161"/>
      <c r="C326" s="33"/>
      <c r="D326" s="55" t="s">
        <v>723</v>
      </c>
      <c r="E326" s="55" t="s">
        <v>607</v>
      </c>
      <c r="F326" s="56"/>
      <c r="G326" s="57" t="s">
        <v>1543</v>
      </c>
      <c r="H326" s="58">
        <v>15000</v>
      </c>
      <c r="I326" s="58">
        <f t="shared" si="70"/>
        <v>10500</v>
      </c>
      <c r="J326" s="58">
        <f t="shared" si="71"/>
        <v>318.18181818181819</v>
      </c>
      <c r="K326" s="58">
        <v>1300</v>
      </c>
      <c r="L326" s="59">
        <f t="shared" si="72"/>
        <v>1250</v>
      </c>
      <c r="M326" s="58">
        <f t="shared" si="73"/>
        <v>937.5</v>
      </c>
      <c r="N326" s="58">
        <f t="shared" si="74"/>
        <v>812.5</v>
      </c>
      <c r="O326" s="58">
        <f t="shared" si="75"/>
        <v>650</v>
      </c>
      <c r="P326" s="58">
        <f t="shared" si="76"/>
        <v>868.18181818181824</v>
      </c>
      <c r="Q326" s="60">
        <f t="shared" si="77"/>
        <v>2.2738095238095242</v>
      </c>
      <c r="R326" s="58">
        <f t="shared" si="78"/>
        <v>705.68181818181824</v>
      </c>
      <c r="S326" s="58">
        <f t="shared" si="79"/>
        <v>560.68181818181824</v>
      </c>
      <c r="T326" s="58">
        <f t="shared" si="80"/>
        <v>268.18181818181819</v>
      </c>
      <c r="U326" s="60">
        <f t="shared" si="81"/>
        <v>1.8482142857142858</v>
      </c>
      <c r="V326" s="60">
        <f t="shared" si="82"/>
        <v>1.4684523809523811</v>
      </c>
      <c r="W326" s="60">
        <f t="shared" si="83"/>
        <v>0.70238095238095244</v>
      </c>
      <c r="X326" s="61"/>
      <c r="Y326" s="1"/>
      <c r="Z326" s="1"/>
    </row>
    <row r="327" spans="1:26" ht="15.75" customHeight="1">
      <c r="A327" s="51" t="s">
        <v>1544</v>
      </c>
      <c r="B327" s="162"/>
      <c r="C327" s="43"/>
      <c r="D327" s="55" t="s">
        <v>661</v>
      </c>
      <c r="E327" s="55"/>
      <c r="F327" s="56"/>
      <c r="G327" s="57" t="s">
        <v>1545</v>
      </c>
      <c r="H327" s="58">
        <v>28000</v>
      </c>
      <c r="I327" s="58">
        <f t="shared" si="70"/>
        <v>10500</v>
      </c>
      <c r="J327" s="58">
        <f t="shared" si="71"/>
        <v>318.18181818181819</v>
      </c>
      <c r="K327" s="58">
        <v>4500</v>
      </c>
      <c r="L327" s="59">
        <f t="shared" si="72"/>
        <v>1250</v>
      </c>
      <c r="M327" s="58">
        <f t="shared" si="73"/>
        <v>937.5</v>
      </c>
      <c r="N327" s="58">
        <f t="shared" si="74"/>
        <v>812.5</v>
      </c>
      <c r="O327" s="58">
        <f t="shared" si="75"/>
        <v>650</v>
      </c>
      <c r="P327" s="58">
        <f t="shared" si="76"/>
        <v>931.81818181818176</v>
      </c>
      <c r="Q327" s="60">
        <f t="shared" si="77"/>
        <v>2.9285714285714284</v>
      </c>
      <c r="R327" s="58">
        <f t="shared" si="78"/>
        <v>619.31818181818176</v>
      </c>
      <c r="S327" s="58">
        <f t="shared" si="79"/>
        <v>494.31818181818181</v>
      </c>
      <c r="T327" s="58">
        <f t="shared" si="80"/>
        <v>331.81818181818181</v>
      </c>
      <c r="U327" s="60">
        <f t="shared" si="81"/>
        <v>1.9464285714285712</v>
      </c>
      <c r="V327" s="60">
        <f t="shared" si="82"/>
        <v>1.5535714285714286</v>
      </c>
      <c r="W327" s="60">
        <f t="shared" si="83"/>
        <v>1.0428571428571429</v>
      </c>
      <c r="X327" s="61"/>
      <c r="Y327" s="1"/>
      <c r="Z327" s="1"/>
    </row>
    <row r="328" spans="1:26" ht="15.75" customHeight="1">
      <c r="A328" s="54"/>
      <c r="B328" s="162"/>
      <c r="C328" s="33"/>
      <c r="D328" s="55" t="s">
        <v>684</v>
      </c>
      <c r="E328" s="55"/>
      <c r="F328" s="56"/>
      <c r="G328" s="57" t="s">
        <v>1546</v>
      </c>
      <c r="H328" s="58">
        <v>18000</v>
      </c>
      <c r="I328" s="58">
        <f t="shared" si="70"/>
        <v>19600</v>
      </c>
      <c r="J328" s="58">
        <f t="shared" si="71"/>
        <v>318.18181818181819</v>
      </c>
      <c r="K328" s="58">
        <v>4800</v>
      </c>
      <c r="L328" s="59">
        <f t="shared" si="72"/>
        <v>4450</v>
      </c>
      <c r="M328" s="58">
        <f t="shared" si="73"/>
        <v>937.5</v>
      </c>
      <c r="N328" s="58">
        <f t="shared" si="74"/>
        <v>812.5</v>
      </c>
      <c r="O328" s="58">
        <f t="shared" si="75"/>
        <v>2250</v>
      </c>
      <c r="P328" s="58">
        <f t="shared" si="76"/>
        <v>931.81818181818176</v>
      </c>
      <c r="Q328" s="60">
        <f t="shared" si="77"/>
        <v>2.9285714285714284</v>
      </c>
      <c r="R328" s="58">
        <f t="shared" si="78"/>
        <v>619.31818181818176</v>
      </c>
      <c r="S328" s="58">
        <f t="shared" si="79"/>
        <v>494.31818181818181</v>
      </c>
      <c r="T328" s="58">
        <f t="shared" si="80"/>
        <v>331.81818181818181</v>
      </c>
      <c r="U328" s="60">
        <f t="shared" si="81"/>
        <v>1.9464285714285712</v>
      </c>
      <c r="V328" s="60">
        <f t="shared" si="82"/>
        <v>1.5535714285714286</v>
      </c>
      <c r="W328" s="60">
        <f t="shared" si="83"/>
        <v>1.0428571428571429</v>
      </c>
      <c r="X328" s="61" t="s">
        <v>275</v>
      </c>
      <c r="Y328" s="1"/>
      <c r="Z328" s="1"/>
    </row>
    <row r="329" spans="1:26" ht="15.75" customHeight="1">
      <c r="A329" s="54"/>
      <c r="B329" s="161"/>
      <c r="C329" s="33"/>
      <c r="D329" s="55" t="s">
        <v>1093</v>
      </c>
      <c r="E329" s="55"/>
      <c r="F329" s="56"/>
      <c r="G329" s="57" t="s">
        <v>1547</v>
      </c>
      <c r="H329" s="58">
        <v>20000</v>
      </c>
      <c r="I329" s="58">
        <f t="shared" si="70"/>
        <v>12600</v>
      </c>
      <c r="J329" s="58">
        <f t="shared" si="71"/>
        <v>593.93939393939399</v>
      </c>
      <c r="K329" s="58">
        <v>2800</v>
      </c>
      <c r="L329" s="59">
        <f t="shared" si="72"/>
        <v>4750</v>
      </c>
      <c r="M329" s="58">
        <f t="shared" si="73"/>
        <v>3337.5</v>
      </c>
      <c r="N329" s="58">
        <f t="shared" si="74"/>
        <v>2892.5</v>
      </c>
      <c r="O329" s="58">
        <f t="shared" si="75"/>
        <v>2400</v>
      </c>
      <c r="P329" s="58">
        <f t="shared" si="76"/>
        <v>4131.818181818182</v>
      </c>
      <c r="Q329" s="60">
        <f t="shared" si="77"/>
        <v>12.985714285714286</v>
      </c>
      <c r="R329" s="58">
        <f t="shared" si="78"/>
        <v>619.31818181818176</v>
      </c>
      <c r="S329" s="58">
        <f t="shared" si="79"/>
        <v>494.31818181818181</v>
      </c>
      <c r="T329" s="58">
        <f t="shared" si="80"/>
        <v>1931.8181818181818</v>
      </c>
      <c r="U329" s="60">
        <f t="shared" si="81"/>
        <v>1.9464285714285712</v>
      </c>
      <c r="V329" s="60">
        <f t="shared" si="82"/>
        <v>1.5535714285714286</v>
      </c>
      <c r="W329" s="60">
        <f t="shared" si="83"/>
        <v>6.0714285714285712</v>
      </c>
      <c r="X329" s="61" t="s">
        <v>276</v>
      </c>
      <c r="Y329" s="1"/>
      <c r="Z329" s="1"/>
    </row>
    <row r="330" spans="1:26" ht="15.75" customHeight="1">
      <c r="A330" s="54"/>
      <c r="B330" s="125"/>
      <c r="C330" s="33"/>
      <c r="D330" s="55" t="s">
        <v>723</v>
      </c>
      <c r="E330" s="55"/>
      <c r="F330" s="56"/>
      <c r="G330" s="57" t="s">
        <v>1548</v>
      </c>
      <c r="H330" s="58">
        <v>18000</v>
      </c>
      <c r="I330" s="58">
        <f t="shared" si="70"/>
        <v>14000</v>
      </c>
      <c r="J330" s="58">
        <f t="shared" si="71"/>
        <v>381.81818181818181</v>
      </c>
      <c r="K330" s="58">
        <v>2800</v>
      </c>
      <c r="L330" s="59">
        <f t="shared" si="72"/>
        <v>2750</v>
      </c>
      <c r="M330" s="58">
        <f t="shared" si="73"/>
        <v>3562.5</v>
      </c>
      <c r="N330" s="58">
        <f t="shared" si="74"/>
        <v>3087.5</v>
      </c>
      <c r="O330" s="58">
        <f t="shared" si="75"/>
        <v>1400</v>
      </c>
      <c r="P330" s="58">
        <f t="shared" si="76"/>
        <v>4156.060606060606</v>
      </c>
      <c r="Q330" s="60">
        <f t="shared" si="77"/>
        <v>6.9974489795918364</v>
      </c>
      <c r="R330" s="58">
        <f t="shared" si="78"/>
        <v>2743.560606060606</v>
      </c>
      <c r="S330" s="58">
        <f t="shared" si="79"/>
        <v>2298.560606060606</v>
      </c>
      <c r="T330" s="58">
        <f t="shared" si="80"/>
        <v>1806.060606060606</v>
      </c>
      <c r="U330" s="60">
        <f t="shared" si="81"/>
        <v>4.6192602040816322</v>
      </c>
      <c r="V330" s="60">
        <f t="shared" si="82"/>
        <v>3.8700255102040813</v>
      </c>
      <c r="W330" s="60">
        <f t="shared" si="83"/>
        <v>3.0408163265306118</v>
      </c>
      <c r="X330" s="61" t="s">
        <v>277</v>
      </c>
      <c r="Y330" s="1"/>
      <c r="Z330" s="1"/>
    </row>
    <row r="331" spans="1:26" ht="15.75" customHeight="1">
      <c r="A331" s="54"/>
      <c r="B331" s="160" t="s">
        <v>1549</v>
      </c>
      <c r="C331" s="33"/>
      <c r="D331" s="55" t="s">
        <v>1550</v>
      </c>
      <c r="E331" s="55"/>
      <c r="F331" s="56"/>
      <c r="G331" s="57" t="s">
        <v>1551</v>
      </c>
      <c r="H331" s="58">
        <v>20000</v>
      </c>
      <c r="I331" s="58">
        <f t="shared" si="70"/>
        <v>12600</v>
      </c>
      <c r="J331" s="58">
        <f t="shared" si="71"/>
        <v>424.24242424242425</v>
      </c>
      <c r="K331" s="58">
        <v>2800</v>
      </c>
      <c r="L331" s="59">
        <f t="shared" si="72"/>
        <v>2750</v>
      </c>
      <c r="M331" s="58">
        <f t="shared" si="73"/>
        <v>2062.5</v>
      </c>
      <c r="N331" s="58">
        <f t="shared" si="74"/>
        <v>1787.5</v>
      </c>
      <c r="O331" s="58">
        <f t="shared" si="75"/>
        <v>1400</v>
      </c>
      <c r="P331" s="58">
        <f t="shared" si="76"/>
        <v>2368.181818181818</v>
      </c>
      <c r="Q331" s="60">
        <f t="shared" si="77"/>
        <v>6.2023809523809517</v>
      </c>
      <c r="R331" s="58">
        <f t="shared" si="78"/>
        <v>3180.681818181818</v>
      </c>
      <c r="S331" s="58">
        <f t="shared" si="79"/>
        <v>2705.681818181818</v>
      </c>
      <c r="T331" s="58">
        <f t="shared" si="80"/>
        <v>1018.1818181818182</v>
      </c>
      <c r="U331" s="60">
        <f t="shared" si="81"/>
        <v>8.3303571428571423</v>
      </c>
      <c r="V331" s="60">
        <f t="shared" si="82"/>
        <v>7.0863095238095237</v>
      </c>
      <c r="W331" s="60">
        <f t="shared" si="83"/>
        <v>2.666666666666667</v>
      </c>
      <c r="X331" s="61"/>
      <c r="Y331" s="1"/>
      <c r="Z331" s="1"/>
    </row>
    <row r="332" spans="1:26" ht="15.75" customHeight="1">
      <c r="A332" s="54"/>
      <c r="B332" s="162"/>
      <c r="C332" s="33"/>
      <c r="D332" s="55" t="s">
        <v>148</v>
      </c>
      <c r="E332" s="55"/>
      <c r="F332" s="56"/>
      <c r="G332" s="57" t="s">
        <v>1552</v>
      </c>
      <c r="H332" s="58">
        <v>20000</v>
      </c>
      <c r="I332" s="58">
        <f t="shared" si="70"/>
        <v>14000</v>
      </c>
      <c r="J332" s="58">
        <f t="shared" si="71"/>
        <v>381.81818181818181</v>
      </c>
      <c r="K332" s="58">
        <v>2800</v>
      </c>
      <c r="L332" s="59">
        <f t="shared" si="72"/>
        <v>2750</v>
      </c>
      <c r="M332" s="58">
        <f t="shared" si="73"/>
        <v>2062.5</v>
      </c>
      <c r="N332" s="58">
        <f t="shared" si="74"/>
        <v>1787.5</v>
      </c>
      <c r="O332" s="58">
        <f t="shared" si="75"/>
        <v>1400</v>
      </c>
      <c r="P332" s="58">
        <f t="shared" si="76"/>
        <v>2325.757575757576</v>
      </c>
      <c r="Q332" s="60">
        <f t="shared" si="77"/>
        <v>5.4821428571428577</v>
      </c>
      <c r="R332" s="58">
        <f t="shared" si="78"/>
        <v>1638.2575757575758</v>
      </c>
      <c r="S332" s="58">
        <f t="shared" si="79"/>
        <v>1363.2575757575758</v>
      </c>
      <c r="T332" s="58">
        <f t="shared" si="80"/>
        <v>975.75757575757575</v>
      </c>
      <c r="U332" s="60">
        <f t="shared" si="81"/>
        <v>3.8616071428571428</v>
      </c>
      <c r="V332" s="60">
        <f t="shared" si="82"/>
        <v>3.2133928571428569</v>
      </c>
      <c r="W332" s="60">
        <f t="shared" si="83"/>
        <v>2.2999999999999998</v>
      </c>
      <c r="X332" s="61" t="s">
        <v>279</v>
      </c>
      <c r="Y332" s="1"/>
      <c r="Z332" s="1"/>
    </row>
    <row r="333" spans="1:26" ht="15.75" customHeight="1">
      <c r="A333" s="54"/>
      <c r="B333" s="162"/>
      <c r="C333" s="33"/>
      <c r="D333" s="55" t="s">
        <v>1494</v>
      </c>
      <c r="E333" s="55" t="s">
        <v>1553</v>
      </c>
      <c r="F333" s="56"/>
      <c r="G333" s="57" t="s">
        <v>1554</v>
      </c>
      <c r="H333" s="58">
        <v>8000</v>
      </c>
      <c r="I333" s="58">
        <f t="shared" si="70"/>
        <v>14000</v>
      </c>
      <c r="J333" s="58">
        <f t="shared" si="71"/>
        <v>424.24242424242425</v>
      </c>
      <c r="K333" s="58">
        <v>2800</v>
      </c>
      <c r="L333" s="59">
        <f t="shared" si="72"/>
        <v>2750</v>
      </c>
      <c r="M333" s="58">
        <f t="shared" si="73"/>
        <v>2062.5</v>
      </c>
      <c r="N333" s="58">
        <f t="shared" si="74"/>
        <v>1787.5</v>
      </c>
      <c r="O333" s="58">
        <f t="shared" si="75"/>
        <v>1400</v>
      </c>
      <c r="P333" s="58">
        <f t="shared" si="76"/>
        <v>2368.181818181818</v>
      </c>
      <c r="Q333" s="60">
        <f t="shared" si="77"/>
        <v>6.2023809523809517</v>
      </c>
      <c r="R333" s="58">
        <f t="shared" si="78"/>
        <v>1680.6818181818182</v>
      </c>
      <c r="S333" s="58">
        <f t="shared" si="79"/>
        <v>1405.6818181818182</v>
      </c>
      <c r="T333" s="58">
        <f t="shared" si="80"/>
        <v>1018.1818181818182</v>
      </c>
      <c r="U333" s="60">
        <f t="shared" si="81"/>
        <v>4.4017857142857144</v>
      </c>
      <c r="V333" s="60">
        <f t="shared" si="82"/>
        <v>3.6815476190476191</v>
      </c>
      <c r="W333" s="60">
        <f t="shared" si="83"/>
        <v>2.666666666666667</v>
      </c>
      <c r="X333" s="61" t="s">
        <v>281</v>
      </c>
      <c r="Y333" s="1"/>
      <c r="Z333" s="1"/>
    </row>
    <row r="334" spans="1:26" ht="15.75" customHeight="1">
      <c r="A334" s="54"/>
      <c r="B334" s="162"/>
      <c r="C334" s="33"/>
      <c r="D334" s="55" t="s">
        <v>1555</v>
      </c>
      <c r="E334" s="55"/>
      <c r="F334" s="56"/>
      <c r="G334" s="71" t="s">
        <v>1556</v>
      </c>
      <c r="H334" s="72">
        <v>25000</v>
      </c>
      <c r="I334" s="58">
        <f t="shared" si="70"/>
        <v>5600</v>
      </c>
      <c r="J334" s="58">
        <f t="shared" si="71"/>
        <v>424.24242424242425</v>
      </c>
      <c r="K334" s="58">
        <v>2800</v>
      </c>
      <c r="L334" s="59">
        <f t="shared" si="72"/>
        <v>2750</v>
      </c>
      <c r="M334" s="58">
        <f t="shared" si="73"/>
        <v>2062.5</v>
      </c>
      <c r="N334" s="58">
        <f t="shared" si="74"/>
        <v>1787.5</v>
      </c>
      <c r="O334" s="58">
        <f t="shared" si="75"/>
        <v>1400</v>
      </c>
      <c r="P334" s="58">
        <f t="shared" si="76"/>
        <v>2325.757575757576</v>
      </c>
      <c r="Q334" s="60">
        <f t="shared" si="77"/>
        <v>5.4821428571428577</v>
      </c>
      <c r="R334" s="58">
        <f t="shared" si="78"/>
        <v>1638.2575757575758</v>
      </c>
      <c r="S334" s="58">
        <f t="shared" si="79"/>
        <v>1363.2575757575758</v>
      </c>
      <c r="T334" s="58">
        <f t="shared" si="80"/>
        <v>975.75757575757575</v>
      </c>
      <c r="U334" s="60">
        <f t="shared" si="81"/>
        <v>3.8616071428571428</v>
      </c>
      <c r="V334" s="60">
        <f t="shared" si="82"/>
        <v>3.2133928571428569</v>
      </c>
      <c r="W334" s="60">
        <f t="shared" si="83"/>
        <v>2.2999999999999998</v>
      </c>
      <c r="X334" s="61"/>
      <c r="Y334" s="1"/>
      <c r="Z334" s="1"/>
    </row>
    <row r="335" spans="1:26" ht="15.75" customHeight="1">
      <c r="A335" s="54"/>
      <c r="B335" s="162"/>
      <c r="C335" s="33"/>
      <c r="D335" s="55" t="s">
        <v>1557</v>
      </c>
      <c r="E335" s="55"/>
      <c r="F335" s="56"/>
      <c r="G335" s="57" t="s">
        <v>1558</v>
      </c>
      <c r="H335" s="58">
        <v>25000</v>
      </c>
      <c r="I335" s="58">
        <f t="shared" si="70"/>
        <v>17500</v>
      </c>
      <c r="J335" s="58">
        <f t="shared" si="71"/>
        <v>169.69696969696969</v>
      </c>
      <c r="K335" s="58">
        <v>2800</v>
      </c>
      <c r="L335" s="59">
        <f t="shared" si="72"/>
        <v>2750</v>
      </c>
      <c r="M335" s="58">
        <f t="shared" si="73"/>
        <v>2062.5</v>
      </c>
      <c r="N335" s="58">
        <f t="shared" si="74"/>
        <v>1787.5</v>
      </c>
      <c r="O335" s="58">
        <f t="shared" si="75"/>
        <v>1400</v>
      </c>
      <c r="P335" s="58">
        <f t="shared" si="76"/>
        <v>2325.757575757576</v>
      </c>
      <c r="Q335" s="60">
        <f t="shared" si="77"/>
        <v>5.4821428571428577</v>
      </c>
      <c r="R335" s="58">
        <f t="shared" si="78"/>
        <v>1638.2575757575758</v>
      </c>
      <c r="S335" s="58">
        <f t="shared" si="79"/>
        <v>1363.2575757575758</v>
      </c>
      <c r="T335" s="58">
        <f t="shared" si="80"/>
        <v>975.75757575757575</v>
      </c>
      <c r="U335" s="60">
        <f t="shared" si="81"/>
        <v>3.8616071428571428</v>
      </c>
      <c r="V335" s="60">
        <f t="shared" si="82"/>
        <v>3.2133928571428569</v>
      </c>
      <c r="W335" s="60">
        <f t="shared" si="83"/>
        <v>2.2999999999999998</v>
      </c>
      <c r="X335" s="61"/>
      <c r="Y335" s="1"/>
      <c r="Z335" s="1"/>
    </row>
    <row r="336" spans="1:26" ht="15.75" customHeight="1">
      <c r="A336" s="54"/>
      <c r="B336" s="161"/>
      <c r="C336" s="33"/>
      <c r="D336" s="55" t="s">
        <v>1559</v>
      </c>
      <c r="E336" s="55"/>
      <c r="F336" s="56"/>
      <c r="G336" s="57" t="s">
        <v>1560</v>
      </c>
      <c r="H336" s="58">
        <v>28000</v>
      </c>
      <c r="I336" s="58">
        <f t="shared" si="70"/>
        <v>17500</v>
      </c>
      <c r="J336" s="58">
        <f t="shared" si="71"/>
        <v>530.30303030303025</v>
      </c>
      <c r="K336" s="58">
        <v>2800</v>
      </c>
      <c r="L336" s="59">
        <f t="shared" si="72"/>
        <v>2750</v>
      </c>
      <c r="M336" s="58">
        <f t="shared" si="73"/>
        <v>2062.5</v>
      </c>
      <c r="N336" s="58">
        <f t="shared" si="74"/>
        <v>1787.5</v>
      </c>
      <c r="O336" s="58">
        <f t="shared" si="75"/>
        <v>1400</v>
      </c>
      <c r="P336" s="58">
        <f t="shared" si="76"/>
        <v>2580.3030303030305</v>
      </c>
      <c r="Q336" s="60">
        <f t="shared" si="77"/>
        <v>15.205357142857144</v>
      </c>
      <c r="R336" s="58">
        <f t="shared" si="78"/>
        <v>1892.8030303030303</v>
      </c>
      <c r="S336" s="58">
        <f t="shared" si="79"/>
        <v>1617.8030303030303</v>
      </c>
      <c r="T336" s="58">
        <f t="shared" si="80"/>
        <v>1230.3030303030303</v>
      </c>
      <c r="U336" s="60">
        <f t="shared" si="81"/>
        <v>11.154017857142858</v>
      </c>
      <c r="V336" s="60">
        <f t="shared" si="82"/>
        <v>9.5334821428571423</v>
      </c>
      <c r="W336" s="60">
        <f t="shared" si="83"/>
        <v>7.25</v>
      </c>
      <c r="X336" s="61"/>
      <c r="Y336" s="1"/>
      <c r="Z336" s="1"/>
    </row>
    <row r="337" spans="1:26" ht="15.75" customHeight="1">
      <c r="A337" s="54"/>
      <c r="B337" s="125"/>
      <c r="C337" s="90"/>
      <c r="D337" s="55" t="s">
        <v>1561</v>
      </c>
      <c r="E337" s="55"/>
      <c r="F337" s="56"/>
      <c r="G337" s="57" t="s">
        <v>1562</v>
      </c>
      <c r="H337" s="58">
        <v>65000</v>
      </c>
      <c r="I337" s="58">
        <f t="shared" si="70"/>
        <v>19600</v>
      </c>
      <c r="J337" s="58">
        <f t="shared" si="71"/>
        <v>530.30303030303025</v>
      </c>
      <c r="K337" s="58">
        <v>5600</v>
      </c>
      <c r="L337" s="59">
        <f t="shared" si="72"/>
        <v>2750</v>
      </c>
      <c r="M337" s="58">
        <f t="shared" si="73"/>
        <v>2062.5</v>
      </c>
      <c r="N337" s="58">
        <f t="shared" si="74"/>
        <v>1787.5</v>
      </c>
      <c r="O337" s="58">
        <f t="shared" si="75"/>
        <v>1400</v>
      </c>
      <c r="P337" s="58">
        <f t="shared" si="76"/>
        <v>2219.69696969697</v>
      </c>
      <c r="Q337" s="60">
        <f t="shared" si="77"/>
        <v>4.1857142857142868</v>
      </c>
      <c r="R337" s="58">
        <f t="shared" si="78"/>
        <v>1532.1969696969697</v>
      </c>
      <c r="S337" s="58">
        <f t="shared" si="79"/>
        <v>1257.1969696969697</v>
      </c>
      <c r="T337" s="58">
        <f t="shared" si="80"/>
        <v>869.69696969696975</v>
      </c>
      <c r="U337" s="60">
        <f t="shared" si="81"/>
        <v>2.8892857142857147</v>
      </c>
      <c r="V337" s="60">
        <f t="shared" si="82"/>
        <v>2.370714285714286</v>
      </c>
      <c r="W337" s="60">
        <f t="shared" si="83"/>
        <v>1.6400000000000003</v>
      </c>
      <c r="X337" s="61"/>
      <c r="Y337" s="1"/>
      <c r="Z337" s="1"/>
    </row>
    <row r="338" spans="1:26" ht="15.75" customHeight="1">
      <c r="A338" s="54"/>
      <c r="B338" s="165" t="s">
        <v>1292</v>
      </c>
      <c r="C338" s="92"/>
      <c r="D338" s="65" t="s">
        <v>1563</v>
      </c>
      <c r="E338" s="65"/>
      <c r="F338" s="66"/>
      <c r="G338" s="67" t="s">
        <v>1564</v>
      </c>
      <c r="H338" s="68">
        <v>18000</v>
      </c>
      <c r="I338" s="58">
        <f t="shared" si="70"/>
        <v>45500</v>
      </c>
      <c r="J338" s="58">
        <f t="shared" si="71"/>
        <v>593.93939393939399</v>
      </c>
      <c r="K338" s="58">
        <v>2800</v>
      </c>
      <c r="L338" s="59">
        <f t="shared" si="72"/>
        <v>5550</v>
      </c>
      <c r="M338" s="58">
        <f t="shared" si="73"/>
        <v>2062.5</v>
      </c>
      <c r="N338" s="58">
        <f t="shared" si="74"/>
        <v>1787.5</v>
      </c>
      <c r="O338" s="58">
        <f t="shared" si="75"/>
        <v>2800</v>
      </c>
      <c r="P338" s="58">
        <f t="shared" si="76"/>
        <v>2219.69696969697</v>
      </c>
      <c r="Q338" s="60">
        <f t="shared" si="77"/>
        <v>4.1857142857142868</v>
      </c>
      <c r="R338" s="58">
        <f t="shared" si="78"/>
        <v>1532.1969696969697</v>
      </c>
      <c r="S338" s="58">
        <f t="shared" si="79"/>
        <v>1257.1969696969697</v>
      </c>
      <c r="T338" s="58">
        <f t="shared" si="80"/>
        <v>869.69696969696975</v>
      </c>
      <c r="U338" s="60">
        <f t="shared" si="81"/>
        <v>2.8892857142857147</v>
      </c>
      <c r="V338" s="60">
        <f t="shared" si="82"/>
        <v>2.370714285714286</v>
      </c>
      <c r="W338" s="60">
        <f t="shared" si="83"/>
        <v>1.6400000000000003</v>
      </c>
      <c r="X338" s="61" t="s">
        <v>282</v>
      </c>
      <c r="Y338" s="1"/>
      <c r="Z338" s="1"/>
    </row>
    <row r="339" spans="1:26" ht="15.75" customHeight="1">
      <c r="A339" s="54"/>
      <c r="B339" s="162"/>
      <c r="C339" s="33"/>
      <c r="D339" s="55" t="s">
        <v>1565</v>
      </c>
      <c r="E339" s="55"/>
      <c r="F339" s="56"/>
      <c r="G339" s="57" t="s">
        <v>1566</v>
      </c>
      <c r="H339" s="58">
        <v>18000</v>
      </c>
      <c r="I339" s="58">
        <f t="shared" si="70"/>
        <v>12600</v>
      </c>
      <c r="J339" s="58">
        <f t="shared" si="71"/>
        <v>1378.7878787878788</v>
      </c>
      <c r="K339" s="58">
        <v>2800</v>
      </c>
      <c r="L339" s="59">
        <f t="shared" si="72"/>
        <v>2750</v>
      </c>
      <c r="M339" s="58">
        <f t="shared" si="73"/>
        <v>4162.5</v>
      </c>
      <c r="N339" s="58">
        <f t="shared" si="74"/>
        <v>3607.5</v>
      </c>
      <c r="O339" s="58">
        <f t="shared" si="75"/>
        <v>1400</v>
      </c>
      <c r="P339" s="58">
        <f t="shared" si="76"/>
        <v>4956.060606060606</v>
      </c>
      <c r="Q339" s="60">
        <f t="shared" si="77"/>
        <v>8.3443877551020407</v>
      </c>
      <c r="R339" s="58">
        <f t="shared" si="78"/>
        <v>1468.560606060606</v>
      </c>
      <c r="S339" s="58">
        <f t="shared" si="79"/>
        <v>1193.560606060606</v>
      </c>
      <c r="T339" s="58">
        <f t="shared" si="80"/>
        <v>2206.060606060606</v>
      </c>
      <c r="U339" s="60">
        <f t="shared" si="81"/>
        <v>2.4725765306122445</v>
      </c>
      <c r="V339" s="60">
        <f t="shared" si="82"/>
        <v>2.0095663265306118</v>
      </c>
      <c r="W339" s="60">
        <f t="shared" si="83"/>
        <v>3.714285714285714</v>
      </c>
      <c r="X339" s="61" t="s">
        <v>283</v>
      </c>
      <c r="Y339" s="1"/>
      <c r="Z339" s="1"/>
    </row>
    <row r="340" spans="1:26" ht="15.75" customHeight="1">
      <c r="A340" s="54"/>
      <c r="B340" s="162"/>
      <c r="C340" s="33"/>
      <c r="D340" s="55" t="s">
        <v>1567</v>
      </c>
      <c r="E340" s="55"/>
      <c r="F340" s="56"/>
      <c r="G340" s="57" t="s">
        <v>1568</v>
      </c>
      <c r="H340" s="58">
        <v>18000</v>
      </c>
      <c r="I340" s="58">
        <f t="shared" si="70"/>
        <v>12600</v>
      </c>
      <c r="J340" s="58">
        <f t="shared" si="71"/>
        <v>381.81818181818181</v>
      </c>
      <c r="K340" s="58">
        <v>2800</v>
      </c>
      <c r="L340" s="59">
        <f t="shared" si="72"/>
        <v>2750</v>
      </c>
      <c r="M340" s="58">
        <f t="shared" si="73"/>
        <v>2062.5</v>
      </c>
      <c r="N340" s="58">
        <f t="shared" si="74"/>
        <v>1787.5</v>
      </c>
      <c r="O340" s="58">
        <f t="shared" si="75"/>
        <v>1400</v>
      </c>
      <c r="P340" s="58">
        <f t="shared" si="76"/>
        <v>1371.2121212121212</v>
      </c>
      <c r="Q340" s="60">
        <f t="shared" si="77"/>
        <v>0.99450549450549453</v>
      </c>
      <c r="R340" s="58">
        <f t="shared" si="78"/>
        <v>2783.712121212121</v>
      </c>
      <c r="S340" s="58">
        <f t="shared" si="79"/>
        <v>2228.712121212121</v>
      </c>
      <c r="T340" s="58">
        <f t="shared" si="80"/>
        <v>21.212121212121247</v>
      </c>
      <c r="U340" s="60">
        <f t="shared" si="81"/>
        <v>2.0189560439560439</v>
      </c>
      <c r="V340" s="60">
        <f t="shared" si="82"/>
        <v>1.6164285714285713</v>
      </c>
      <c r="W340" s="60">
        <f t="shared" si="83"/>
        <v>1.538461538461541E-2</v>
      </c>
      <c r="X340" s="61" t="s">
        <v>282</v>
      </c>
      <c r="Y340" s="1"/>
      <c r="Z340" s="1"/>
    </row>
    <row r="341" spans="1:26" ht="15.75" customHeight="1">
      <c r="A341" s="54"/>
      <c r="B341" s="161"/>
      <c r="C341" s="33"/>
      <c r="D341" s="55" t="s">
        <v>1569</v>
      </c>
      <c r="E341" s="55"/>
      <c r="F341" s="56"/>
      <c r="G341" s="57" t="s">
        <v>1570</v>
      </c>
      <c r="H341" s="58">
        <v>18000</v>
      </c>
      <c r="I341" s="58">
        <f t="shared" si="70"/>
        <v>12600</v>
      </c>
      <c r="J341" s="58">
        <f t="shared" si="71"/>
        <v>381.81818181818181</v>
      </c>
      <c r="K341" s="58">
        <v>2800</v>
      </c>
      <c r="L341" s="59">
        <f t="shared" si="72"/>
        <v>2750</v>
      </c>
      <c r="M341" s="58">
        <f t="shared" si="73"/>
        <v>2062.5</v>
      </c>
      <c r="N341" s="58">
        <f t="shared" si="74"/>
        <v>1787.5</v>
      </c>
      <c r="O341" s="58">
        <f t="shared" si="75"/>
        <v>1400</v>
      </c>
      <c r="P341" s="58">
        <f t="shared" si="76"/>
        <v>2368.181818181818</v>
      </c>
      <c r="Q341" s="60">
        <f t="shared" si="77"/>
        <v>6.2023809523809517</v>
      </c>
      <c r="R341" s="58">
        <f t="shared" si="78"/>
        <v>1680.6818181818182</v>
      </c>
      <c r="S341" s="58">
        <f t="shared" si="79"/>
        <v>1405.6818181818182</v>
      </c>
      <c r="T341" s="58">
        <f t="shared" si="80"/>
        <v>1018.1818181818182</v>
      </c>
      <c r="U341" s="60">
        <f t="shared" si="81"/>
        <v>4.4017857142857144</v>
      </c>
      <c r="V341" s="60">
        <f t="shared" si="82"/>
        <v>3.6815476190476191</v>
      </c>
      <c r="W341" s="60">
        <f t="shared" si="83"/>
        <v>2.666666666666667</v>
      </c>
      <c r="X341" s="61" t="s">
        <v>284</v>
      </c>
      <c r="Y341" s="1"/>
      <c r="Z341" s="1"/>
    </row>
    <row r="342" spans="1:26" ht="15.75" customHeight="1">
      <c r="A342" s="54"/>
      <c r="B342" s="161"/>
      <c r="C342" s="33"/>
      <c r="D342" s="55" t="s">
        <v>1571</v>
      </c>
      <c r="E342" s="55"/>
      <c r="F342" s="56"/>
      <c r="G342" s="57" t="s">
        <v>1572</v>
      </c>
      <c r="H342" s="58">
        <v>18000</v>
      </c>
      <c r="I342" s="58">
        <f t="shared" si="70"/>
        <v>12600</v>
      </c>
      <c r="J342" s="58">
        <f t="shared" si="71"/>
        <v>381.81818181818181</v>
      </c>
      <c r="K342" s="58">
        <v>2800</v>
      </c>
      <c r="L342" s="59">
        <f t="shared" si="72"/>
        <v>2750</v>
      </c>
      <c r="M342" s="58">
        <f t="shared" si="73"/>
        <v>2062.5</v>
      </c>
      <c r="N342" s="58">
        <f t="shared" si="74"/>
        <v>1787.5</v>
      </c>
      <c r="O342" s="58">
        <f t="shared" si="75"/>
        <v>1400</v>
      </c>
      <c r="P342" s="58">
        <f t="shared" si="76"/>
        <v>2368.181818181818</v>
      </c>
      <c r="Q342" s="60">
        <f t="shared" si="77"/>
        <v>6.2023809523809517</v>
      </c>
      <c r="R342" s="58">
        <f t="shared" si="78"/>
        <v>1680.6818181818182</v>
      </c>
      <c r="S342" s="58">
        <f t="shared" si="79"/>
        <v>1405.6818181818182</v>
      </c>
      <c r="T342" s="58">
        <f t="shared" si="80"/>
        <v>1018.1818181818182</v>
      </c>
      <c r="U342" s="60">
        <f t="shared" si="81"/>
        <v>4.4017857142857144</v>
      </c>
      <c r="V342" s="60">
        <f t="shared" si="82"/>
        <v>3.6815476190476191</v>
      </c>
      <c r="W342" s="60">
        <f t="shared" si="83"/>
        <v>2.666666666666667</v>
      </c>
      <c r="X342" s="61" t="s">
        <v>286</v>
      </c>
      <c r="Y342" s="1"/>
      <c r="Z342" s="1"/>
    </row>
    <row r="343" spans="1:26" ht="15.75" customHeight="1">
      <c r="A343" s="54"/>
      <c r="B343" s="162"/>
      <c r="C343" s="33"/>
      <c r="D343" s="55" t="s">
        <v>1573</v>
      </c>
      <c r="E343" s="55"/>
      <c r="F343" s="56"/>
      <c r="G343" s="57" t="s">
        <v>1574</v>
      </c>
      <c r="H343" s="58">
        <v>18000</v>
      </c>
      <c r="I343" s="58">
        <f t="shared" si="70"/>
        <v>12600</v>
      </c>
      <c r="J343" s="58">
        <f t="shared" si="71"/>
        <v>381.81818181818181</v>
      </c>
      <c r="K343" s="58">
        <v>2800</v>
      </c>
      <c r="L343" s="59">
        <f t="shared" si="72"/>
        <v>2750</v>
      </c>
      <c r="M343" s="58">
        <f t="shared" si="73"/>
        <v>2062.5</v>
      </c>
      <c r="N343" s="58">
        <f t="shared" si="74"/>
        <v>1787.5</v>
      </c>
      <c r="O343" s="58">
        <f t="shared" si="75"/>
        <v>1400</v>
      </c>
      <c r="P343" s="58">
        <f t="shared" si="76"/>
        <v>2368.181818181818</v>
      </c>
      <c r="Q343" s="60">
        <f t="shared" si="77"/>
        <v>6.2023809523809517</v>
      </c>
      <c r="R343" s="58">
        <f t="shared" si="78"/>
        <v>1680.6818181818182</v>
      </c>
      <c r="S343" s="58">
        <f t="shared" si="79"/>
        <v>1405.6818181818182</v>
      </c>
      <c r="T343" s="58">
        <f t="shared" si="80"/>
        <v>1018.1818181818182</v>
      </c>
      <c r="U343" s="60">
        <f t="shared" si="81"/>
        <v>4.4017857142857144</v>
      </c>
      <c r="V343" s="60">
        <f t="shared" si="82"/>
        <v>3.6815476190476191</v>
      </c>
      <c r="W343" s="60">
        <f t="shared" si="83"/>
        <v>2.666666666666667</v>
      </c>
      <c r="X343" s="61" t="s">
        <v>288</v>
      </c>
      <c r="Y343" s="1"/>
      <c r="Z343" s="1"/>
    </row>
    <row r="344" spans="1:26" ht="15.75" customHeight="1">
      <c r="A344" s="54"/>
      <c r="B344" s="161"/>
      <c r="C344" s="33"/>
      <c r="D344" s="55" t="s">
        <v>1575</v>
      </c>
      <c r="E344" s="55"/>
      <c r="F344" s="56"/>
      <c r="G344" s="57" t="s">
        <v>1576</v>
      </c>
      <c r="H344" s="58">
        <v>15000</v>
      </c>
      <c r="I344" s="58">
        <f t="shared" si="70"/>
        <v>12600</v>
      </c>
      <c r="J344" s="58">
        <f t="shared" si="71"/>
        <v>381.81818181818181</v>
      </c>
      <c r="K344" s="58">
        <v>2800</v>
      </c>
      <c r="L344" s="59">
        <f t="shared" si="72"/>
        <v>2750</v>
      </c>
      <c r="M344" s="58">
        <f t="shared" si="73"/>
        <v>2062.5</v>
      </c>
      <c r="N344" s="58">
        <f t="shared" si="74"/>
        <v>1787.5</v>
      </c>
      <c r="O344" s="58">
        <f t="shared" si="75"/>
        <v>1400</v>
      </c>
      <c r="P344" s="58">
        <f t="shared" si="76"/>
        <v>2368.181818181818</v>
      </c>
      <c r="Q344" s="60">
        <f t="shared" si="77"/>
        <v>6.2023809523809517</v>
      </c>
      <c r="R344" s="58">
        <f t="shared" si="78"/>
        <v>1680.6818181818182</v>
      </c>
      <c r="S344" s="58">
        <f t="shared" si="79"/>
        <v>1405.6818181818182</v>
      </c>
      <c r="T344" s="58">
        <f t="shared" si="80"/>
        <v>1018.1818181818182</v>
      </c>
      <c r="U344" s="60">
        <f t="shared" si="81"/>
        <v>4.4017857142857144</v>
      </c>
      <c r="V344" s="60">
        <f t="shared" si="82"/>
        <v>3.6815476190476191</v>
      </c>
      <c r="W344" s="60">
        <f t="shared" si="83"/>
        <v>2.666666666666667</v>
      </c>
      <c r="X344" s="61" t="s">
        <v>288</v>
      </c>
      <c r="Y344" s="1"/>
      <c r="Z344" s="1"/>
    </row>
    <row r="345" spans="1:26" ht="15.75" customHeight="1">
      <c r="A345" s="54"/>
      <c r="B345" s="125"/>
      <c r="C345" s="33"/>
      <c r="D345" s="55" t="s">
        <v>412</v>
      </c>
      <c r="E345" s="55"/>
      <c r="F345" s="56"/>
      <c r="G345" s="57" t="s">
        <v>1577</v>
      </c>
      <c r="H345" s="58">
        <v>18000</v>
      </c>
      <c r="I345" s="58">
        <f t="shared" si="70"/>
        <v>10500</v>
      </c>
      <c r="J345" s="58">
        <f t="shared" si="71"/>
        <v>381.81818181818181</v>
      </c>
      <c r="K345" s="58">
        <v>2800</v>
      </c>
      <c r="L345" s="59">
        <f t="shared" si="72"/>
        <v>2750</v>
      </c>
      <c r="M345" s="58">
        <f t="shared" si="73"/>
        <v>2062.5</v>
      </c>
      <c r="N345" s="58">
        <f t="shared" si="74"/>
        <v>1787.5</v>
      </c>
      <c r="O345" s="58">
        <f t="shared" si="75"/>
        <v>1400</v>
      </c>
      <c r="P345" s="58">
        <f t="shared" si="76"/>
        <v>2368.181818181818</v>
      </c>
      <c r="Q345" s="60">
        <f t="shared" si="77"/>
        <v>6.2023809523809517</v>
      </c>
      <c r="R345" s="58">
        <f t="shared" si="78"/>
        <v>1680.6818181818182</v>
      </c>
      <c r="S345" s="58">
        <f t="shared" si="79"/>
        <v>1405.6818181818182</v>
      </c>
      <c r="T345" s="58">
        <f t="shared" si="80"/>
        <v>1018.1818181818182</v>
      </c>
      <c r="U345" s="60">
        <f t="shared" si="81"/>
        <v>4.4017857142857144</v>
      </c>
      <c r="V345" s="60">
        <f t="shared" si="82"/>
        <v>3.6815476190476191</v>
      </c>
      <c r="W345" s="60">
        <f t="shared" si="83"/>
        <v>2.666666666666667</v>
      </c>
      <c r="X345" s="61" t="s">
        <v>289</v>
      </c>
      <c r="Y345" s="1"/>
      <c r="Z345" s="1"/>
    </row>
    <row r="346" spans="1:26" ht="15.75" customHeight="1">
      <c r="A346" s="54"/>
      <c r="B346" s="160" t="s">
        <v>328</v>
      </c>
      <c r="C346" s="33"/>
      <c r="D346" s="55" t="s">
        <v>356</v>
      </c>
      <c r="E346" s="55"/>
      <c r="F346" s="56"/>
      <c r="G346" s="57" t="s">
        <v>1578</v>
      </c>
      <c r="H346" s="58">
        <v>15000</v>
      </c>
      <c r="I346" s="58">
        <f t="shared" si="70"/>
        <v>12600</v>
      </c>
      <c r="J346" s="58">
        <f t="shared" si="71"/>
        <v>318.18181818181819</v>
      </c>
      <c r="K346" s="58">
        <v>2800</v>
      </c>
      <c r="L346" s="59">
        <f t="shared" si="72"/>
        <v>2750</v>
      </c>
      <c r="M346" s="58">
        <f t="shared" si="73"/>
        <v>2062.5</v>
      </c>
      <c r="N346" s="58">
        <f t="shared" si="74"/>
        <v>1787.5</v>
      </c>
      <c r="O346" s="58">
        <f t="shared" si="75"/>
        <v>1400</v>
      </c>
      <c r="P346" s="58">
        <f t="shared" si="76"/>
        <v>2368.181818181818</v>
      </c>
      <c r="Q346" s="60">
        <f t="shared" si="77"/>
        <v>6.2023809523809517</v>
      </c>
      <c r="R346" s="58">
        <f t="shared" si="78"/>
        <v>1680.6818181818182</v>
      </c>
      <c r="S346" s="58">
        <f t="shared" si="79"/>
        <v>1405.6818181818182</v>
      </c>
      <c r="T346" s="58">
        <f t="shared" si="80"/>
        <v>1018.1818181818182</v>
      </c>
      <c r="U346" s="60">
        <f t="shared" si="81"/>
        <v>4.4017857142857144</v>
      </c>
      <c r="V346" s="60">
        <f t="shared" si="82"/>
        <v>3.6815476190476191</v>
      </c>
      <c r="W346" s="60">
        <f t="shared" si="83"/>
        <v>2.666666666666667</v>
      </c>
      <c r="X346" s="61"/>
      <c r="Y346" s="1"/>
      <c r="Z346" s="1"/>
    </row>
    <row r="347" spans="1:26" ht="15.75" customHeight="1">
      <c r="A347" s="54"/>
      <c r="B347" s="162"/>
      <c r="C347" s="33"/>
      <c r="D347" s="55" t="s">
        <v>524</v>
      </c>
      <c r="E347" s="55"/>
      <c r="F347" s="56"/>
      <c r="G347" s="57" t="s">
        <v>1579</v>
      </c>
      <c r="H347" s="58">
        <v>15000</v>
      </c>
      <c r="I347" s="58">
        <f t="shared" si="70"/>
        <v>10500</v>
      </c>
      <c r="J347" s="58">
        <f t="shared" si="71"/>
        <v>381.81818181818181</v>
      </c>
      <c r="K347" s="58">
        <v>2800</v>
      </c>
      <c r="L347" s="59">
        <f t="shared" si="72"/>
        <v>2750</v>
      </c>
      <c r="M347" s="58">
        <f t="shared" si="73"/>
        <v>2062.5</v>
      </c>
      <c r="N347" s="58">
        <f t="shared" si="74"/>
        <v>1787.5</v>
      </c>
      <c r="O347" s="58">
        <f t="shared" si="75"/>
        <v>1400</v>
      </c>
      <c r="P347" s="58">
        <f t="shared" si="76"/>
        <v>2431.818181818182</v>
      </c>
      <c r="Q347" s="60">
        <f t="shared" si="77"/>
        <v>7.6428571428571432</v>
      </c>
      <c r="R347" s="58">
        <f t="shared" si="78"/>
        <v>1744.3181818181818</v>
      </c>
      <c r="S347" s="58">
        <f t="shared" si="79"/>
        <v>1469.3181818181818</v>
      </c>
      <c r="T347" s="58">
        <f t="shared" si="80"/>
        <v>1081.8181818181818</v>
      </c>
      <c r="U347" s="60">
        <f t="shared" si="81"/>
        <v>5.4821428571428568</v>
      </c>
      <c r="V347" s="60">
        <f t="shared" si="82"/>
        <v>4.6178571428571429</v>
      </c>
      <c r="W347" s="60">
        <f t="shared" si="83"/>
        <v>3.4</v>
      </c>
      <c r="X347" s="61" t="s">
        <v>290</v>
      </c>
      <c r="Y347" s="1"/>
      <c r="Z347" s="1"/>
    </row>
    <row r="348" spans="1:26" ht="15.75" customHeight="1">
      <c r="A348" s="54"/>
      <c r="B348" s="162"/>
      <c r="C348" s="33"/>
      <c r="D348" s="55" t="s">
        <v>543</v>
      </c>
      <c r="E348" s="55"/>
      <c r="F348" s="56"/>
      <c r="G348" s="57" t="s">
        <v>1580</v>
      </c>
      <c r="H348" s="58">
        <v>15000</v>
      </c>
      <c r="I348" s="58">
        <f t="shared" si="70"/>
        <v>10500</v>
      </c>
      <c r="J348" s="58">
        <f t="shared" si="71"/>
        <v>318.18181818181819</v>
      </c>
      <c r="K348" s="58">
        <v>2800</v>
      </c>
      <c r="L348" s="59">
        <f t="shared" si="72"/>
        <v>2750</v>
      </c>
      <c r="M348" s="58">
        <f t="shared" si="73"/>
        <v>2062.5</v>
      </c>
      <c r="N348" s="58">
        <f t="shared" si="74"/>
        <v>1787.5</v>
      </c>
      <c r="O348" s="58">
        <f t="shared" si="75"/>
        <v>1400</v>
      </c>
      <c r="P348" s="58">
        <f t="shared" si="76"/>
        <v>2368.181818181818</v>
      </c>
      <c r="Q348" s="60">
        <f t="shared" si="77"/>
        <v>6.2023809523809517</v>
      </c>
      <c r="R348" s="58">
        <f t="shared" si="78"/>
        <v>1680.6818181818182</v>
      </c>
      <c r="S348" s="58">
        <f t="shared" si="79"/>
        <v>1405.6818181818182</v>
      </c>
      <c r="T348" s="58">
        <f t="shared" si="80"/>
        <v>1018.1818181818182</v>
      </c>
      <c r="U348" s="60">
        <f t="shared" si="81"/>
        <v>4.4017857142857144</v>
      </c>
      <c r="V348" s="60">
        <f t="shared" si="82"/>
        <v>3.6815476190476191</v>
      </c>
      <c r="W348" s="60">
        <f t="shared" si="83"/>
        <v>2.666666666666667</v>
      </c>
      <c r="X348" s="61" t="s">
        <v>291</v>
      </c>
      <c r="Y348" s="1"/>
      <c r="Z348" s="1"/>
    </row>
    <row r="349" spans="1:26" ht="15.75" customHeight="1">
      <c r="A349" s="54"/>
      <c r="B349" s="161"/>
      <c r="C349" s="33"/>
      <c r="D349" s="55" t="s">
        <v>1581</v>
      </c>
      <c r="E349" s="55"/>
      <c r="F349" s="56"/>
      <c r="G349" s="57" t="s">
        <v>1582</v>
      </c>
      <c r="H349" s="58">
        <v>18000</v>
      </c>
      <c r="I349" s="58">
        <f t="shared" si="70"/>
        <v>10500</v>
      </c>
      <c r="J349" s="58">
        <f t="shared" si="71"/>
        <v>318.18181818181819</v>
      </c>
      <c r="K349" s="58">
        <v>2800</v>
      </c>
      <c r="L349" s="59">
        <f t="shared" si="72"/>
        <v>2750</v>
      </c>
      <c r="M349" s="58">
        <f t="shared" si="73"/>
        <v>2062.5</v>
      </c>
      <c r="N349" s="58">
        <f t="shared" si="74"/>
        <v>1787.5</v>
      </c>
      <c r="O349" s="58">
        <f t="shared" si="75"/>
        <v>1400</v>
      </c>
      <c r="P349" s="58">
        <f t="shared" si="76"/>
        <v>2431.818181818182</v>
      </c>
      <c r="Q349" s="60">
        <f t="shared" si="77"/>
        <v>7.6428571428571432</v>
      </c>
      <c r="R349" s="58">
        <f t="shared" si="78"/>
        <v>1744.3181818181818</v>
      </c>
      <c r="S349" s="58">
        <f t="shared" si="79"/>
        <v>1469.3181818181818</v>
      </c>
      <c r="T349" s="58">
        <f t="shared" si="80"/>
        <v>1081.8181818181818</v>
      </c>
      <c r="U349" s="60">
        <f t="shared" si="81"/>
        <v>5.4821428571428568</v>
      </c>
      <c r="V349" s="60">
        <f t="shared" si="82"/>
        <v>4.6178571428571429</v>
      </c>
      <c r="W349" s="60">
        <f t="shared" si="83"/>
        <v>3.4</v>
      </c>
      <c r="X349" s="61" t="s">
        <v>293</v>
      </c>
      <c r="Y349" s="1"/>
      <c r="Z349" s="1"/>
    </row>
    <row r="350" spans="1:26" ht="15.75" customHeight="1">
      <c r="A350" s="54"/>
      <c r="B350" s="125"/>
      <c r="C350" s="33"/>
      <c r="D350" s="55" t="s">
        <v>1583</v>
      </c>
      <c r="E350" s="55"/>
      <c r="F350" s="56"/>
      <c r="G350" s="57" t="s">
        <v>1584</v>
      </c>
      <c r="H350" s="68">
        <v>18000</v>
      </c>
      <c r="I350" s="58">
        <f t="shared" si="70"/>
        <v>12600</v>
      </c>
      <c r="J350" s="58">
        <f t="shared" si="71"/>
        <v>318.18181818181819</v>
      </c>
      <c r="K350" s="58">
        <v>2800</v>
      </c>
      <c r="L350" s="59">
        <f t="shared" si="72"/>
        <v>2750</v>
      </c>
      <c r="M350" s="58">
        <f t="shared" si="73"/>
        <v>2062.5</v>
      </c>
      <c r="N350" s="58">
        <f t="shared" si="74"/>
        <v>1787.5</v>
      </c>
      <c r="O350" s="58">
        <f t="shared" si="75"/>
        <v>1400</v>
      </c>
      <c r="P350" s="58">
        <f t="shared" si="76"/>
        <v>2431.818181818182</v>
      </c>
      <c r="Q350" s="60">
        <f t="shared" si="77"/>
        <v>7.6428571428571432</v>
      </c>
      <c r="R350" s="58">
        <f t="shared" si="78"/>
        <v>1744.3181818181818</v>
      </c>
      <c r="S350" s="58">
        <f t="shared" si="79"/>
        <v>1469.3181818181818</v>
      </c>
      <c r="T350" s="58">
        <f t="shared" si="80"/>
        <v>1081.8181818181818</v>
      </c>
      <c r="U350" s="60">
        <f t="shared" si="81"/>
        <v>5.4821428571428568</v>
      </c>
      <c r="V350" s="60">
        <f t="shared" si="82"/>
        <v>4.6178571428571429</v>
      </c>
      <c r="W350" s="60">
        <f t="shared" si="83"/>
        <v>3.4</v>
      </c>
      <c r="X350" s="61" t="s">
        <v>294</v>
      </c>
      <c r="Y350" s="1"/>
      <c r="Z350" s="1"/>
    </row>
    <row r="351" spans="1:26" ht="15.75" customHeight="1">
      <c r="A351" s="54"/>
      <c r="B351" s="75" t="s">
        <v>1390</v>
      </c>
      <c r="C351" s="33"/>
      <c r="D351" s="55" t="s">
        <v>1585</v>
      </c>
      <c r="E351" s="55" t="s">
        <v>1586</v>
      </c>
      <c r="F351" s="56"/>
      <c r="G351" s="57" t="s">
        <v>1587</v>
      </c>
      <c r="H351" s="58">
        <v>15000</v>
      </c>
      <c r="I351" s="58">
        <f t="shared" si="70"/>
        <v>12600</v>
      </c>
      <c r="J351" s="58">
        <f t="shared" si="71"/>
        <v>381.81818181818181</v>
      </c>
      <c r="K351" s="58">
        <v>2800</v>
      </c>
      <c r="L351" s="59">
        <f t="shared" si="72"/>
        <v>2750</v>
      </c>
      <c r="M351" s="58">
        <f t="shared" si="73"/>
        <v>2062.5</v>
      </c>
      <c r="N351" s="58">
        <f t="shared" si="74"/>
        <v>1787.5</v>
      </c>
      <c r="O351" s="58">
        <f t="shared" si="75"/>
        <v>1400</v>
      </c>
      <c r="P351" s="58">
        <f t="shared" si="76"/>
        <v>2431.818181818182</v>
      </c>
      <c r="Q351" s="60">
        <f t="shared" si="77"/>
        <v>7.6428571428571432</v>
      </c>
      <c r="R351" s="58">
        <f t="shared" si="78"/>
        <v>1744.3181818181818</v>
      </c>
      <c r="S351" s="58">
        <f t="shared" si="79"/>
        <v>1469.3181818181818</v>
      </c>
      <c r="T351" s="58">
        <f t="shared" si="80"/>
        <v>1081.8181818181818</v>
      </c>
      <c r="U351" s="60">
        <f t="shared" si="81"/>
        <v>5.4821428571428568</v>
      </c>
      <c r="V351" s="60">
        <f t="shared" si="82"/>
        <v>4.6178571428571429</v>
      </c>
      <c r="W351" s="60">
        <f t="shared" si="83"/>
        <v>3.4</v>
      </c>
      <c r="X351" s="61"/>
      <c r="Y351" s="1"/>
      <c r="Z351" s="1"/>
    </row>
    <row r="352" spans="1:26" ht="15.75" customHeight="1">
      <c r="A352" s="86"/>
      <c r="B352" s="75" t="s">
        <v>15</v>
      </c>
      <c r="C352" s="69"/>
      <c r="D352" s="55" t="s">
        <v>1588</v>
      </c>
      <c r="E352" s="55"/>
      <c r="F352" s="56"/>
      <c r="G352" s="57" t="s">
        <v>1589</v>
      </c>
      <c r="H352" s="58">
        <v>20000</v>
      </c>
      <c r="I352" s="58">
        <f t="shared" si="70"/>
        <v>10500</v>
      </c>
      <c r="J352" s="58">
        <f t="shared" si="71"/>
        <v>381.81818181818181</v>
      </c>
      <c r="K352" s="58">
        <v>2800</v>
      </c>
      <c r="L352" s="59">
        <f t="shared" si="72"/>
        <v>2750</v>
      </c>
      <c r="M352" s="58">
        <f t="shared" si="73"/>
        <v>2062.5</v>
      </c>
      <c r="N352" s="58">
        <f t="shared" si="74"/>
        <v>1787.5</v>
      </c>
      <c r="O352" s="58">
        <f t="shared" si="75"/>
        <v>1400</v>
      </c>
      <c r="P352" s="58">
        <f t="shared" si="76"/>
        <v>2368.181818181818</v>
      </c>
      <c r="Q352" s="60">
        <f t="shared" si="77"/>
        <v>6.2023809523809517</v>
      </c>
      <c r="R352" s="58">
        <f t="shared" si="78"/>
        <v>1680.6818181818182</v>
      </c>
      <c r="S352" s="58">
        <f t="shared" si="79"/>
        <v>1405.6818181818182</v>
      </c>
      <c r="T352" s="58">
        <f t="shared" si="80"/>
        <v>1018.1818181818182</v>
      </c>
      <c r="U352" s="60">
        <f t="shared" si="81"/>
        <v>4.4017857142857144</v>
      </c>
      <c r="V352" s="60">
        <f t="shared" si="82"/>
        <v>3.6815476190476191</v>
      </c>
      <c r="W352" s="60">
        <f t="shared" si="83"/>
        <v>2.666666666666667</v>
      </c>
      <c r="X352" s="61"/>
      <c r="Y352" s="1"/>
      <c r="Z352" s="1"/>
    </row>
    <row r="353" spans="1:26" ht="15.75" customHeight="1">
      <c r="A353" s="51" t="s">
        <v>1590</v>
      </c>
      <c r="B353" s="75" t="s">
        <v>217</v>
      </c>
      <c r="C353" s="43"/>
      <c r="D353" s="55" t="s">
        <v>251</v>
      </c>
      <c r="E353" s="55"/>
      <c r="F353" s="56"/>
      <c r="G353" s="57" t="s">
        <v>1591</v>
      </c>
      <c r="H353" s="58">
        <v>8000</v>
      </c>
      <c r="I353" s="58">
        <f t="shared" si="70"/>
        <v>14000</v>
      </c>
      <c r="J353" s="58">
        <f t="shared" si="71"/>
        <v>318.18181818181819</v>
      </c>
      <c r="K353" s="58">
        <v>950</v>
      </c>
      <c r="L353" s="59">
        <f t="shared" si="72"/>
        <v>2750</v>
      </c>
      <c r="M353" s="58">
        <f t="shared" si="73"/>
        <v>2062.5</v>
      </c>
      <c r="N353" s="58">
        <f t="shared" si="74"/>
        <v>1787.5</v>
      </c>
      <c r="O353" s="58">
        <f t="shared" si="75"/>
        <v>1400</v>
      </c>
      <c r="P353" s="58">
        <f t="shared" si="76"/>
        <v>2368.181818181818</v>
      </c>
      <c r="Q353" s="60">
        <f t="shared" si="77"/>
        <v>6.2023809523809517</v>
      </c>
      <c r="R353" s="58">
        <f t="shared" si="78"/>
        <v>1680.6818181818182</v>
      </c>
      <c r="S353" s="58">
        <f t="shared" si="79"/>
        <v>1405.6818181818182</v>
      </c>
      <c r="T353" s="58">
        <f t="shared" si="80"/>
        <v>1018.1818181818182</v>
      </c>
      <c r="U353" s="60">
        <f t="shared" si="81"/>
        <v>4.4017857142857144</v>
      </c>
      <c r="V353" s="60">
        <f t="shared" si="82"/>
        <v>3.6815476190476191</v>
      </c>
      <c r="W353" s="60">
        <f t="shared" si="83"/>
        <v>2.666666666666667</v>
      </c>
      <c r="X353" s="61" t="s">
        <v>296</v>
      </c>
      <c r="Y353" s="1"/>
      <c r="Z353" s="1"/>
    </row>
    <row r="354" spans="1:26" ht="15.75" customHeight="1">
      <c r="A354" s="54"/>
      <c r="B354" s="160" t="s">
        <v>1592</v>
      </c>
      <c r="C354" s="33"/>
      <c r="D354" s="55">
        <v>2</v>
      </c>
      <c r="E354" s="55" t="s">
        <v>68</v>
      </c>
      <c r="F354" s="56"/>
      <c r="G354" s="57" t="s">
        <v>1593</v>
      </c>
      <c r="H354" s="58">
        <v>7000</v>
      </c>
      <c r="I354" s="58">
        <f t="shared" si="70"/>
        <v>5600</v>
      </c>
      <c r="J354" s="58">
        <f t="shared" si="71"/>
        <v>424.24242424242425</v>
      </c>
      <c r="K354" s="58">
        <v>1000</v>
      </c>
      <c r="L354" s="59">
        <f t="shared" si="72"/>
        <v>900</v>
      </c>
      <c r="M354" s="58">
        <f t="shared" si="73"/>
        <v>2062.5</v>
      </c>
      <c r="N354" s="58">
        <f t="shared" si="74"/>
        <v>1787.5</v>
      </c>
      <c r="O354" s="58">
        <f t="shared" si="75"/>
        <v>475</v>
      </c>
      <c r="P354" s="58">
        <f t="shared" si="76"/>
        <v>2431.818181818182</v>
      </c>
      <c r="Q354" s="60">
        <f t="shared" si="77"/>
        <v>7.6428571428571432</v>
      </c>
      <c r="R354" s="58">
        <f t="shared" si="78"/>
        <v>1744.3181818181818</v>
      </c>
      <c r="S354" s="58">
        <f t="shared" si="79"/>
        <v>1469.3181818181818</v>
      </c>
      <c r="T354" s="58">
        <f t="shared" si="80"/>
        <v>1081.8181818181818</v>
      </c>
      <c r="U354" s="60">
        <f t="shared" si="81"/>
        <v>5.4821428571428568</v>
      </c>
      <c r="V354" s="60">
        <f t="shared" si="82"/>
        <v>4.6178571428571429</v>
      </c>
      <c r="W354" s="60">
        <f t="shared" si="83"/>
        <v>3.4</v>
      </c>
      <c r="X354" s="61"/>
      <c r="Y354" s="1"/>
      <c r="Z354" s="1"/>
    </row>
    <row r="355" spans="1:26" ht="15.75" customHeight="1">
      <c r="A355" s="54"/>
      <c r="B355" s="162"/>
      <c r="C355" s="33"/>
      <c r="D355" s="55" t="s">
        <v>1594</v>
      </c>
      <c r="E355" s="55" t="s">
        <v>607</v>
      </c>
      <c r="F355" s="56"/>
      <c r="G355" s="57" t="s">
        <v>1595</v>
      </c>
      <c r="H355" s="58">
        <v>13000</v>
      </c>
      <c r="I355" s="58">
        <f t="shared" si="70"/>
        <v>4900</v>
      </c>
      <c r="J355" s="58">
        <f t="shared" si="71"/>
        <v>169.69696969696969</v>
      </c>
      <c r="K355" s="58">
        <v>950</v>
      </c>
      <c r="L355" s="59">
        <f t="shared" si="72"/>
        <v>950</v>
      </c>
      <c r="M355" s="58">
        <f t="shared" si="73"/>
        <v>675</v>
      </c>
      <c r="N355" s="58">
        <f t="shared" si="74"/>
        <v>585</v>
      </c>
      <c r="O355" s="58">
        <f t="shared" si="75"/>
        <v>500</v>
      </c>
      <c r="P355" s="58">
        <f t="shared" si="76"/>
        <v>475.75757575757575</v>
      </c>
      <c r="Q355" s="60">
        <f t="shared" si="77"/>
        <v>1.1214285714285714</v>
      </c>
      <c r="R355" s="58">
        <f t="shared" si="78"/>
        <v>1638.2575757575758</v>
      </c>
      <c r="S355" s="58">
        <f t="shared" si="79"/>
        <v>1363.2575757575758</v>
      </c>
      <c r="T355" s="58">
        <f t="shared" si="80"/>
        <v>50.757575757575751</v>
      </c>
      <c r="U355" s="60">
        <f t="shared" si="81"/>
        <v>3.8616071428571428</v>
      </c>
      <c r="V355" s="60">
        <f t="shared" si="82"/>
        <v>3.2133928571428569</v>
      </c>
      <c r="W355" s="60">
        <f t="shared" si="83"/>
        <v>0.11964285714285712</v>
      </c>
      <c r="X355" s="61"/>
      <c r="Y355" s="1"/>
      <c r="Z355" s="1"/>
    </row>
    <row r="356" spans="1:26" ht="15.75" customHeight="1">
      <c r="A356" s="54"/>
      <c r="B356" s="162"/>
      <c r="C356" s="33"/>
      <c r="D356" s="55" t="s">
        <v>1596</v>
      </c>
      <c r="E356" s="55" t="s">
        <v>607</v>
      </c>
      <c r="F356" s="56"/>
      <c r="G356" s="57" t="s">
        <v>1597</v>
      </c>
      <c r="H356" s="58">
        <v>12000</v>
      </c>
      <c r="I356" s="58">
        <f t="shared" si="70"/>
        <v>9100</v>
      </c>
      <c r="J356" s="58">
        <f t="shared" si="71"/>
        <v>148.4848484848485</v>
      </c>
      <c r="K356" s="58">
        <v>950</v>
      </c>
      <c r="L356" s="59">
        <f t="shared" si="72"/>
        <v>900</v>
      </c>
      <c r="M356" s="58">
        <f t="shared" si="73"/>
        <v>712.5</v>
      </c>
      <c r="N356" s="58">
        <f t="shared" si="74"/>
        <v>617.5</v>
      </c>
      <c r="O356" s="58">
        <f t="shared" si="75"/>
        <v>475</v>
      </c>
      <c r="P356" s="58">
        <f t="shared" si="76"/>
        <v>780.30303030303025</v>
      </c>
      <c r="Q356" s="60">
        <f t="shared" si="77"/>
        <v>4.5982142857142856</v>
      </c>
      <c r="R356" s="58">
        <f t="shared" si="78"/>
        <v>505.30303030303031</v>
      </c>
      <c r="S356" s="58">
        <f t="shared" si="79"/>
        <v>415.30303030303031</v>
      </c>
      <c r="T356" s="58">
        <f t="shared" si="80"/>
        <v>330.30303030303031</v>
      </c>
      <c r="U356" s="60">
        <f t="shared" si="81"/>
        <v>2.9776785714285716</v>
      </c>
      <c r="V356" s="60">
        <f t="shared" si="82"/>
        <v>2.4473214285714286</v>
      </c>
      <c r="W356" s="60">
        <f t="shared" si="83"/>
        <v>1.9464285714285716</v>
      </c>
      <c r="X356" s="61"/>
      <c r="Y356" s="1"/>
      <c r="Z356" s="1"/>
    </row>
    <row r="357" spans="1:26" ht="15.75" customHeight="1">
      <c r="A357" s="54"/>
      <c r="B357" s="162"/>
      <c r="C357" s="33"/>
      <c r="D357" s="55" t="s">
        <v>1598</v>
      </c>
      <c r="E357" s="55" t="s">
        <v>607</v>
      </c>
      <c r="F357" s="56"/>
      <c r="G357" s="57" t="s">
        <v>1599</v>
      </c>
      <c r="H357" s="58">
        <v>14000</v>
      </c>
      <c r="I357" s="58">
        <f t="shared" si="70"/>
        <v>8400</v>
      </c>
      <c r="J357" s="58">
        <f t="shared" si="71"/>
        <v>275.75757575757575</v>
      </c>
      <c r="K357" s="58">
        <v>950</v>
      </c>
      <c r="L357" s="59">
        <f t="shared" si="72"/>
        <v>900</v>
      </c>
      <c r="M357" s="58">
        <f t="shared" si="73"/>
        <v>675</v>
      </c>
      <c r="N357" s="58">
        <f t="shared" si="74"/>
        <v>585</v>
      </c>
      <c r="O357" s="58">
        <f t="shared" si="75"/>
        <v>475</v>
      </c>
      <c r="P357" s="58">
        <f t="shared" si="76"/>
        <v>751.5151515151515</v>
      </c>
      <c r="Q357" s="60">
        <f t="shared" si="77"/>
        <v>5.0612244897959178</v>
      </c>
      <c r="R357" s="58">
        <f t="shared" si="78"/>
        <v>564.0151515151515</v>
      </c>
      <c r="S357" s="58">
        <f t="shared" si="79"/>
        <v>469.0151515151515</v>
      </c>
      <c r="T357" s="58">
        <f t="shared" si="80"/>
        <v>326.5151515151515</v>
      </c>
      <c r="U357" s="60">
        <f t="shared" si="81"/>
        <v>3.7984693877551017</v>
      </c>
      <c r="V357" s="60">
        <f t="shared" si="82"/>
        <v>3.1586734693877547</v>
      </c>
      <c r="W357" s="60">
        <f t="shared" si="83"/>
        <v>2.1989795918367343</v>
      </c>
      <c r="X357" s="61"/>
      <c r="Y357" s="1"/>
      <c r="Z357" s="1"/>
    </row>
    <row r="358" spans="1:26" ht="15.75" customHeight="1">
      <c r="A358" s="54"/>
      <c r="B358" s="162"/>
      <c r="C358" s="33"/>
      <c r="D358" s="55" t="s">
        <v>412</v>
      </c>
      <c r="E358" s="55" t="s">
        <v>607</v>
      </c>
      <c r="F358" s="56"/>
      <c r="G358" s="57" t="s">
        <v>1600</v>
      </c>
      <c r="H358" s="58">
        <v>15000</v>
      </c>
      <c r="I358" s="58">
        <f t="shared" si="70"/>
        <v>9800</v>
      </c>
      <c r="J358" s="58">
        <f t="shared" si="71"/>
        <v>254.54545454545453</v>
      </c>
      <c r="K358" s="58">
        <v>1050</v>
      </c>
      <c r="L358" s="59">
        <f t="shared" si="72"/>
        <v>900</v>
      </c>
      <c r="M358" s="58">
        <f t="shared" si="73"/>
        <v>675</v>
      </c>
      <c r="N358" s="58">
        <f t="shared" si="74"/>
        <v>585</v>
      </c>
      <c r="O358" s="58">
        <f t="shared" si="75"/>
        <v>475</v>
      </c>
      <c r="P358" s="58">
        <f t="shared" si="76"/>
        <v>624.24242424242425</v>
      </c>
      <c r="Q358" s="60">
        <f t="shared" si="77"/>
        <v>2.2637362637362637</v>
      </c>
      <c r="R358" s="58">
        <f t="shared" si="78"/>
        <v>399.24242424242425</v>
      </c>
      <c r="S358" s="58">
        <f t="shared" si="79"/>
        <v>309.24242424242425</v>
      </c>
      <c r="T358" s="58">
        <f t="shared" si="80"/>
        <v>199.24242424242425</v>
      </c>
      <c r="U358" s="60">
        <f t="shared" si="81"/>
        <v>1.4478021978021978</v>
      </c>
      <c r="V358" s="60">
        <f t="shared" si="82"/>
        <v>1.1214285714285714</v>
      </c>
      <c r="W358" s="60">
        <f t="shared" si="83"/>
        <v>0.72252747252747263</v>
      </c>
      <c r="X358" s="61" t="s">
        <v>301</v>
      </c>
      <c r="Y358" s="1"/>
      <c r="Z358" s="1"/>
    </row>
    <row r="359" spans="1:26" ht="15.75" customHeight="1">
      <c r="A359" s="54"/>
      <c r="B359" s="162"/>
      <c r="C359" s="33"/>
      <c r="D359" s="55" t="s">
        <v>412</v>
      </c>
      <c r="E359" s="55" t="s">
        <v>386</v>
      </c>
      <c r="F359" s="55"/>
      <c r="G359" s="57" t="s">
        <v>1601</v>
      </c>
      <c r="H359" s="58">
        <v>25000</v>
      </c>
      <c r="I359" s="58">
        <f t="shared" si="70"/>
        <v>10500</v>
      </c>
      <c r="J359" s="58">
        <f t="shared" si="71"/>
        <v>296.969696969697</v>
      </c>
      <c r="K359" s="58">
        <v>1900</v>
      </c>
      <c r="L359" s="59">
        <f t="shared" si="72"/>
        <v>1000</v>
      </c>
      <c r="M359" s="58">
        <f t="shared" si="73"/>
        <v>675</v>
      </c>
      <c r="N359" s="58">
        <f t="shared" si="74"/>
        <v>585</v>
      </c>
      <c r="O359" s="58">
        <f t="shared" si="75"/>
        <v>525</v>
      </c>
      <c r="P359" s="58">
        <f t="shared" si="76"/>
        <v>645.4545454545455</v>
      </c>
      <c r="Q359" s="60">
        <f t="shared" si="77"/>
        <v>2.535714285714286</v>
      </c>
      <c r="R359" s="58">
        <f t="shared" si="78"/>
        <v>420.4545454545455</v>
      </c>
      <c r="S359" s="58">
        <f t="shared" si="79"/>
        <v>330.4545454545455</v>
      </c>
      <c r="T359" s="58">
        <f t="shared" si="80"/>
        <v>220.45454545454547</v>
      </c>
      <c r="U359" s="60">
        <f t="shared" si="81"/>
        <v>1.6517857142857146</v>
      </c>
      <c r="V359" s="60">
        <f t="shared" si="82"/>
        <v>1.298214285714286</v>
      </c>
      <c r="W359" s="60">
        <f t="shared" si="83"/>
        <v>0.86607142857142871</v>
      </c>
      <c r="X359" s="61"/>
      <c r="Y359" s="1"/>
      <c r="Z359" s="1"/>
    </row>
    <row r="360" spans="1:26" ht="15.75" customHeight="1">
      <c r="A360" s="54"/>
      <c r="B360" s="161"/>
      <c r="C360" s="33"/>
      <c r="D360" s="55" t="s">
        <v>1253</v>
      </c>
      <c r="E360" s="55" t="s">
        <v>68</v>
      </c>
      <c r="F360" s="56"/>
      <c r="G360" s="57" t="s">
        <v>1602</v>
      </c>
      <c r="H360" s="58">
        <v>9000</v>
      </c>
      <c r="I360" s="58">
        <f t="shared" si="70"/>
        <v>17500</v>
      </c>
      <c r="J360" s="58">
        <f t="shared" si="71"/>
        <v>318.18181818181819</v>
      </c>
      <c r="K360" s="58">
        <v>1000</v>
      </c>
      <c r="L360" s="59">
        <f t="shared" si="72"/>
        <v>1850</v>
      </c>
      <c r="M360" s="58">
        <f t="shared" si="73"/>
        <v>750</v>
      </c>
      <c r="N360" s="58">
        <f t="shared" si="74"/>
        <v>650</v>
      </c>
      <c r="O360" s="58">
        <f t="shared" si="75"/>
        <v>950</v>
      </c>
      <c r="P360" s="58">
        <f t="shared" si="76"/>
        <v>703.030303030303</v>
      </c>
      <c r="Q360" s="60">
        <f t="shared" si="77"/>
        <v>2.3673469387755097</v>
      </c>
      <c r="R360" s="58">
        <f t="shared" si="78"/>
        <v>378.030303030303</v>
      </c>
      <c r="S360" s="58">
        <f t="shared" si="79"/>
        <v>288.030303030303</v>
      </c>
      <c r="T360" s="58">
        <f t="shared" si="80"/>
        <v>228.030303030303</v>
      </c>
      <c r="U360" s="60">
        <f t="shared" si="81"/>
        <v>1.2729591836734693</v>
      </c>
      <c r="V360" s="60">
        <f t="shared" si="82"/>
        <v>0.96989795918367327</v>
      </c>
      <c r="W360" s="60">
        <f t="shared" si="83"/>
        <v>0.76785714285714268</v>
      </c>
      <c r="X360" s="61" t="s">
        <v>304</v>
      </c>
      <c r="Y360" s="1"/>
      <c r="Z360" s="1"/>
    </row>
    <row r="361" spans="1:26" ht="15.75" customHeight="1">
      <c r="A361" s="54"/>
      <c r="B361" s="161"/>
      <c r="C361" s="33"/>
      <c r="D361" s="55" t="s">
        <v>1253</v>
      </c>
      <c r="E361" s="55" t="s">
        <v>1026</v>
      </c>
      <c r="F361" s="56"/>
      <c r="G361" s="57" t="s">
        <v>1603</v>
      </c>
      <c r="H361" s="58">
        <v>9000</v>
      </c>
      <c r="I361" s="58">
        <f t="shared" si="70"/>
        <v>6300</v>
      </c>
      <c r="J361" s="58">
        <f t="shared" si="71"/>
        <v>530.30303030303025</v>
      </c>
      <c r="K361" s="58">
        <v>1000</v>
      </c>
      <c r="L361" s="59">
        <f t="shared" si="72"/>
        <v>950</v>
      </c>
      <c r="M361" s="58">
        <f t="shared" si="73"/>
        <v>1387.5</v>
      </c>
      <c r="N361" s="58">
        <f t="shared" si="74"/>
        <v>1202.5</v>
      </c>
      <c r="O361" s="58">
        <f t="shared" si="75"/>
        <v>500</v>
      </c>
      <c r="P361" s="58">
        <f t="shared" si="76"/>
        <v>1531.8181818181818</v>
      </c>
      <c r="Q361" s="60">
        <f t="shared" si="77"/>
        <v>4.8142857142857141</v>
      </c>
      <c r="R361" s="58">
        <f t="shared" si="78"/>
        <v>431.81818181818181</v>
      </c>
      <c r="S361" s="58">
        <f t="shared" si="79"/>
        <v>331.81818181818181</v>
      </c>
      <c r="T361" s="58">
        <f t="shared" si="80"/>
        <v>631.81818181818176</v>
      </c>
      <c r="U361" s="60">
        <f t="shared" si="81"/>
        <v>1.3571428571428572</v>
      </c>
      <c r="V361" s="60">
        <f t="shared" si="82"/>
        <v>1.0428571428571429</v>
      </c>
      <c r="W361" s="60">
        <f t="shared" si="83"/>
        <v>1.9857142857142855</v>
      </c>
      <c r="X361" s="61" t="s">
        <v>305</v>
      </c>
      <c r="Y361" s="1"/>
      <c r="Z361" s="1"/>
    </row>
    <row r="362" spans="1:26" ht="15.75" customHeight="1">
      <c r="A362" s="54"/>
      <c r="B362" s="162"/>
      <c r="C362" s="33"/>
      <c r="D362" s="55" t="s">
        <v>608</v>
      </c>
      <c r="E362" s="55" t="s">
        <v>1116</v>
      </c>
      <c r="F362" s="56"/>
      <c r="G362" s="57" t="s">
        <v>1604</v>
      </c>
      <c r="H362" s="58">
        <v>28000</v>
      </c>
      <c r="I362" s="58">
        <f t="shared" si="70"/>
        <v>6300</v>
      </c>
      <c r="J362" s="58">
        <f t="shared" si="71"/>
        <v>190.90909090909091</v>
      </c>
      <c r="K362" s="58">
        <v>1900</v>
      </c>
      <c r="L362" s="59">
        <f t="shared" si="72"/>
        <v>950</v>
      </c>
      <c r="M362" s="58">
        <f t="shared" si="73"/>
        <v>712.5</v>
      </c>
      <c r="N362" s="58">
        <f t="shared" si="74"/>
        <v>617.5</v>
      </c>
      <c r="O362" s="58">
        <f t="shared" si="75"/>
        <v>500</v>
      </c>
      <c r="P362" s="58">
        <f t="shared" si="76"/>
        <v>419.69696969696975</v>
      </c>
      <c r="Q362" s="60">
        <f t="shared" si="77"/>
        <v>0.79142857142857159</v>
      </c>
      <c r="R362" s="58">
        <f t="shared" si="78"/>
        <v>857.19696969696975</v>
      </c>
      <c r="S362" s="58">
        <f t="shared" si="79"/>
        <v>672.19696969696975</v>
      </c>
      <c r="T362" s="58">
        <f t="shared" si="80"/>
        <v>-30.303030303030255</v>
      </c>
      <c r="U362" s="60">
        <f t="shared" si="81"/>
        <v>1.6164285714285718</v>
      </c>
      <c r="V362" s="60">
        <f t="shared" si="82"/>
        <v>1.2675714285714288</v>
      </c>
      <c r="W362" s="60">
        <f t="shared" si="83"/>
        <v>-5.7142857142857058E-2</v>
      </c>
      <c r="X362" s="61"/>
      <c r="Y362" s="1"/>
      <c r="Z362" s="1"/>
    </row>
    <row r="363" spans="1:26" ht="15.75" customHeight="1">
      <c r="A363" s="54"/>
      <c r="B363" s="162"/>
      <c r="C363" s="33"/>
      <c r="D363" s="55" t="s">
        <v>608</v>
      </c>
      <c r="E363" s="55" t="s">
        <v>1605</v>
      </c>
      <c r="F363" s="56"/>
      <c r="G363" s="57" t="s">
        <v>1606</v>
      </c>
      <c r="H363" s="58">
        <v>12000</v>
      </c>
      <c r="I363" s="58">
        <f t="shared" si="70"/>
        <v>19600</v>
      </c>
      <c r="J363" s="58">
        <f t="shared" si="71"/>
        <v>190.90909090909091</v>
      </c>
      <c r="K363" s="58">
        <v>900</v>
      </c>
      <c r="L363" s="59">
        <f t="shared" si="72"/>
        <v>1850</v>
      </c>
      <c r="M363" s="58">
        <f t="shared" si="73"/>
        <v>712.5</v>
      </c>
      <c r="N363" s="58">
        <f t="shared" si="74"/>
        <v>617.5</v>
      </c>
      <c r="O363" s="58">
        <f t="shared" si="75"/>
        <v>950</v>
      </c>
      <c r="P363" s="58">
        <f t="shared" si="76"/>
        <v>759.09090909090912</v>
      </c>
      <c r="Q363" s="60">
        <f t="shared" si="77"/>
        <v>3.9761904761904763</v>
      </c>
      <c r="R363" s="58">
        <f t="shared" si="78"/>
        <v>521.59090909090912</v>
      </c>
      <c r="S363" s="58">
        <f t="shared" si="79"/>
        <v>426.59090909090912</v>
      </c>
      <c r="T363" s="58">
        <f t="shared" si="80"/>
        <v>309.09090909090912</v>
      </c>
      <c r="U363" s="60">
        <f t="shared" si="81"/>
        <v>2.7321428571428572</v>
      </c>
      <c r="V363" s="60">
        <f t="shared" si="82"/>
        <v>2.2345238095238096</v>
      </c>
      <c r="W363" s="60">
        <f t="shared" si="83"/>
        <v>1.6190476190476193</v>
      </c>
      <c r="X363" s="61"/>
      <c r="Y363" s="1"/>
      <c r="Z363" s="1"/>
    </row>
    <row r="364" spans="1:26" ht="15.75" customHeight="1">
      <c r="A364" s="54"/>
      <c r="B364" s="162"/>
      <c r="C364" s="33"/>
      <c r="D364" s="55" t="s">
        <v>608</v>
      </c>
      <c r="E364" s="55" t="s">
        <v>1607</v>
      </c>
      <c r="F364" s="56"/>
      <c r="G364" s="57" t="s">
        <v>1608</v>
      </c>
      <c r="H364" s="58">
        <v>15000</v>
      </c>
      <c r="I364" s="58">
        <f t="shared" si="70"/>
        <v>8400</v>
      </c>
      <c r="J364" s="58">
        <f t="shared" si="71"/>
        <v>593.93939393939399</v>
      </c>
      <c r="K364" s="58">
        <v>900</v>
      </c>
      <c r="L364" s="59">
        <f t="shared" si="72"/>
        <v>850</v>
      </c>
      <c r="M364" s="58">
        <f t="shared" si="73"/>
        <v>1387.5</v>
      </c>
      <c r="N364" s="58">
        <f t="shared" si="74"/>
        <v>1202.5</v>
      </c>
      <c r="O364" s="58">
        <f t="shared" si="75"/>
        <v>450</v>
      </c>
      <c r="P364" s="58">
        <f t="shared" si="76"/>
        <v>1659.090909090909</v>
      </c>
      <c r="Q364" s="60">
        <f t="shared" si="77"/>
        <v>8.6904761904761898</v>
      </c>
      <c r="R364" s="58">
        <f t="shared" si="78"/>
        <v>521.59090909090912</v>
      </c>
      <c r="S364" s="58">
        <f t="shared" si="79"/>
        <v>426.59090909090912</v>
      </c>
      <c r="T364" s="58">
        <f t="shared" si="80"/>
        <v>759.09090909090912</v>
      </c>
      <c r="U364" s="60">
        <f t="shared" si="81"/>
        <v>2.7321428571428572</v>
      </c>
      <c r="V364" s="60">
        <f t="shared" si="82"/>
        <v>2.2345238095238096</v>
      </c>
      <c r="W364" s="60">
        <f t="shared" si="83"/>
        <v>3.9761904761904763</v>
      </c>
      <c r="X364" s="61"/>
      <c r="Y364" s="1"/>
      <c r="Z364" s="1"/>
    </row>
    <row r="365" spans="1:26" ht="15.75" customHeight="1">
      <c r="A365" s="54"/>
      <c r="B365" s="162"/>
      <c r="C365" s="33"/>
      <c r="D365" s="55" t="s">
        <v>450</v>
      </c>
      <c r="E365" s="55" t="s">
        <v>1609</v>
      </c>
      <c r="F365" s="56"/>
      <c r="G365" s="57" t="s">
        <v>1610</v>
      </c>
      <c r="H365" s="58">
        <v>6000</v>
      </c>
      <c r="I365" s="58">
        <f t="shared" si="70"/>
        <v>10500</v>
      </c>
      <c r="J365" s="58">
        <f t="shared" si="71"/>
        <v>254.54545454545453</v>
      </c>
      <c r="K365" s="58">
        <v>700</v>
      </c>
      <c r="L365" s="59">
        <f t="shared" si="72"/>
        <v>850</v>
      </c>
      <c r="M365" s="58">
        <f t="shared" si="73"/>
        <v>637.5</v>
      </c>
      <c r="N365" s="58">
        <f t="shared" si="74"/>
        <v>552.5</v>
      </c>
      <c r="O365" s="58">
        <f t="shared" si="75"/>
        <v>450</v>
      </c>
      <c r="P365" s="58">
        <f t="shared" si="76"/>
        <v>256.06060606060601</v>
      </c>
      <c r="Q365" s="60">
        <f t="shared" si="77"/>
        <v>0.43112244897959168</v>
      </c>
      <c r="R365" s="58">
        <f t="shared" si="78"/>
        <v>793.56060606060601</v>
      </c>
      <c r="S365" s="58">
        <f t="shared" si="79"/>
        <v>608.56060606060601</v>
      </c>
      <c r="T365" s="58">
        <f t="shared" si="80"/>
        <v>-143.93939393939399</v>
      </c>
      <c r="U365" s="60">
        <f t="shared" si="81"/>
        <v>1.3360969387755099</v>
      </c>
      <c r="V365" s="60">
        <f t="shared" si="82"/>
        <v>1.0246173469387754</v>
      </c>
      <c r="W365" s="60">
        <f t="shared" si="83"/>
        <v>-0.24234693877551028</v>
      </c>
      <c r="X365" s="61"/>
      <c r="Y365" s="1"/>
      <c r="Z365" s="1"/>
    </row>
    <row r="366" spans="1:26" ht="15.75" customHeight="1">
      <c r="A366" s="54"/>
      <c r="B366" s="162"/>
      <c r="C366" s="33"/>
      <c r="D366" s="55" t="s">
        <v>450</v>
      </c>
      <c r="E366" s="55" t="s">
        <v>1611</v>
      </c>
      <c r="F366" s="56"/>
      <c r="G366" s="57" t="s">
        <v>1612</v>
      </c>
      <c r="H366" s="58">
        <v>13000</v>
      </c>
      <c r="I366" s="58">
        <f t="shared" si="70"/>
        <v>4200</v>
      </c>
      <c r="J366" s="58">
        <f t="shared" si="71"/>
        <v>318.18181818181819</v>
      </c>
      <c r="K366" s="58">
        <v>700</v>
      </c>
      <c r="L366" s="59">
        <f t="shared" si="72"/>
        <v>650</v>
      </c>
      <c r="M366" s="58">
        <f t="shared" si="73"/>
        <v>637.5</v>
      </c>
      <c r="N366" s="58">
        <f t="shared" si="74"/>
        <v>552.5</v>
      </c>
      <c r="O366" s="58">
        <f t="shared" si="75"/>
        <v>350</v>
      </c>
      <c r="P366" s="58">
        <f t="shared" si="76"/>
        <v>595.4545454545455</v>
      </c>
      <c r="Q366" s="60">
        <f t="shared" si="77"/>
        <v>2.3392857142857144</v>
      </c>
      <c r="R366" s="58">
        <f t="shared" si="78"/>
        <v>382.9545454545455</v>
      </c>
      <c r="S366" s="58">
        <f t="shared" si="79"/>
        <v>297.9545454545455</v>
      </c>
      <c r="T366" s="58">
        <f t="shared" si="80"/>
        <v>195.45454545454547</v>
      </c>
      <c r="U366" s="60">
        <f t="shared" si="81"/>
        <v>1.504464285714286</v>
      </c>
      <c r="V366" s="60">
        <f t="shared" si="82"/>
        <v>1.1705357142857145</v>
      </c>
      <c r="W366" s="60">
        <f t="shared" si="83"/>
        <v>0.7678571428571429</v>
      </c>
      <c r="X366" s="61"/>
      <c r="Y366" s="1"/>
      <c r="Z366" s="1"/>
    </row>
    <row r="367" spans="1:26" ht="15.75" customHeight="1">
      <c r="A367" s="54"/>
      <c r="B367" s="162"/>
      <c r="C367" s="33"/>
      <c r="D367" s="55" t="s">
        <v>450</v>
      </c>
      <c r="E367" s="55" t="s">
        <v>1611</v>
      </c>
      <c r="F367" s="93" t="s">
        <v>1613</v>
      </c>
      <c r="G367" s="57" t="s">
        <v>1614</v>
      </c>
      <c r="H367" s="58">
        <v>10000</v>
      </c>
      <c r="I367" s="58">
        <f t="shared" si="70"/>
        <v>9100</v>
      </c>
      <c r="J367" s="58">
        <f t="shared" si="71"/>
        <v>127.27272727272727</v>
      </c>
      <c r="K367" s="58">
        <v>700</v>
      </c>
      <c r="L367" s="59">
        <f t="shared" si="72"/>
        <v>650</v>
      </c>
      <c r="M367" s="58">
        <f t="shared" si="73"/>
        <v>487.5</v>
      </c>
      <c r="N367" s="58">
        <f t="shared" si="74"/>
        <v>422.5</v>
      </c>
      <c r="O367" s="58">
        <f t="shared" si="75"/>
        <v>350</v>
      </c>
      <c r="P367" s="58">
        <f t="shared" si="76"/>
        <v>331.81818181818181</v>
      </c>
      <c r="Q367" s="60">
        <f t="shared" si="77"/>
        <v>1.0428571428571429</v>
      </c>
      <c r="R367" s="58">
        <f t="shared" si="78"/>
        <v>319.31818181818181</v>
      </c>
      <c r="S367" s="58">
        <f t="shared" si="79"/>
        <v>234.31818181818181</v>
      </c>
      <c r="T367" s="58">
        <f t="shared" si="80"/>
        <v>31.818181818181813</v>
      </c>
      <c r="U367" s="60">
        <f t="shared" si="81"/>
        <v>1.0035714285714286</v>
      </c>
      <c r="V367" s="60">
        <f t="shared" si="82"/>
        <v>0.73642857142857143</v>
      </c>
      <c r="W367" s="60">
        <f t="shared" si="83"/>
        <v>9.9999999999999978E-2</v>
      </c>
      <c r="X367" s="61"/>
      <c r="Y367" s="1"/>
      <c r="Z367" s="1"/>
    </row>
    <row r="368" spans="1:26" ht="15.75" customHeight="1">
      <c r="A368" s="54"/>
      <c r="B368" s="161"/>
      <c r="C368" s="33"/>
      <c r="D368" s="55" t="s">
        <v>450</v>
      </c>
      <c r="E368" s="55" t="s">
        <v>1615</v>
      </c>
      <c r="F368" s="56"/>
      <c r="G368" s="57" t="s">
        <v>1616</v>
      </c>
      <c r="H368" s="94">
        <v>10000</v>
      </c>
      <c r="I368" s="58">
        <f t="shared" si="70"/>
        <v>7000</v>
      </c>
      <c r="J368" s="58">
        <f t="shared" si="71"/>
        <v>275.75757575757575</v>
      </c>
      <c r="K368" s="58">
        <v>700</v>
      </c>
      <c r="L368" s="59">
        <f t="shared" si="72"/>
        <v>650</v>
      </c>
      <c r="M368" s="58">
        <f t="shared" si="73"/>
        <v>487.5</v>
      </c>
      <c r="N368" s="58">
        <f t="shared" si="74"/>
        <v>422.5</v>
      </c>
      <c r="O368" s="58">
        <f t="shared" si="75"/>
        <v>350</v>
      </c>
      <c r="P368" s="58">
        <f t="shared" si="76"/>
        <v>522.72727272727275</v>
      </c>
      <c r="Q368" s="60">
        <f t="shared" si="77"/>
        <v>4.1071428571428577</v>
      </c>
      <c r="R368" s="58">
        <f t="shared" si="78"/>
        <v>360.22727272727275</v>
      </c>
      <c r="S368" s="58">
        <f t="shared" si="79"/>
        <v>295.22727272727275</v>
      </c>
      <c r="T368" s="58">
        <f t="shared" si="80"/>
        <v>222.72727272727275</v>
      </c>
      <c r="U368" s="60">
        <f t="shared" si="81"/>
        <v>2.8303571428571432</v>
      </c>
      <c r="V368" s="60">
        <f t="shared" si="82"/>
        <v>2.3196428571428576</v>
      </c>
      <c r="W368" s="60">
        <f t="shared" si="83"/>
        <v>1.7500000000000002</v>
      </c>
      <c r="X368" s="61"/>
      <c r="Y368" s="1"/>
      <c r="Z368" s="1"/>
    </row>
    <row r="369" spans="1:26" ht="15.75" customHeight="1">
      <c r="A369" s="54"/>
      <c r="B369" s="161"/>
      <c r="C369" s="33"/>
      <c r="D369" s="55" t="s">
        <v>450</v>
      </c>
      <c r="E369" s="55" t="s">
        <v>1615</v>
      </c>
      <c r="F369" s="56"/>
      <c r="G369" s="57" t="s">
        <v>1617</v>
      </c>
      <c r="H369" s="58">
        <v>15000</v>
      </c>
      <c r="I369" s="58">
        <f t="shared" si="70"/>
        <v>7000</v>
      </c>
      <c r="J369" s="58">
        <f t="shared" si="71"/>
        <v>212.12121212121212</v>
      </c>
      <c r="K369" s="58">
        <v>700</v>
      </c>
      <c r="L369" s="59">
        <f t="shared" si="72"/>
        <v>650</v>
      </c>
      <c r="M369" s="58">
        <f t="shared" si="73"/>
        <v>487.5</v>
      </c>
      <c r="N369" s="58">
        <f t="shared" si="74"/>
        <v>422.5</v>
      </c>
      <c r="O369" s="58">
        <f t="shared" si="75"/>
        <v>350</v>
      </c>
      <c r="P369" s="58">
        <f t="shared" si="76"/>
        <v>374.24242424242425</v>
      </c>
      <c r="Q369" s="60">
        <f t="shared" si="77"/>
        <v>1.3571428571428572</v>
      </c>
      <c r="R369" s="58">
        <f t="shared" si="78"/>
        <v>211.74242424242425</v>
      </c>
      <c r="S369" s="58">
        <f t="shared" si="79"/>
        <v>146.74242424242425</v>
      </c>
      <c r="T369" s="58">
        <f t="shared" si="80"/>
        <v>74.242424242424249</v>
      </c>
      <c r="U369" s="60">
        <f t="shared" si="81"/>
        <v>0.7678571428571429</v>
      </c>
      <c r="V369" s="60">
        <f t="shared" si="82"/>
        <v>0.53214285714285714</v>
      </c>
      <c r="W369" s="60">
        <f t="shared" si="83"/>
        <v>0.26923076923076927</v>
      </c>
      <c r="X369" s="61"/>
      <c r="Y369" s="1"/>
      <c r="Z369" s="1"/>
    </row>
    <row r="370" spans="1:26" ht="15.75" customHeight="1">
      <c r="A370" s="54"/>
      <c r="B370" s="162"/>
      <c r="C370" s="33"/>
      <c r="D370" s="55" t="s">
        <v>684</v>
      </c>
      <c r="E370" s="55" t="s">
        <v>756</v>
      </c>
      <c r="F370" s="56"/>
      <c r="G370" s="57" t="s">
        <v>1618</v>
      </c>
      <c r="H370" s="58">
        <v>12000</v>
      </c>
      <c r="I370" s="58">
        <f t="shared" si="70"/>
        <v>10500</v>
      </c>
      <c r="J370" s="58">
        <f t="shared" si="71"/>
        <v>212.12121212121212</v>
      </c>
      <c r="K370" s="58">
        <v>1100</v>
      </c>
      <c r="L370" s="59">
        <f t="shared" si="72"/>
        <v>650</v>
      </c>
      <c r="M370" s="58">
        <f t="shared" si="73"/>
        <v>487.5</v>
      </c>
      <c r="N370" s="58">
        <f t="shared" si="74"/>
        <v>422.5</v>
      </c>
      <c r="O370" s="58">
        <f t="shared" si="75"/>
        <v>350</v>
      </c>
      <c r="P370" s="58">
        <f t="shared" si="76"/>
        <v>437.87878787878788</v>
      </c>
      <c r="Q370" s="60">
        <f t="shared" si="77"/>
        <v>2.0642857142857141</v>
      </c>
      <c r="R370" s="58">
        <f t="shared" si="78"/>
        <v>275.37878787878788</v>
      </c>
      <c r="S370" s="58">
        <f t="shared" si="79"/>
        <v>210.37878787878788</v>
      </c>
      <c r="T370" s="58">
        <f t="shared" si="80"/>
        <v>137.87878787878788</v>
      </c>
      <c r="U370" s="60">
        <f t="shared" si="81"/>
        <v>1.2982142857142858</v>
      </c>
      <c r="V370" s="60">
        <f t="shared" si="82"/>
        <v>0.99178571428571427</v>
      </c>
      <c r="W370" s="60">
        <f t="shared" si="83"/>
        <v>0.65</v>
      </c>
      <c r="X370" s="61"/>
      <c r="Y370" s="1"/>
      <c r="Z370" s="1"/>
    </row>
    <row r="371" spans="1:26" ht="15.75" customHeight="1">
      <c r="A371" s="54"/>
      <c r="B371" s="161"/>
      <c r="C371" s="33"/>
      <c r="D371" s="55" t="s">
        <v>684</v>
      </c>
      <c r="E371" s="55" t="s">
        <v>1619</v>
      </c>
      <c r="F371" s="56"/>
      <c r="G371" s="57" t="s">
        <v>1620</v>
      </c>
      <c r="H371" s="58">
        <v>20000</v>
      </c>
      <c r="I371" s="58">
        <f t="shared" si="70"/>
        <v>8400</v>
      </c>
      <c r="J371" s="58">
        <f t="shared" si="71"/>
        <v>318.18181818181819</v>
      </c>
      <c r="K371" s="58">
        <v>2700</v>
      </c>
      <c r="L371" s="59">
        <f t="shared" si="72"/>
        <v>1050</v>
      </c>
      <c r="M371" s="58">
        <f t="shared" si="73"/>
        <v>487.5</v>
      </c>
      <c r="N371" s="58">
        <f t="shared" si="74"/>
        <v>422.5</v>
      </c>
      <c r="O371" s="58">
        <f t="shared" si="75"/>
        <v>550</v>
      </c>
      <c r="P371" s="58">
        <f t="shared" si="76"/>
        <v>437.87878787878788</v>
      </c>
      <c r="Q371" s="60">
        <f t="shared" si="77"/>
        <v>2.0642857142857141</v>
      </c>
      <c r="R371" s="58">
        <f t="shared" si="78"/>
        <v>275.37878787878788</v>
      </c>
      <c r="S371" s="58">
        <f t="shared" si="79"/>
        <v>210.37878787878788</v>
      </c>
      <c r="T371" s="58">
        <f t="shared" si="80"/>
        <v>137.87878787878788</v>
      </c>
      <c r="U371" s="60">
        <f t="shared" si="81"/>
        <v>1.2982142857142858</v>
      </c>
      <c r="V371" s="60">
        <f t="shared" si="82"/>
        <v>0.99178571428571427</v>
      </c>
      <c r="W371" s="60">
        <f t="shared" si="83"/>
        <v>0.65</v>
      </c>
      <c r="X371" s="61"/>
      <c r="Y371" s="1"/>
      <c r="Z371" s="1"/>
    </row>
    <row r="372" spans="1:26" ht="15.75" customHeight="1">
      <c r="A372" s="54"/>
      <c r="B372" s="125"/>
      <c r="C372" s="33"/>
      <c r="D372" s="55" t="s">
        <v>1621</v>
      </c>
      <c r="E372" s="55" t="s">
        <v>1622</v>
      </c>
      <c r="F372" s="56"/>
      <c r="G372" s="57" t="s">
        <v>1623</v>
      </c>
      <c r="H372" s="58">
        <v>13000</v>
      </c>
      <c r="I372" s="58">
        <f t="shared" si="70"/>
        <v>14000</v>
      </c>
      <c r="J372" s="58">
        <f t="shared" si="71"/>
        <v>254.54545454545453</v>
      </c>
      <c r="K372" s="58">
        <v>680</v>
      </c>
      <c r="L372" s="59">
        <f t="shared" si="72"/>
        <v>2650</v>
      </c>
      <c r="M372" s="58">
        <f t="shared" si="73"/>
        <v>787.5</v>
      </c>
      <c r="N372" s="58">
        <f t="shared" si="74"/>
        <v>682.5</v>
      </c>
      <c r="O372" s="58">
        <f t="shared" si="75"/>
        <v>1350</v>
      </c>
      <c r="P372" s="58">
        <f t="shared" si="76"/>
        <v>731.81818181818176</v>
      </c>
      <c r="Q372" s="60">
        <f t="shared" si="77"/>
        <v>2.2999999999999998</v>
      </c>
      <c r="R372" s="58">
        <f t="shared" si="78"/>
        <v>169.31818181818181</v>
      </c>
      <c r="S372" s="58">
        <f t="shared" si="79"/>
        <v>104.31818181818181</v>
      </c>
      <c r="T372" s="58">
        <f t="shared" si="80"/>
        <v>231.81818181818181</v>
      </c>
      <c r="U372" s="60">
        <f t="shared" si="81"/>
        <v>0.53214285714285714</v>
      </c>
      <c r="V372" s="60">
        <f t="shared" si="82"/>
        <v>0.32785714285714285</v>
      </c>
      <c r="W372" s="60">
        <f t="shared" si="83"/>
        <v>0.72857142857142854</v>
      </c>
      <c r="X372" s="61"/>
      <c r="Y372" s="1"/>
      <c r="Z372" s="1"/>
    </row>
    <row r="373" spans="1:26" ht="15.75" customHeight="1">
      <c r="A373" s="54"/>
      <c r="B373" s="160" t="s">
        <v>1380</v>
      </c>
      <c r="C373" s="33"/>
      <c r="D373" s="55" t="s">
        <v>1624</v>
      </c>
      <c r="E373" s="55"/>
      <c r="F373" s="56"/>
      <c r="G373" s="57" t="s">
        <v>1625</v>
      </c>
      <c r="H373" s="58">
        <v>8000</v>
      </c>
      <c r="I373" s="58">
        <f t="shared" si="70"/>
        <v>9100</v>
      </c>
      <c r="J373" s="58">
        <f t="shared" si="71"/>
        <v>424.24242424242425</v>
      </c>
      <c r="K373" s="58">
        <v>560</v>
      </c>
      <c r="L373" s="59">
        <f t="shared" si="72"/>
        <v>630</v>
      </c>
      <c r="M373" s="58">
        <f t="shared" si="73"/>
        <v>1987.5</v>
      </c>
      <c r="N373" s="58">
        <f t="shared" si="74"/>
        <v>1722.5</v>
      </c>
      <c r="O373" s="58">
        <f t="shared" si="75"/>
        <v>340</v>
      </c>
      <c r="P373" s="58">
        <f t="shared" si="76"/>
        <v>2395.4545454545455</v>
      </c>
      <c r="Q373" s="60">
        <f t="shared" si="77"/>
        <v>9.4107142857142865</v>
      </c>
      <c r="R373" s="58">
        <f t="shared" si="78"/>
        <v>532.9545454545455</v>
      </c>
      <c r="S373" s="58">
        <f t="shared" si="79"/>
        <v>427.9545454545455</v>
      </c>
      <c r="T373" s="58">
        <f t="shared" si="80"/>
        <v>1095.4545454545455</v>
      </c>
      <c r="U373" s="60">
        <f t="shared" si="81"/>
        <v>2.0937500000000004</v>
      </c>
      <c r="V373" s="60">
        <f t="shared" si="82"/>
        <v>1.6812500000000004</v>
      </c>
      <c r="W373" s="60">
        <f t="shared" si="83"/>
        <v>4.3035714285714288</v>
      </c>
      <c r="X373" s="61" t="s">
        <v>309</v>
      </c>
      <c r="Y373" s="1"/>
      <c r="Z373" s="1"/>
    </row>
    <row r="374" spans="1:26" ht="15.75" customHeight="1">
      <c r="A374" s="54"/>
      <c r="B374" s="162"/>
      <c r="C374" s="33"/>
      <c r="D374" s="55" t="s">
        <v>1626</v>
      </c>
      <c r="E374" s="55"/>
      <c r="F374" s="56"/>
      <c r="G374" s="57" t="s">
        <v>1627</v>
      </c>
      <c r="H374" s="58">
        <v>10000</v>
      </c>
      <c r="I374" s="58">
        <f t="shared" si="70"/>
        <v>5600</v>
      </c>
      <c r="J374" s="58">
        <f t="shared" si="71"/>
        <v>275.75757575757575</v>
      </c>
      <c r="K374" s="58">
        <v>1400</v>
      </c>
      <c r="L374" s="59">
        <f t="shared" si="72"/>
        <v>510</v>
      </c>
      <c r="M374" s="58">
        <f t="shared" si="73"/>
        <v>472.5</v>
      </c>
      <c r="N374" s="58">
        <f t="shared" si="74"/>
        <v>409.5</v>
      </c>
      <c r="O374" s="58">
        <f t="shared" si="75"/>
        <v>280</v>
      </c>
      <c r="P374" s="58">
        <f t="shared" si="76"/>
        <v>205.75757575757575</v>
      </c>
      <c r="Q374" s="60">
        <f t="shared" si="77"/>
        <v>0.48499999999999999</v>
      </c>
      <c r="R374" s="58">
        <f t="shared" si="78"/>
        <v>1563.2575757575758</v>
      </c>
      <c r="S374" s="58">
        <f t="shared" si="79"/>
        <v>1298.2575757575758</v>
      </c>
      <c r="T374" s="58">
        <f t="shared" si="80"/>
        <v>-84.242424242424249</v>
      </c>
      <c r="U374" s="60">
        <f t="shared" si="81"/>
        <v>3.6848214285714285</v>
      </c>
      <c r="V374" s="60">
        <f t="shared" si="82"/>
        <v>3.0601785714285712</v>
      </c>
      <c r="W374" s="60">
        <f t="shared" si="83"/>
        <v>-0.19857142857142859</v>
      </c>
      <c r="X374" s="61"/>
      <c r="Y374" s="1"/>
      <c r="Z374" s="1"/>
    </row>
    <row r="375" spans="1:26" ht="15.75" customHeight="1">
      <c r="A375" s="54"/>
      <c r="B375" s="162"/>
      <c r="C375" s="33"/>
      <c r="D375" s="65" t="s">
        <v>1628</v>
      </c>
      <c r="E375" s="65" t="s">
        <v>1629</v>
      </c>
      <c r="F375" s="66"/>
      <c r="G375" s="67" t="s">
        <v>1630</v>
      </c>
      <c r="H375" s="95">
        <v>35000</v>
      </c>
      <c r="I375" s="58">
        <f t="shared" si="70"/>
        <v>7000</v>
      </c>
      <c r="J375" s="58">
        <f t="shared" si="71"/>
        <v>169.69696969696969</v>
      </c>
      <c r="K375" s="58">
        <v>2200</v>
      </c>
      <c r="L375" s="59">
        <f t="shared" si="72"/>
        <v>1350</v>
      </c>
      <c r="M375" s="58">
        <f t="shared" si="73"/>
        <v>382.5</v>
      </c>
      <c r="N375" s="58">
        <f t="shared" si="74"/>
        <v>331.5</v>
      </c>
      <c r="O375" s="58">
        <f t="shared" si="75"/>
        <v>700</v>
      </c>
      <c r="P375" s="58">
        <f t="shared" si="76"/>
        <v>234.24242424242425</v>
      </c>
      <c r="Q375" s="60">
        <f t="shared" si="77"/>
        <v>0.84945054945054954</v>
      </c>
      <c r="R375" s="58">
        <f t="shared" si="78"/>
        <v>196.74242424242425</v>
      </c>
      <c r="S375" s="58">
        <f t="shared" si="79"/>
        <v>133.74242424242425</v>
      </c>
      <c r="T375" s="58">
        <f t="shared" si="80"/>
        <v>4.2424242424242493</v>
      </c>
      <c r="U375" s="60">
        <f t="shared" si="81"/>
        <v>0.71346153846153848</v>
      </c>
      <c r="V375" s="60">
        <f t="shared" si="82"/>
        <v>0.48500000000000004</v>
      </c>
      <c r="W375" s="60">
        <f t="shared" si="83"/>
        <v>1.538461538461541E-2</v>
      </c>
      <c r="X375" s="61" t="s">
        <v>310</v>
      </c>
      <c r="Y375" s="1"/>
      <c r="Z375" s="1"/>
    </row>
    <row r="376" spans="1:26" ht="15.75" customHeight="1">
      <c r="A376" s="54"/>
      <c r="B376" s="161"/>
      <c r="C376" s="33"/>
      <c r="D376" s="55" t="s">
        <v>1631</v>
      </c>
      <c r="E376" s="55" t="s">
        <v>1632</v>
      </c>
      <c r="F376" s="56"/>
      <c r="G376" s="57" t="s">
        <v>1633</v>
      </c>
      <c r="H376" s="58">
        <v>15000</v>
      </c>
      <c r="I376" s="58">
        <f t="shared" si="70"/>
        <v>24500</v>
      </c>
      <c r="J376" s="58">
        <f t="shared" si="71"/>
        <v>212.12121212121212</v>
      </c>
      <c r="K376" s="58">
        <v>1500</v>
      </c>
      <c r="L376" s="59">
        <f t="shared" si="72"/>
        <v>2150</v>
      </c>
      <c r="M376" s="58">
        <f t="shared" si="73"/>
        <v>1012.5</v>
      </c>
      <c r="N376" s="58">
        <f t="shared" si="74"/>
        <v>877.5</v>
      </c>
      <c r="O376" s="58">
        <f t="shared" si="75"/>
        <v>1100</v>
      </c>
      <c r="P376" s="58">
        <f t="shared" si="76"/>
        <v>1180.3030303030303</v>
      </c>
      <c r="Q376" s="60">
        <f t="shared" si="77"/>
        <v>6.9553571428571432</v>
      </c>
      <c r="R376" s="58">
        <f t="shared" si="78"/>
        <v>212.80303030303031</v>
      </c>
      <c r="S376" s="58">
        <f t="shared" si="79"/>
        <v>161.80303030303031</v>
      </c>
      <c r="T376" s="58">
        <f t="shared" si="80"/>
        <v>530.30303030303025</v>
      </c>
      <c r="U376" s="60">
        <f t="shared" si="81"/>
        <v>1.2540178571428573</v>
      </c>
      <c r="V376" s="60">
        <f t="shared" si="82"/>
        <v>0.95348214285714294</v>
      </c>
      <c r="W376" s="60">
        <f t="shared" si="83"/>
        <v>3.125</v>
      </c>
      <c r="X376" s="61" t="s">
        <v>311</v>
      </c>
      <c r="Y376" s="1"/>
      <c r="Z376" s="1"/>
    </row>
    <row r="377" spans="1:26" ht="15.75" customHeight="1">
      <c r="A377" s="54"/>
      <c r="B377" s="161"/>
      <c r="C377" s="33"/>
      <c r="D377" s="55" t="s">
        <v>1634</v>
      </c>
      <c r="E377" s="55" t="s">
        <v>1635</v>
      </c>
      <c r="F377" s="56"/>
      <c r="G377" s="57" t="s">
        <v>1636</v>
      </c>
      <c r="H377" s="58">
        <v>18000</v>
      </c>
      <c r="I377" s="58">
        <f t="shared" si="70"/>
        <v>10500</v>
      </c>
      <c r="J377" s="58">
        <f t="shared" si="71"/>
        <v>742.42424242424238</v>
      </c>
      <c r="K377" s="58">
        <v>1800</v>
      </c>
      <c r="L377" s="59">
        <f t="shared" si="72"/>
        <v>1450</v>
      </c>
      <c r="M377" s="58">
        <f t="shared" si="73"/>
        <v>1612.5</v>
      </c>
      <c r="N377" s="58">
        <f t="shared" si="74"/>
        <v>1397.5</v>
      </c>
      <c r="O377" s="58">
        <f t="shared" si="75"/>
        <v>750</v>
      </c>
      <c r="P377" s="58">
        <f t="shared" si="76"/>
        <v>1937.878787878788</v>
      </c>
      <c r="Q377" s="60">
        <f t="shared" si="77"/>
        <v>9.1357142857142861</v>
      </c>
      <c r="R377" s="58">
        <f t="shared" si="78"/>
        <v>800.37878787878788</v>
      </c>
      <c r="S377" s="58">
        <f t="shared" si="79"/>
        <v>665.37878787878788</v>
      </c>
      <c r="T377" s="58">
        <f t="shared" si="80"/>
        <v>887.87878787878788</v>
      </c>
      <c r="U377" s="60">
        <f t="shared" si="81"/>
        <v>3.7732142857142859</v>
      </c>
      <c r="V377" s="60">
        <f t="shared" si="82"/>
        <v>3.1367857142857143</v>
      </c>
      <c r="W377" s="60">
        <f t="shared" si="83"/>
        <v>4.1857142857142859</v>
      </c>
      <c r="X377" s="61" t="s">
        <v>312</v>
      </c>
      <c r="Y377" s="1"/>
      <c r="Z377" s="1"/>
    </row>
    <row r="378" spans="1:26" ht="15.75" customHeight="1">
      <c r="A378" s="54"/>
      <c r="B378" s="162"/>
      <c r="C378" s="33"/>
      <c r="D378" s="55" t="s">
        <v>1637</v>
      </c>
      <c r="E378" s="55" t="s">
        <v>1638</v>
      </c>
      <c r="F378" s="56" t="s">
        <v>1116</v>
      </c>
      <c r="G378" s="57" t="s">
        <v>1639</v>
      </c>
      <c r="H378" s="58">
        <v>20000</v>
      </c>
      <c r="I378" s="58">
        <f t="shared" si="70"/>
        <v>12600</v>
      </c>
      <c r="J378" s="58">
        <f t="shared" si="71"/>
        <v>318.18181818181819</v>
      </c>
      <c r="K378" s="58">
        <v>2200</v>
      </c>
      <c r="L378" s="59">
        <f t="shared" si="72"/>
        <v>1750</v>
      </c>
      <c r="M378" s="58">
        <f t="shared" si="73"/>
        <v>1087.5</v>
      </c>
      <c r="N378" s="58">
        <f t="shared" si="74"/>
        <v>942.5</v>
      </c>
      <c r="O378" s="58">
        <f t="shared" si="75"/>
        <v>900</v>
      </c>
      <c r="P378" s="58">
        <f t="shared" si="76"/>
        <v>707.57575757575762</v>
      </c>
      <c r="Q378" s="60">
        <f t="shared" si="77"/>
        <v>0.95306122448979602</v>
      </c>
      <c r="R378" s="58">
        <f t="shared" si="78"/>
        <v>870.07575757575762</v>
      </c>
      <c r="S378" s="58">
        <f t="shared" si="79"/>
        <v>655.07575757575762</v>
      </c>
      <c r="T378" s="58">
        <f t="shared" si="80"/>
        <v>7.5757575757576205</v>
      </c>
      <c r="U378" s="60">
        <f t="shared" si="81"/>
        <v>1.1719387755102042</v>
      </c>
      <c r="V378" s="60">
        <f t="shared" si="82"/>
        <v>0.88234693877551029</v>
      </c>
      <c r="W378" s="60">
        <f t="shared" si="83"/>
        <v>1.0204081632653123E-2</v>
      </c>
      <c r="X378" s="61" t="s">
        <v>313</v>
      </c>
      <c r="Y378" s="1"/>
      <c r="Z378" s="1"/>
    </row>
    <row r="379" spans="1:26" ht="15.75" customHeight="1">
      <c r="A379" s="54"/>
      <c r="B379" s="162"/>
      <c r="C379" s="33"/>
      <c r="D379" s="55" t="s">
        <v>1640</v>
      </c>
      <c r="E379" s="55" t="s">
        <v>1641</v>
      </c>
      <c r="F379" s="56" t="s">
        <v>1642</v>
      </c>
      <c r="G379" s="57" t="s">
        <v>1643</v>
      </c>
      <c r="H379" s="58">
        <v>25000</v>
      </c>
      <c r="I379" s="58">
        <f t="shared" si="70"/>
        <v>14000</v>
      </c>
      <c r="J379" s="58">
        <f t="shared" si="71"/>
        <v>381.81818181818181</v>
      </c>
      <c r="K379" s="58">
        <v>2600</v>
      </c>
      <c r="L379" s="59">
        <f t="shared" si="72"/>
        <v>2150</v>
      </c>
      <c r="M379" s="58">
        <f t="shared" si="73"/>
        <v>1312.5</v>
      </c>
      <c r="N379" s="58">
        <f t="shared" si="74"/>
        <v>1137.5</v>
      </c>
      <c r="O379" s="58">
        <f t="shared" si="75"/>
        <v>1100</v>
      </c>
      <c r="P379" s="58">
        <f t="shared" si="76"/>
        <v>1431.8181818181818</v>
      </c>
      <c r="Q379" s="60">
        <f t="shared" si="77"/>
        <v>4.5</v>
      </c>
      <c r="R379" s="58">
        <f t="shared" si="78"/>
        <v>769.31818181818176</v>
      </c>
      <c r="S379" s="58">
        <f t="shared" si="79"/>
        <v>624.31818181818176</v>
      </c>
      <c r="T379" s="58">
        <f t="shared" si="80"/>
        <v>581.81818181818176</v>
      </c>
      <c r="U379" s="60">
        <f t="shared" si="81"/>
        <v>2.4178571428571427</v>
      </c>
      <c r="V379" s="60">
        <f t="shared" si="82"/>
        <v>1.962142857142857</v>
      </c>
      <c r="W379" s="60">
        <f t="shared" si="83"/>
        <v>1.8285714285714283</v>
      </c>
      <c r="X379" s="61" t="s">
        <v>315</v>
      </c>
      <c r="Y379" s="1"/>
      <c r="Z379" s="1"/>
    </row>
    <row r="380" spans="1:26" ht="15.75" customHeight="1">
      <c r="A380" s="54"/>
      <c r="B380" s="162"/>
      <c r="C380" s="33"/>
      <c r="D380" s="55" t="s">
        <v>1644</v>
      </c>
      <c r="E380" s="55"/>
      <c r="F380" s="56" t="s">
        <v>1645</v>
      </c>
      <c r="G380" s="57" t="s">
        <v>1646</v>
      </c>
      <c r="H380" s="58">
        <v>20000</v>
      </c>
      <c r="I380" s="58">
        <f t="shared" si="70"/>
        <v>17500</v>
      </c>
      <c r="J380" s="58">
        <f t="shared" si="71"/>
        <v>424.24242424242425</v>
      </c>
      <c r="K380" s="58">
        <v>2200</v>
      </c>
      <c r="L380" s="59">
        <f t="shared" si="72"/>
        <v>2550</v>
      </c>
      <c r="M380" s="58">
        <f t="shared" si="73"/>
        <v>1612.5</v>
      </c>
      <c r="N380" s="58">
        <f t="shared" si="74"/>
        <v>1397.5</v>
      </c>
      <c r="O380" s="58">
        <f t="shared" si="75"/>
        <v>1300</v>
      </c>
      <c r="P380" s="58">
        <f t="shared" si="76"/>
        <v>1768.1818181818182</v>
      </c>
      <c r="Q380" s="60">
        <f t="shared" si="77"/>
        <v>4.6309523809523814</v>
      </c>
      <c r="R380" s="58">
        <f t="shared" si="78"/>
        <v>930.68181818181824</v>
      </c>
      <c r="S380" s="58">
        <f t="shared" si="79"/>
        <v>755.68181818181824</v>
      </c>
      <c r="T380" s="58">
        <f t="shared" si="80"/>
        <v>718.18181818181824</v>
      </c>
      <c r="U380" s="60">
        <f t="shared" si="81"/>
        <v>2.4375</v>
      </c>
      <c r="V380" s="60">
        <f t="shared" si="82"/>
        <v>1.979166666666667</v>
      </c>
      <c r="W380" s="60">
        <f t="shared" si="83"/>
        <v>1.8809523809523812</v>
      </c>
      <c r="X380" s="61"/>
      <c r="Y380" s="1"/>
      <c r="Z380" s="1"/>
    </row>
    <row r="381" spans="1:26" ht="15.75" customHeight="1">
      <c r="A381" s="54"/>
      <c r="B381" s="162"/>
      <c r="C381" s="33"/>
      <c r="D381" s="65" t="s">
        <v>1647</v>
      </c>
      <c r="E381" s="65"/>
      <c r="F381" s="66" t="s">
        <v>1648</v>
      </c>
      <c r="G381" s="67" t="s">
        <v>1649</v>
      </c>
      <c r="H381" s="68">
        <v>18000</v>
      </c>
      <c r="I381" s="58">
        <f t="shared" si="70"/>
        <v>14000</v>
      </c>
      <c r="J381" s="58">
        <f t="shared" si="71"/>
        <v>530.30303030303025</v>
      </c>
      <c r="K381" s="58">
        <v>1800</v>
      </c>
      <c r="L381" s="59">
        <f t="shared" si="72"/>
        <v>2150</v>
      </c>
      <c r="M381" s="58">
        <f t="shared" si="73"/>
        <v>1912.5</v>
      </c>
      <c r="N381" s="58">
        <f t="shared" si="74"/>
        <v>1657.5</v>
      </c>
      <c r="O381" s="58">
        <f t="shared" si="75"/>
        <v>1100</v>
      </c>
      <c r="P381" s="58">
        <f t="shared" si="76"/>
        <v>2125.757575757576</v>
      </c>
      <c r="Q381" s="60">
        <f t="shared" si="77"/>
        <v>5.0107142857142861</v>
      </c>
      <c r="R381" s="58">
        <f t="shared" si="78"/>
        <v>1188.2575757575758</v>
      </c>
      <c r="S381" s="58">
        <f t="shared" si="79"/>
        <v>973.25757575757575</v>
      </c>
      <c r="T381" s="58">
        <f t="shared" si="80"/>
        <v>875.75757575757575</v>
      </c>
      <c r="U381" s="60">
        <f t="shared" si="81"/>
        <v>2.8008928571428573</v>
      </c>
      <c r="V381" s="60">
        <f t="shared" si="82"/>
        <v>2.2941071428571429</v>
      </c>
      <c r="W381" s="60">
        <f t="shared" si="83"/>
        <v>2.0642857142857141</v>
      </c>
      <c r="X381" s="61"/>
      <c r="Y381" s="1"/>
      <c r="Z381" s="1"/>
    </row>
    <row r="382" spans="1:26" ht="15.75" customHeight="1">
      <c r="A382" s="54"/>
      <c r="B382" s="162"/>
      <c r="C382" s="33"/>
      <c r="D382" s="65" t="s">
        <v>1650</v>
      </c>
      <c r="E382" s="65"/>
      <c r="F382" s="66"/>
      <c r="G382" s="67" t="s">
        <v>1651</v>
      </c>
      <c r="H382" s="68">
        <v>18000</v>
      </c>
      <c r="I382" s="58">
        <f t="shared" si="70"/>
        <v>12600</v>
      </c>
      <c r="J382" s="58">
        <f t="shared" si="71"/>
        <v>424.24242424242425</v>
      </c>
      <c r="K382" s="58">
        <v>1800</v>
      </c>
      <c r="L382" s="59">
        <f t="shared" si="72"/>
        <v>1750</v>
      </c>
      <c r="M382" s="58">
        <f t="shared" si="73"/>
        <v>1612.5</v>
      </c>
      <c r="N382" s="58">
        <f t="shared" si="74"/>
        <v>1397.5</v>
      </c>
      <c r="O382" s="58">
        <f t="shared" si="75"/>
        <v>900</v>
      </c>
      <c r="P382" s="58">
        <f t="shared" si="76"/>
        <v>1619.6969696969697</v>
      </c>
      <c r="Q382" s="60">
        <f t="shared" si="77"/>
        <v>3.0542857142857147</v>
      </c>
      <c r="R382" s="58">
        <f t="shared" si="78"/>
        <v>1382.1969696969697</v>
      </c>
      <c r="S382" s="58">
        <f t="shared" si="79"/>
        <v>1127.1969696969697</v>
      </c>
      <c r="T382" s="58">
        <f t="shared" si="80"/>
        <v>569.69696969696975</v>
      </c>
      <c r="U382" s="60">
        <f t="shared" si="81"/>
        <v>2.6064285714285718</v>
      </c>
      <c r="V382" s="60">
        <f t="shared" si="82"/>
        <v>2.1255714285714289</v>
      </c>
      <c r="W382" s="60">
        <f t="shared" si="83"/>
        <v>1.0742857142857145</v>
      </c>
      <c r="X382" s="61" t="s">
        <v>316</v>
      </c>
      <c r="Y382" s="1"/>
      <c r="Z382" s="1"/>
    </row>
    <row r="383" spans="1:26" ht="15.75" customHeight="1">
      <c r="A383" s="54"/>
      <c r="B383" s="161"/>
      <c r="C383" s="33"/>
      <c r="D383" s="65" t="s">
        <v>1652</v>
      </c>
      <c r="E383" s="65" t="s">
        <v>1629</v>
      </c>
      <c r="F383" s="66"/>
      <c r="G383" s="67" t="s">
        <v>1630</v>
      </c>
      <c r="H383" s="68">
        <v>18000</v>
      </c>
      <c r="I383" s="58">
        <f t="shared" si="70"/>
        <v>12600</v>
      </c>
      <c r="J383" s="58">
        <f t="shared" si="71"/>
        <v>381.81818181818181</v>
      </c>
      <c r="K383" s="58">
        <v>1800</v>
      </c>
      <c r="L383" s="59">
        <f t="shared" si="72"/>
        <v>1750</v>
      </c>
      <c r="M383" s="58">
        <f t="shared" si="73"/>
        <v>1312.5</v>
      </c>
      <c r="N383" s="58">
        <f t="shared" si="74"/>
        <v>1137.5</v>
      </c>
      <c r="O383" s="58">
        <f t="shared" si="75"/>
        <v>900</v>
      </c>
      <c r="P383" s="58">
        <f t="shared" si="76"/>
        <v>1325.7575757575758</v>
      </c>
      <c r="Q383" s="60">
        <f t="shared" si="77"/>
        <v>3.125</v>
      </c>
      <c r="R383" s="58">
        <f t="shared" si="78"/>
        <v>1188.2575757575758</v>
      </c>
      <c r="S383" s="58">
        <f t="shared" si="79"/>
        <v>973.25757575757575</v>
      </c>
      <c r="T383" s="58">
        <f t="shared" si="80"/>
        <v>475.75757575757575</v>
      </c>
      <c r="U383" s="60">
        <f t="shared" si="81"/>
        <v>2.8008928571428573</v>
      </c>
      <c r="V383" s="60">
        <f t="shared" si="82"/>
        <v>2.2941071428571429</v>
      </c>
      <c r="W383" s="60">
        <f t="shared" si="83"/>
        <v>1.1214285714285714</v>
      </c>
      <c r="X383" s="61" t="s">
        <v>310</v>
      </c>
      <c r="Y383" s="1"/>
      <c r="Z383" s="1"/>
    </row>
    <row r="384" spans="1:26" ht="15.75" customHeight="1">
      <c r="A384" s="54"/>
      <c r="B384" s="125"/>
      <c r="C384" s="33"/>
      <c r="D384" s="65" t="s">
        <v>1653</v>
      </c>
      <c r="E384" s="65" t="s">
        <v>1654</v>
      </c>
      <c r="F384" s="66"/>
      <c r="G384" s="67" t="s">
        <v>1655</v>
      </c>
      <c r="H384" s="68">
        <v>16000</v>
      </c>
      <c r="I384" s="58">
        <f t="shared" si="70"/>
        <v>12600</v>
      </c>
      <c r="J384" s="58">
        <f t="shared" si="71"/>
        <v>381.81818181818181</v>
      </c>
      <c r="K384" s="58">
        <v>1600</v>
      </c>
      <c r="L384" s="59">
        <f t="shared" si="72"/>
        <v>1750</v>
      </c>
      <c r="M384" s="58">
        <f t="shared" si="73"/>
        <v>1312.5</v>
      </c>
      <c r="N384" s="58">
        <f t="shared" si="74"/>
        <v>1137.5</v>
      </c>
      <c r="O384" s="58">
        <f t="shared" si="75"/>
        <v>900</v>
      </c>
      <c r="P384" s="58">
        <f t="shared" si="76"/>
        <v>1368.1818181818182</v>
      </c>
      <c r="Q384" s="60">
        <f t="shared" si="77"/>
        <v>3.5833333333333335</v>
      </c>
      <c r="R384" s="58">
        <f t="shared" si="78"/>
        <v>930.68181818181824</v>
      </c>
      <c r="S384" s="58">
        <f t="shared" si="79"/>
        <v>755.68181818181824</v>
      </c>
      <c r="T384" s="58">
        <f t="shared" si="80"/>
        <v>518.18181818181824</v>
      </c>
      <c r="U384" s="60">
        <f t="shared" si="81"/>
        <v>2.4375</v>
      </c>
      <c r="V384" s="60">
        <f t="shared" si="82"/>
        <v>1.979166666666667</v>
      </c>
      <c r="W384" s="60">
        <f t="shared" si="83"/>
        <v>1.3571428571428574</v>
      </c>
      <c r="X384" s="61"/>
      <c r="Y384" s="1"/>
      <c r="Z384" s="1"/>
    </row>
    <row r="385" spans="1:26" ht="15.75" customHeight="1">
      <c r="A385" s="54"/>
      <c r="B385" s="75" t="s">
        <v>944</v>
      </c>
      <c r="C385" s="33"/>
      <c r="D385" s="55" t="s">
        <v>1656</v>
      </c>
      <c r="E385" s="55" t="s">
        <v>1657</v>
      </c>
      <c r="F385" s="55"/>
      <c r="G385" s="57" t="s">
        <v>1658</v>
      </c>
      <c r="H385" s="58">
        <v>35000</v>
      </c>
      <c r="I385" s="58">
        <f t="shared" si="70"/>
        <v>11200</v>
      </c>
      <c r="J385" s="58">
        <f t="shared" si="71"/>
        <v>381.81818181818181</v>
      </c>
      <c r="K385" s="58">
        <v>4200</v>
      </c>
      <c r="L385" s="59">
        <f t="shared" si="72"/>
        <v>1550</v>
      </c>
      <c r="M385" s="58">
        <f t="shared" si="73"/>
        <v>1312.5</v>
      </c>
      <c r="N385" s="58">
        <f t="shared" si="74"/>
        <v>1137.5</v>
      </c>
      <c r="O385" s="58">
        <f t="shared" si="75"/>
        <v>800</v>
      </c>
      <c r="P385" s="58">
        <f t="shared" si="76"/>
        <v>1368.1818181818182</v>
      </c>
      <c r="Q385" s="60">
        <f t="shared" si="77"/>
        <v>3.5833333333333335</v>
      </c>
      <c r="R385" s="58">
        <f t="shared" si="78"/>
        <v>930.68181818181824</v>
      </c>
      <c r="S385" s="58">
        <f t="shared" si="79"/>
        <v>755.68181818181824</v>
      </c>
      <c r="T385" s="58">
        <f t="shared" si="80"/>
        <v>518.18181818181824</v>
      </c>
      <c r="U385" s="60">
        <f t="shared" si="81"/>
        <v>2.4375</v>
      </c>
      <c r="V385" s="60">
        <f t="shared" si="82"/>
        <v>1.979166666666667</v>
      </c>
      <c r="W385" s="60">
        <f t="shared" si="83"/>
        <v>1.3571428571428574</v>
      </c>
      <c r="X385" s="61"/>
      <c r="Y385" s="1"/>
      <c r="Z385" s="1"/>
    </row>
    <row r="386" spans="1:26" ht="15.75" customHeight="1">
      <c r="A386" s="54"/>
      <c r="B386" s="75" t="s">
        <v>1659</v>
      </c>
      <c r="C386" s="33"/>
      <c r="D386" s="55" t="s">
        <v>1660</v>
      </c>
      <c r="E386" s="55" t="s">
        <v>1661</v>
      </c>
      <c r="F386" s="55"/>
      <c r="G386" s="57" t="s">
        <v>1662</v>
      </c>
      <c r="H386" s="58">
        <v>45000</v>
      </c>
      <c r="I386" s="58">
        <f t="shared" si="70"/>
        <v>24500</v>
      </c>
      <c r="J386" s="58">
        <f t="shared" si="71"/>
        <v>339.39393939393938</v>
      </c>
      <c r="K386" s="58">
        <v>4400</v>
      </c>
      <c r="L386" s="59">
        <f t="shared" si="72"/>
        <v>4150</v>
      </c>
      <c r="M386" s="58">
        <f t="shared" si="73"/>
        <v>1162.5</v>
      </c>
      <c r="N386" s="58">
        <f t="shared" si="74"/>
        <v>1007.5</v>
      </c>
      <c r="O386" s="58">
        <f t="shared" si="75"/>
        <v>2100</v>
      </c>
      <c r="P386" s="58">
        <f t="shared" si="76"/>
        <v>1168.1818181818182</v>
      </c>
      <c r="Q386" s="60">
        <f t="shared" si="77"/>
        <v>3.0595238095238098</v>
      </c>
      <c r="R386" s="58">
        <f t="shared" si="78"/>
        <v>930.68181818181824</v>
      </c>
      <c r="S386" s="58">
        <f t="shared" si="79"/>
        <v>755.68181818181824</v>
      </c>
      <c r="T386" s="58">
        <f t="shared" si="80"/>
        <v>418.18181818181819</v>
      </c>
      <c r="U386" s="60">
        <f t="shared" si="81"/>
        <v>2.4375</v>
      </c>
      <c r="V386" s="60">
        <f t="shared" si="82"/>
        <v>1.979166666666667</v>
      </c>
      <c r="W386" s="60">
        <f t="shared" si="83"/>
        <v>1.0952380952380953</v>
      </c>
      <c r="X386" s="61"/>
      <c r="Y386" s="1"/>
      <c r="Z386" s="1"/>
    </row>
    <row r="387" spans="1:26" ht="15.75" customHeight="1">
      <c r="A387" s="54"/>
      <c r="B387" s="160" t="s">
        <v>1663</v>
      </c>
      <c r="C387" s="33"/>
      <c r="D387" s="55" t="s">
        <v>918</v>
      </c>
      <c r="E387" s="55"/>
      <c r="F387" s="55"/>
      <c r="G387" s="57" t="s">
        <v>1664</v>
      </c>
      <c r="H387" s="58">
        <v>25000</v>
      </c>
      <c r="I387" s="58">
        <f t="shared" si="70"/>
        <v>31499.999999999996</v>
      </c>
      <c r="J387" s="58">
        <f t="shared" si="71"/>
        <v>742.42424242424238</v>
      </c>
      <c r="K387" s="58">
        <v>3950</v>
      </c>
      <c r="L387" s="59">
        <f t="shared" si="72"/>
        <v>4350</v>
      </c>
      <c r="M387" s="58">
        <f t="shared" si="73"/>
        <v>3112.5</v>
      </c>
      <c r="N387" s="58">
        <f t="shared" si="74"/>
        <v>2697.5</v>
      </c>
      <c r="O387" s="58">
        <f t="shared" si="75"/>
        <v>2200</v>
      </c>
      <c r="P387" s="58">
        <f t="shared" si="76"/>
        <v>3810.6060606060605</v>
      </c>
      <c r="Q387" s="60">
        <f t="shared" si="77"/>
        <v>11.227678571428571</v>
      </c>
      <c r="R387" s="58">
        <f t="shared" si="78"/>
        <v>823.10606060606062</v>
      </c>
      <c r="S387" s="58">
        <f t="shared" si="79"/>
        <v>668.10606060606062</v>
      </c>
      <c r="T387" s="58">
        <f t="shared" si="80"/>
        <v>1760.6060606060605</v>
      </c>
      <c r="U387" s="60">
        <f t="shared" si="81"/>
        <v>2.4252232142857144</v>
      </c>
      <c r="V387" s="60">
        <f t="shared" si="82"/>
        <v>1.9685267857142859</v>
      </c>
      <c r="W387" s="60">
        <f t="shared" si="83"/>
        <v>5.1875</v>
      </c>
      <c r="X387" s="61"/>
      <c r="Y387" s="1"/>
      <c r="Z387" s="1"/>
    </row>
    <row r="388" spans="1:26" ht="15.75" customHeight="1">
      <c r="A388" s="51" t="s">
        <v>340</v>
      </c>
      <c r="B388" s="162"/>
      <c r="C388" s="43"/>
      <c r="D388" s="55" t="s">
        <v>543</v>
      </c>
      <c r="E388" s="55" t="s">
        <v>577</v>
      </c>
      <c r="F388" s="56"/>
      <c r="G388" s="57" t="s">
        <v>1666</v>
      </c>
      <c r="H388" s="58">
        <v>35000</v>
      </c>
      <c r="I388" s="58">
        <f t="shared" si="70"/>
        <v>17500</v>
      </c>
      <c r="J388" s="58">
        <f t="shared" si="71"/>
        <v>954.54545454545439</v>
      </c>
      <c r="K388" s="58">
        <v>2850</v>
      </c>
      <c r="L388" s="59">
        <f t="shared" si="72"/>
        <v>3900</v>
      </c>
      <c r="M388" s="58">
        <f t="shared" si="73"/>
        <v>3262.5</v>
      </c>
      <c r="N388" s="58">
        <f t="shared" si="74"/>
        <v>2827.5</v>
      </c>
      <c r="O388" s="58">
        <f t="shared" si="75"/>
        <v>1975</v>
      </c>
      <c r="P388" s="58">
        <f t="shared" si="76"/>
        <v>3607.5757575757575</v>
      </c>
      <c r="Q388" s="60">
        <f t="shared" si="77"/>
        <v>4.8591836734693876</v>
      </c>
      <c r="R388" s="58">
        <f t="shared" si="78"/>
        <v>2370.0757575757575</v>
      </c>
      <c r="S388" s="58">
        <f t="shared" si="79"/>
        <v>1955.0757575757575</v>
      </c>
      <c r="T388" s="58">
        <f t="shared" si="80"/>
        <v>1457.5757575757575</v>
      </c>
      <c r="U388" s="60">
        <f t="shared" si="81"/>
        <v>3.1923469387755103</v>
      </c>
      <c r="V388" s="60">
        <f t="shared" si="82"/>
        <v>2.6333673469387757</v>
      </c>
      <c r="W388" s="60">
        <f t="shared" si="83"/>
        <v>1.963265306122449</v>
      </c>
      <c r="X388" s="61"/>
      <c r="Y388" s="1"/>
      <c r="Z388" s="1"/>
    </row>
    <row r="389" spans="1:26" ht="15.75" customHeight="1">
      <c r="A389" s="54"/>
      <c r="B389" s="162"/>
      <c r="C389" s="33"/>
      <c r="D389" s="55" t="s">
        <v>608</v>
      </c>
      <c r="E389" s="55" t="s">
        <v>607</v>
      </c>
      <c r="F389" s="56"/>
      <c r="G389" s="57" t="s">
        <v>1667</v>
      </c>
      <c r="H389" s="58">
        <v>28000</v>
      </c>
      <c r="I389" s="58">
        <f t="shared" ref="I389:I411" si="84">H388*0.7</f>
        <v>24500</v>
      </c>
      <c r="J389" s="58">
        <f t="shared" ref="J389:J411" si="85">I388/33</f>
        <v>530.30303030303025</v>
      </c>
      <c r="K389" s="58">
        <v>2400</v>
      </c>
      <c r="L389" s="59">
        <f t="shared" ref="L389:L411" si="86">K388-50</f>
        <v>2800</v>
      </c>
      <c r="M389" s="58">
        <f t="shared" ref="M389:M411" si="87">L388*0.75</f>
        <v>2925</v>
      </c>
      <c r="N389" s="58">
        <f t="shared" ref="N389:N411" si="88">L388*0.65</f>
        <v>2535</v>
      </c>
      <c r="O389" s="58">
        <f t="shared" ref="O389:O411" si="89">K388*0.5</f>
        <v>1425</v>
      </c>
      <c r="P389" s="58">
        <f t="shared" ref="P389:P411" si="90">L388-J388</f>
        <v>2945.4545454545455</v>
      </c>
      <c r="Q389" s="60">
        <f t="shared" ref="Q389:Q411" si="91">((L388-J388)/J388)</f>
        <v>3.0857142857142863</v>
      </c>
      <c r="R389" s="58">
        <f t="shared" ref="R389:R411" si="92">M388-J388</f>
        <v>2307.9545454545455</v>
      </c>
      <c r="S389" s="58">
        <f t="shared" ref="S389:S411" si="93">N388-J388</f>
        <v>1872.9545454545455</v>
      </c>
      <c r="T389" s="58">
        <f t="shared" ref="T389:T411" si="94">O388-J388</f>
        <v>1020.4545454545456</v>
      </c>
      <c r="U389" s="60">
        <f t="shared" ref="U389:U411" si="95">(M388-J388)/J388</f>
        <v>2.4178571428571431</v>
      </c>
      <c r="V389" s="60">
        <f t="shared" ref="V389:V411" si="96">(N388-J388)/J388</f>
        <v>1.9621428571428574</v>
      </c>
      <c r="W389" s="60">
        <f t="shared" ref="W389:W411" si="97">(O388-J388)/J388</f>
        <v>1.0690476190476195</v>
      </c>
      <c r="X389" s="61"/>
      <c r="Y389" s="1"/>
      <c r="Z389" s="1"/>
    </row>
    <row r="390" spans="1:26" ht="15.75" customHeight="1">
      <c r="A390" s="54"/>
      <c r="B390" s="162"/>
      <c r="C390" s="33"/>
      <c r="D390" s="55" t="s">
        <v>608</v>
      </c>
      <c r="E390" s="55" t="s">
        <v>498</v>
      </c>
      <c r="F390" s="96" t="s">
        <v>1668</v>
      </c>
      <c r="G390" s="57" t="s">
        <v>1669</v>
      </c>
      <c r="H390" s="58">
        <v>40000</v>
      </c>
      <c r="I390" s="58">
        <f t="shared" si="84"/>
        <v>19600</v>
      </c>
      <c r="J390" s="58">
        <f t="shared" si="85"/>
        <v>742.42424242424238</v>
      </c>
      <c r="K390" s="58">
        <v>2900</v>
      </c>
      <c r="L390" s="59">
        <f t="shared" si="86"/>
        <v>2350</v>
      </c>
      <c r="M390" s="58">
        <f t="shared" si="87"/>
        <v>2100</v>
      </c>
      <c r="N390" s="58">
        <f t="shared" si="88"/>
        <v>1820</v>
      </c>
      <c r="O390" s="58">
        <f t="shared" si="89"/>
        <v>1200</v>
      </c>
      <c r="P390" s="58">
        <f t="shared" si="90"/>
        <v>2269.69696969697</v>
      </c>
      <c r="Q390" s="60">
        <f t="shared" si="91"/>
        <v>4.2800000000000011</v>
      </c>
      <c r="R390" s="58">
        <f t="shared" si="92"/>
        <v>2394.69696969697</v>
      </c>
      <c r="S390" s="58">
        <f t="shared" si="93"/>
        <v>2004.6969696969697</v>
      </c>
      <c r="T390" s="58">
        <f t="shared" si="94"/>
        <v>894.69696969696975</v>
      </c>
      <c r="U390" s="60">
        <f t="shared" si="95"/>
        <v>4.5157142857142869</v>
      </c>
      <c r="V390" s="60">
        <f t="shared" si="96"/>
        <v>3.7802857142857147</v>
      </c>
      <c r="W390" s="60">
        <f t="shared" si="97"/>
        <v>1.6871428571428573</v>
      </c>
      <c r="X390" s="61"/>
      <c r="Y390" s="1"/>
      <c r="Z390" s="1"/>
    </row>
    <row r="391" spans="1:26" ht="15.75" customHeight="1">
      <c r="A391" s="54"/>
      <c r="B391" s="162"/>
      <c r="C391" s="33"/>
      <c r="D391" s="55" t="s">
        <v>608</v>
      </c>
      <c r="E391" s="55" t="s">
        <v>577</v>
      </c>
      <c r="F391" s="96" t="s">
        <v>1670</v>
      </c>
      <c r="G391" s="57" t="s">
        <v>1671</v>
      </c>
      <c r="H391" s="58">
        <v>38000</v>
      </c>
      <c r="I391" s="58">
        <f t="shared" si="84"/>
        <v>28000</v>
      </c>
      <c r="J391" s="58">
        <f t="shared" si="85"/>
        <v>593.93939393939399</v>
      </c>
      <c r="K391" s="58">
        <v>3200</v>
      </c>
      <c r="L391" s="59">
        <f t="shared" si="86"/>
        <v>2850</v>
      </c>
      <c r="M391" s="58">
        <f t="shared" si="87"/>
        <v>1762.5</v>
      </c>
      <c r="N391" s="58">
        <f t="shared" si="88"/>
        <v>1527.5</v>
      </c>
      <c r="O391" s="58">
        <f t="shared" si="89"/>
        <v>1450</v>
      </c>
      <c r="P391" s="58">
        <f t="shared" si="90"/>
        <v>1607.5757575757575</v>
      </c>
      <c r="Q391" s="60">
        <f t="shared" si="91"/>
        <v>2.1653061224489796</v>
      </c>
      <c r="R391" s="58">
        <f t="shared" si="92"/>
        <v>1357.5757575757575</v>
      </c>
      <c r="S391" s="58">
        <f t="shared" si="93"/>
        <v>1077.5757575757575</v>
      </c>
      <c r="T391" s="58">
        <f t="shared" si="94"/>
        <v>457.57575757575762</v>
      </c>
      <c r="U391" s="60">
        <f t="shared" si="95"/>
        <v>1.8285714285714285</v>
      </c>
      <c r="V391" s="60">
        <f t="shared" si="96"/>
        <v>1.4514285714285715</v>
      </c>
      <c r="W391" s="60">
        <f t="shared" si="97"/>
        <v>0.61632653061224496</v>
      </c>
      <c r="X391" s="61"/>
      <c r="Y391" s="1"/>
      <c r="Z391" s="1"/>
    </row>
    <row r="392" spans="1:26" ht="15.75" customHeight="1">
      <c r="A392" s="54"/>
      <c r="B392" s="162"/>
      <c r="C392" s="33"/>
      <c r="D392" s="55" t="s">
        <v>450</v>
      </c>
      <c r="E392" s="55" t="s">
        <v>607</v>
      </c>
      <c r="F392" s="56"/>
      <c r="G392" s="57" t="s">
        <v>1672</v>
      </c>
      <c r="H392" s="58">
        <v>18000</v>
      </c>
      <c r="I392" s="58">
        <f t="shared" si="84"/>
        <v>26600</v>
      </c>
      <c r="J392" s="58">
        <f t="shared" si="85"/>
        <v>848.4848484848485</v>
      </c>
      <c r="K392" s="58">
        <v>1400</v>
      </c>
      <c r="L392" s="59">
        <f t="shared" si="86"/>
        <v>3150</v>
      </c>
      <c r="M392" s="58">
        <f t="shared" si="87"/>
        <v>2137.5</v>
      </c>
      <c r="N392" s="58">
        <f t="shared" si="88"/>
        <v>1852.5</v>
      </c>
      <c r="O392" s="58">
        <f t="shared" si="89"/>
        <v>1600</v>
      </c>
      <c r="P392" s="58">
        <f t="shared" si="90"/>
        <v>2256.060606060606</v>
      </c>
      <c r="Q392" s="60">
        <f t="shared" si="91"/>
        <v>3.7984693877551017</v>
      </c>
      <c r="R392" s="58">
        <f t="shared" si="92"/>
        <v>1168.560606060606</v>
      </c>
      <c r="S392" s="58">
        <f t="shared" si="93"/>
        <v>933.56060606060601</v>
      </c>
      <c r="T392" s="58">
        <f t="shared" si="94"/>
        <v>856.06060606060601</v>
      </c>
      <c r="U392" s="60">
        <f t="shared" si="95"/>
        <v>1.967474489795918</v>
      </c>
      <c r="V392" s="60">
        <f t="shared" si="96"/>
        <v>1.5718112244897957</v>
      </c>
      <c r="W392" s="60">
        <f t="shared" si="97"/>
        <v>1.4413265306122447</v>
      </c>
      <c r="X392" s="61"/>
      <c r="Y392" s="1"/>
      <c r="Z392" s="1"/>
    </row>
    <row r="393" spans="1:26" ht="15.75" customHeight="1">
      <c r="A393" s="54"/>
      <c r="B393" s="162"/>
      <c r="C393" s="33"/>
      <c r="D393" s="55" t="s">
        <v>450</v>
      </c>
      <c r="E393" s="55" t="s">
        <v>68</v>
      </c>
      <c r="F393" s="56"/>
      <c r="G393" s="57" t="s">
        <v>1673</v>
      </c>
      <c r="H393" s="58">
        <v>23000</v>
      </c>
      <c r="I393" s="58">
        <f t="shared" si="84"/>
        <v>12600</v>
      </c>
      <c r="J393" s="58">
        <f t="shared" si="85"/>
        <v>806.06060606060601</v>
      </c>
      <c r="K393" s="58">
        <v>1600</v>
      </c>
      <c r="L393" s="59">
        <f t="shared" si="86"/>
        <v>1350</v>
      </c>
      <c r="M393" s="58">
        <f t="shared" si="87"/>
        <v>2362.5</v>
      </c>
      <c r="N393" s="58">
        <f t="shared" si="88"/>
        <v>2047.5</v>
      </c>
      <c r="O393" s="58">
        <f t="shared" si="89"/>
        <v>700</v>
      </c>
      <c r="P393" s="58">
        <f t="shared" si="90"/>
        <v>2301.5151515151515</v>
      </c>
      <c r="Q393" s="60">
        <f t="shared" si="91"/>
        <v>2.7124999999999999</v>
      </c>
      <c r="R393" s="58">
        <f t="shared" si="92"/>
        <v>1289.0151515151515</v>
      </c>
      <c r="S393" s="58">
        <f t="shared" si="93"/>
        <v>1004.0151515151515</v>
      </c>
      <c r="T393" s="58">
        <f t="shared" si="94"/>
        <v>751.5151515151515</v>
      </c>
      <c r="U393" s="60">
        <f t="shared" si="95"/>
        <v>1.5191964285714286</v>
      </c>
      <c r="V393" s="60">
        <f t="shared" si="96"/>
        <v>1.1833035714285713</v>
      </c>
      <c r="W393" s="60">
        <f t="shared" si="97"/>
        <v>0.88571428571428568</v>
      </c>
      <c r="X393" s="61"/>
      <c r="Y393" s="1"/>
      <c r="Z393" s="1"/>
    </row>
    <row r="394" spans="1:26" ht="15.75" customHeight="1">
      <c r="A394" s="54"/>
      <c r="B394" s="161"/>
      <c r="C394" s="33"/>
      <c r="D394" s="55" t="s">
        <v>450</v>
      </c>
      <c r="E394" s="55" t="s">
        <v>1674</v>
      </c>
      <c r="F394" s="56" t="s">
        <v>1675</v>
      </c>
      <c r="G394" s="57" t="s">
        <v>1676</v>
      </c>
      <c r="H394" s="58">
        <v>24000</v>
      </c>
      <c r="I394" s="58">
        <f t="shared" si="84"/>
        <v>16099.999999999998</v>
      </c>
      <c r="J394" s="58">
        <f t="shared" si="85"/>
        <v>381.81818181818181</v>
      </c>
      <c r="K394" s="58">
        <v>1700</v>
      </c>
      <c r="L394" s="59">
        <f t="shared" si="86"/>
        <v>1550</v>
      </c>
      <c r="M394" s="58">
        <f t="shared" si="87"/>
        <v>1012.5</v>
      </c>
      <c r="N394" s="58">
        <f t="shared" si="88"/>
        <v>877.5</v>
      </c>
      <c r="O394" s="58">
        <f t="shared" si="89"/>
        <v>800</v>
      </c>
      <c r="P394" s="58">
        <f t="shared" si="90"/>
        <v>543.93939393939399</v>
      </c>
      <c r="Q394" s="60">
        <f t="shared" si="91"/>
        <v>0.67481203007518809</v>
      </c>
      <c r="R394" s="58">
        <f t="shared" si="92"/>
        <v>1556.439393939394</v>
      </c>
      <c r="S394" s="58">
        <f t="shared" si="93"/>
        <v>1241.439393939394</v>
      </c>
      <c r="T394" s="58">
        <f t="shared" si="94"/>
        <v>-106.06060606060601</v>
      </c>
      <c r="U394" s="60">
        <f t="shared" si="95"/>
        <v>1.9309210526315792</v>
      </c>
      <c r="V394" s="60">
        <f t="shared" si="96"/>
        <v>1.5401315789473686</v>
      </c>
      <c r="W394" s="60">
        <f t="shared" si="97"/>
        <v>-0.13157894736842099</v>
      </c>
      <c r="X394" s="61"/>
      <c r="Y394" s="1"/>
      <c r="Z394" s="1"/>
    </row>
    <row r="395" spans="1:26" ht="15.75" customHeight="1">
      <c r="A395" s="54"/>
      <c r="B395" s="125"/>
      <c r="C395" s="33"/>
      <c r="D395" s="55" t="s">
        <v>1163</v>
      </c>
      <c r="E395" s="55" t="s">
        <v>607</v>
      </c>
      <c r="F395" s="56"/>
      <c r="G395" s="57" t="s">
        <v>1677</v>
      </c>
      <c r="H395" s="58">
        <v>18000</v>
      </c>
      <c r="I395" s="58">
        <f t="shared" si="84"/>
        <v>16800</v>
      </c>
      <c r="J395" s="58">
        <f t="shared" si="85"/>
        <v>487.87878787878782</v>
      </c>
      <c r="K395" s="58">
        <v>1400</v>
      </c>
      <c r="L395" s="59">
        <f t="shared" si="86"/>
        <v>1650</v>
      </c>
      <c r="M395" s="58">
        <f t="shared" si="87"/>
        <v>1162.5</v>
      </c>
      <c r="N395" s="58">
        <f t="shared" si="88"/>
        <v>1007.5</v>
      </c>
      <c r="O395" s="58">
        <f t="shared" si="89"/>
        <v>850</v>
      </c>
      <c r="P395" s="58">
        <f t="shared" si="90"/>
        <v>1168.1818181818182</v>
      </c>
      <c r="Q395" s="60">
        <f t="shared" si="91"/>
        <v>3.0595238095238098</v>
      </c>
      <c r="R395" s="58">
        <f t="shared" si="92"/>
        <v>630.68181818181824</v>
      </c>
      <c r="S395" s="58">
        <f t="shared" si="93"/>
        <v>495.68181818181819</v>
      </c>
      <c r="T395" s="58">
        <f t="shared" si="94"/>
        <v>418.18181818181819</v>
      </c>
      <c r="U395" s="60">
        <f t="shared" si="95"/>
        <v>1.6517857142857144</v>
      </c>
      <c r="V395" s="60">
        <f t="shared" si="96"/>
        <v>1.2982142857142858</v>
      </c>
      <c r="W395" s="60">
        <f t="shared" si="97"/>
        <v>1.0952380952380953</v>
      </c>
      <c r="X395" s="61"/>
      <c r="Y395" s="1"/>
      <c r="Z395" s="1"/>
    </row>
    <row r="396" spans="1:26" ht="15.75" customHeight="1">
      <c r="A396" s="54"/>
      <c r="B396" s="160" t="s">
        <v>66</v>
      </c>
      <c r="C396" s="33"/>
      <c r="D396" s="55" t="s">
        <v>1678</v>
      </c>
      <c r="E396" s="55" t="s">
        <v>1679</v>
      </c>
      <c r="F396" s="56"/>
      <c r="G396" s="57" t="s">
        <v>1680</v>
      </c>
      <c r="H396" s="58">
        <v>20000</v>
      </c>
      <c r="I396" s="58">
        <f t="shared" si="84"/>
        <v>12600</v>
      </c>
      <c r="J396" s="58">
        <f t="shared" si="85"/>
        <v>509.09090909090907</v>
      </c>
      <c r="K396" s="58">
        <v>1450</v>
      </c>
      <c r="L396" s="59">
        <f t="shared" si="86"/>
        <v>1350</v>
      </c>
      <c r="M396" s="58">
        <f t="shared" si="87"/>
        <v>1237.5</v>
      </c>
      <c r="N396" s="58">
        <f t="shared" si="88"/>
        <v>1072.5</v>
      </c>
      <c r="O396" s="58">
        <f t="shared" si="89"/>
        <v>700</v>
      </c>
      <c r="P396" s="58">
        <f t="shared" si="90"/>
        <v>1162.1212121212122</v>
      </c>
      <c r="Q396" s="60">
        <f t="shared" si="91"/>
        <v>2.3819875776397521</v>
      </c>
      <c r="R396" s="58">
        <f t="shared" si="92"/>
        <v>674.62121212121224</v>
      </c>
      <c r="S396" s="58">
        <f t="shared" si="93"/>
        <v>519.62121212121224</v>
      </c>
      <c r="T396" s="58">
        <f t="shared" si="94"/>
        <v>362.12121212121218</v>
      </c>
      <c r="U396" s="60">
        <f t="shared" si="95"/>
        <v>1.3827639751552798</v>
      </c>
      <c r="V396" s="60">
        <f t="shared" si="96"/>
        <v>1.0650621118012427</v>
      </c>
      <c r="W396" s="60">
        <f t="shared" si="97"/>
        <v>0.74223602484472073</v>
      </c>
      <c r="X396" s="61"/>
      <c r="Y396" s="1"/>
      <c r="Z396" s="1"/>
    </row>
    <row r="397" spans="1:26" ht="15.75" customHeight="1">
      <c r="A397" s="54"/>
      <c r="B397" s="162"/>
      <c r="C397" s="33"/>
      <c r="D397" s="55" t="s">
        <v>1681</v>
      </c>
      <c r="E397" s="55" t="s">
        <v>607</v>
      </c>
      <c r="F397" s="56"/>
      <c r="G397" s="57" t="s">
        <v>1682</v>
      </c>
      <c r="H397" s="58">
        <v>18000</v>
      </c>
      <c r="I397" s="58">
        <f t="shared" si="84"/>
        <v>14000</v>
      </c>
      <c r="J397" s="58">
        <f t="shared" si="85"/>
        <v>381.81818181818181</v>
      </c>
      <c r="K397" s="58">
        <v>1450</v>
      </c>
      <c r="L397" s="59">
        <f t="shared" si="86"/>
        <v>1400</v>
      </c>
      <c r="M397" s="58">
        <f t="shared" si="87"/>
        <v>1012.5</v>
      </c>
      <c r="N397" s="58">
        <f t="shared" si="88"/>
        <v>877.5</v>
      </c>
      <c r="O397" s="58">
        <f t="shared" si="89"/>
        <v>725</v>
      </c>
      <c r="P397" s="58">
        <f t="shared" si="90"/>
        <v>840.90909090909099</v>
      </c>
      <c r="Q397" s="60">
        <f t="shared" si="91"/>
        <v>1.6517857142857146</v>
      </c>
      <c r="R397" s="58">
        <f t="shared" si="92"/>
        <v>728.40909090909099</v>
      </c>
      <c r="S397" s="58">
        <f t="shared" si="93"/>
        <v>563.40909090909099</v>
      </c>
      <c r="T397" s="58">
        <f t="shared" si="94"/>
        <v>190.90909090909093</v>
      </c>
      <c r="U397" s="60">
        <f t="shared" si="95"/>
        <v>1.4308035714285716</v>
      </c>
      <c r="V397" s="60">
        <f t="shared" si="96"/>
        <v>1.1066964285714287</v>
      </c>
      <c r="W397" s="60">
        <f t="shared" si="97"/>
        <v>0.37500000000000006</v>
      </c>
      <c r="X397" s="61"/>
      <c r="Y397" s="1"/>
      <c r="Z397" s="1"/>
    </row>
    <row r="398" spans="1:26" ht="15.75" customHeight="1">
      <c r="A398" s="54"/>
      <c r="B398" s="161"/>
      <c r="C398" s="33"/>
      <c r="D398" s="55" t="s">
        <v>1683</v>
      </c>
      <c r="E398" s="55" t="s">
        <v>607</v>
      </c>
      <c r="F398" s="56"/>
      <c r="G398" s="57" t="s">
        <v>1684</v>
      </c>
      <c r="H398" s="58">
        <v>18000</v>
      </c>
      <c r="I398" s="58">
        <f t="shared" si="84"/>
        <v>12600</v>
      </c>
      <c r="J398" s="58">
        <f t="shared" si="85"/>
        <v>424.24242424242425</v>
      </c>
      <c r="K398" s="58">
        <v>1450</v>
      </c>
      <c r="L398" s="59">
        <f t="shared" si="86"/>
        <v>1400</v>
      </c>
      <c r="M398" s="58">
        <f t="shared" si="87"/>
        <v>1050</v>
      </c>
      <c r="N398" s="58">
        <f t="shared" si="88"/>
        <v>910</v>
      </c>
      <c r="O398" s="58">
        <f t="shared" si="89"/>
        <v>725</v>
      </c>
      <c r="P398" s="58">
        <f t="shared" si="90"/>
        <v>1018.1818181818182</v>
      </c>
      <c r="Q398" s="60">
        <f t="shared" si="91"/>
        <v>2.666666666666667</v>
      </c>
      <c r="R398" s="58">
        <f t="shared" si="92"/>
        <v>630.68181818181824</v>
      </c>
      <c r="S398" s="58">
        <f t="shared" si="93"/>
        <v>495.68181818181819</v>
      </c>
      <c r="T398" s="58">
        <f t="shared" si="94"/>
        <v>343.18181818181819</v>
      </c>
      <c r="U398" s="60">
        <f t="shared" si="95"/>
        <v>1.6517857142857144</v>
      </c>
      <c r="V398" s="60">
        <f t="shared" si="96"/>
        <v>1.2982142857142858</v>
      </c>
      <c r="W398" s="60">
        <f t="shared" si="97"/>
        <v>0.89880952380952384</v>
      </c>
      <c r="X398" s="61"/>
      <c r="Y398" s="1"/>
      <c r="Z398" s="1"/>
    </row>
    <row r="399" spans="1:26" ht="15.75" customHeight="1">
      <c r="A399" s="54"/>
      <c r="B399" s="161"/>
      <c r="C399" s="33"/>
      <c r="D399" s="55" t="s">
        <v>1683</v>
      </c>
      <c r="E399" s="55" t="s">
        <v>607</v>
      </c>
      <c r="F399" s="56"/>
      <c r="G399" s="57" t="s">
        <v>1685</v>
      </c>
      <c r="H399" s="58">
        <v>20000</v>
      </c>
      <c r="I399" s="58">
        <f t="shared" si="84"/>
        <v>12600</v>
      </c>
      <c r="J399" s="58">
        <f t="shared" si="85"/>
        <v>381.81818181818181</v>
      </c>
      <c r="K399" s="58">
        <v>1450</v>
      </c>
      <c r="L399" s="59">
        <f t="shared" si="86"/>
        <v>1400</v>
      </c>
      <c r="M399" s="58">
        <f t="shared" si="87"/>
        <v>1050</v>
      </c>
      <c r="N399" s="58">
        <f t="shared" si="88"/>
        <v>910</v>
      </c>
      <c r="O399" s="58">
        <f t="shared" si="89"/>
        <v>725</v>
      </c>
      <c r="P399" s="58">
        <f t="shared" si="90"/>
        <v>975.75757575757575</v>
      </c>
      <c r="Q399" s="60">
        <f t="shared" si="91"/>
        <v>2.2999999999999998</v>
      </c>
      <c r="R399" s="58">
        <f t="shared" si="92"/>
        <v>625.75757575757575</v>
      </c>
      <c r="S399" s="58">
        <f t="shared" si="93"/>
        <v>485.75757575757575</v>
      </c>
      <c r="T399" s="58">
        <f t="shared" si="94"/>
        <v>300.75757575757575</v>
      </c>
      <c r="U399" s="60">
        <f t="shared" si="95"/>
        <v>1.4749999999999999</v>
      </c>
      <c r="V399" s="60">
        <f t="shared" si="96"/>
        <v>1.145</v>
      </c>
      <c r="W399" s="60">
        <f t="shared" si="97"/>
        <v>0.70892857142857135</v>
      </c>
      <c r="X399" s="61"/>
      <c r="Y399" s="1"/>
      <c r="Z399" s="1"/>
    </row>
    <row r="400" spans="1:26" ht="15.75" customHeight="1">
      <c r="A400" s="54"/>
      <c r="B400" s="162"/>
      <c r="C400" s="33"/>
      <c r="D400" s="55" t="s">
        <v>1686</v>
      </c>
      <c r="E400" s="55" t="s">
        <v>68</v>
      </c>
      <c r="F400" s="56"/>
      <c r="G400" s="57" t="s">
        <v>1687</v>
      </c>
      <c r="H400" s="58">
        <v>18000</v>
      </c>
      <c r="I400" s="58">
        <f t="shared" si="84"/>
        <v>14000</v>
      </c>
      <c r="J400" s="58">
        <f t="shared" si="85"/>
        <v>381.81818181818181</v>
      </c>
      <c r="K400" s="58">
        <v>1400</v>
      </c>
      <c r="L400" s="59">
        <f t="shared" si="86"/>
        <v>1400</v>
      </c>
      <c r="M400" s="58">
        <f t="shared" si="87"/>
        <v>1050</v>
      </c>
      <c r="N400" s="58">
        <f t="shared" si="88"/>
        <v>910</v>
      </c>
      <c r="O400" s="58">
        <f t="shared" si="89"/>
        <v>725</v>
      </c>
      <c r="P400" s="58">
        <f t="shared" si="90"/>
        <v>1018.1818181818182</v>
      </c>
      <c r="Q400" s="60">
        <f t="shared" si="91"/>
        <v>2.666666666666667</v>
      </c>
      <c r="R400" s="58">
        <f t="shared" si="92"/>
        <v>668.18181818181824</v>
      </c>
      <c r="S400" s="58">
        <f t="shared" si="93"/>
        <v>528.18181818181824</v>
      </c>
      <c r="T400" s="58">
        <f t="shared" si="94"/>
        <v>343.18181818181819</v>
      </c>
      <c r="U400" s="60">
        <f t="shared" si="95"/>
        <v>1.7500000000000002</v>
      </c>
      <c r="V400" s="60">
        <f t="shared" si="96"/>
        <v>1.3833333333333335</v>
      </c>
      <c r="W400" s="60">
        <f t="shared" si="97"/>
        <v>0.89880952380952384</v>
      </c>
      <c r="X400" s="61"/>
      <c r="Y400" s="1"/>
      <c r="Z400" s="1"/>
    </row>
    <row r="401" spans="1:26" ht="15.75" customHeight="1">
      <c r="A401" s="54"/>
      <c r="B401" s="162"/>
      <c r="C401" s="33"/>
      <c r="D401" s="55" t="s">
        <v>1688</v>
      </c>
      <c r="E401" s="55" t="s">
        <v>607</v>
      </c>
      <c r="F401" s="56"/>
      <c r="G401" s="57" t="s">
        <v>1689</v>
      </c>
      <c r="H401" s="58">
        <v>20000</v>
      </c>
      <c r="I401" s="58">
        <f t="shared" si="84"/>
        <v>12600</v>
      </c>
      <c r="J401" s="58">
        <f t="shared" si="85"/>
        <v>424.24242424242425</v>
      </c>
      <c r="K401" s="58">
        <v>1400</v>
      </c>
      <c r="L401" s="59">
        <f t="shared" si="86"/>
        <v>1350</v>
      </c>
      <c r="M401" s="58">
        <f t="shared" si="87"/>
        <v>1050</v>
      </c>
      <c r="N401" s="58">
        <f t="shared" si="88"/>
        <v>910</v>
      </c>
      <c r="O401" s="58">
        <f t="shared" si="89"/>
        <v>700</v>
      </c>
      <c r="P401" s="58">
        <f t="shared" si="90"/>
        <v>1018.1818181818182</v>
      </c>
      <c r="Q401" s="60">
        <f t="shared" si="91"/>
        <v>2.666666666666667</v>
      </c>
      <c r="R401" s="58">
        <f t="shared" si="92"/>
        <v>668.18181818181824</v>
      </c>
      <c r="S401" s="58">
        <f t="shared" si="93"/>
        <v>528.18181818181824</v>
      </c>
      <c r="T401" s="58">
        <f t="shared" si="94"/>
        <v>343.18181818181819</v>
      </c>
      <c r="U401" s="60">
        <f t="shared" si="95"/>
        <v>1.7500000000000002</v>
      </c>
      <c r="V401" s="60">
        <f t="shared" si="96"/>
        <v>1.3833333333333335</v>
      </c>
      <c r="W401" s="60">
        <f t="shared" si="97"/>
        <v>0.89880952380952384</v>
      </c>
      <c r="X401" s="61"/>
      <c r="Y401" s="1"/>
      <c r="Z401" s="1"/>
    </row>
    <row r="402" spans="1:26" ht="15.75" customHeight="1">
      <c r="A402" s="54"/>
      <c r="B402" s="161"/>
      <c r="C402" s="33"/>
      <c r="D402" s="55" t="s">
        <v>775</v>
      </c>
      <c r="E402" s="55" t="s">
        <v>607</v>
      </c>
      <c r="F402" s="56"/>
      <c r="G402" s="57" t="s">
        <v>1690</v>
      </c>
      <c r="H402" s="58">
        <v>18000</v>
      </c>
      <c r="I402" s="58">
        <f t="shared" si="84"/>
        <v>14000</v>
      </c>
      <c r="J402" s="58">
        <f t="shared" si="85"/>
        <v>381.81818181818181</v>
      </c>
      <c r="K402" s="58">
        <v>1400</v>
      </c>
      <c r="L402" s="59">
        <f t="shared" si="86"/>
        <v>1350</v>
      </c>
      <c r="M402" s="58">
        <f t="shared" si="87"/>
        <v>1012.5</v>
      </c>
      <c r="N402" s="58">
        <f t="shared" si="88"/>
        <v>877.5</v>
      </c>
      <c r="O402" s="58">
        <f t="shared" si="89"/>
        <v>700</v>
      </c>
      <c r="P402" s="58">
        <f t="shared" si="90"/>
        <v>925.75757575757575</v>
      </c>
      <c r="Q402" s="60">
        <f t="shared" si="91"/>
        <v>2.1821428571428569</v>
      </c>
      <c r="R402" s="58">
        <f t="shared" si="92"/>
        <v>625.75757575757575</v>
      </c>
      <c r="S402" s="58">
        <f t="shared" si="93"/>
        <v>485.75757575757575</v>
      </c>
      <c r="T402" s="58">
        <f t="shared" si="94"/>
        <v>275.75757575757575</v>
      </c>
      <c r="U402" s="60">
        <f t="shared" si="95"/>
        <v>1.4749999999999999</v>
      </c>
      <c r="V402" s="60">
        <f t="shared" si="96"/>
        <v>1.145</v>
      </c>
      <c r="W402" s="60">
        <f t="shared" si="97"/>
        <v>0.65</v>
      </c>
      <c r="X402" s="61"/>
      <c r="Y402" s="1"/>
      <c r="Z402" s="1"/>
    </row>
    <row r="403" spans="1:26" ht="15.75" customHeight="1">
      <c r="A403" s="54"/>
      <c r="B403" s="125"/>
      <c r="C403" s="33"/>
      <c r="D403" s="55" t="s">
        <v>1691</v>
      </c>
      <c r="E403" s="55" t="s">
        <v>607</v>
      </c>
      <c r="F403" s="56"/>
      <c r="G403" s="57" t="s">
        <v>1692</v>
      </c>
      <c r="H403" s="58">
        <v>18000</v>
      </c>
      <c r="I403" s="58">
        <f t="shared" si="84"/>
        <v>12600</v>
      </c>
      <c r="J403" s="58">
        <f t="shared" si="85"/>
        <v>424.24242424242425</v>
      </c>
      <c r="K403" s="58">
        <v>1400</v>
      </c>
      <c r="L403" s="59">
        <f t="shared" si="86"/>
        <v>1350</v>
      </c>
      <c r="M403" s="58">
        <f t="shared" si="87"/>
        <v>1012.5</v>
      </c>
      <c r="N403" s="58">
        <f t="shared" si="88"/>
        <v>877.5</v>
      </c>
      <c r="O403" s="58">
        <f t="shared" si="89"/>
        <v>700</v>
      </c>
      <c r="P403" s="58">
        <f t="shared" si="90"/>
        <v>968.18181818181824</v>
      </c>
      <c r="Q403" s="60">
        <f t="shared" si="91"/>
        <v>2.535714285714286</v>
      </c>
      <c r="R403" s="58">
        <f t="shared" si="92"/>
        <v>630.68181818181824</v>
      </c>
      <c r="S403" s="58">
        <f t="shared" si="93"/>
        <v>495.68181818181819</v>
      </c>
      <c r="T403" s="58">
        <f t="shared" si="94"/>
        <v>318.18181818181819</v>
      </c>
      <c r="U403" s="60">
        <f t="shared" si="95"/>
        <v>1.6517857142857144</v>
      </c>
      <c r="V403" s="60">
        <f t="shared" si="96"/>
        <v>1.2982142857142858</v>
      </c>
      <c r="W403" s="60">
        <f t="shared" si="97"/>
        <v>0.83333333333333337</v>
      </c>
      <c r="X403" s="61"/>
      <c r="Y403" s="1"/>
      <c r="Z403" s="1"/>
    </row>
    <row r="404" spans="1:26" ht="15.75" customHeight="1">
      <c r="A404" s="54"/>
      <c r="B404" s="75" t="s">
        <v>217</v>
      </c>
      <c r="C404" s="33"/>
      <c r="D404" s="55" t="s">
        <v>1693</v>
      </c>
      <c r="E404" s="55" t="s">
        <v>607</v>
      </c>
      <c r="F404" s="56"/>
      <c r="G404" s="57" t="s">
        <v>1694</v>
      </c>
      <c r="H404" s="58">
        <v>15000</v>
      </c>
      <c r="I404" s="58">
        <f t="shared" si="84"/>
        <v>12600</v>
      </c>
      <c r="J404" s="58">
        <f t="shared" si="85"/>
        <v>381.81818181818181</v>
      </c>
      <c r="K404" s="58">
        <v>1300</v>
      </c>
      <c r="L404" s="59">
        <f t="shared" si="86"/>
        <v>1350</v>
      </c>
      <c r="M404" s="58">
        <f t="shared" si="87"/>
        <v>1012.5</v>
      </c>
      <c r="N404" s="58">
        <f t="shared" si="88"/>
        <v>877.5</v>
      </c>
      <c r="O404" s="58">
        <f t="shared" si="89"/>
        <v>700</v>
      </c>
      <c r="P404" s="58">
        <f t="shared" si="90"/>
        <v>925.75757575757575</v>
      </c>
      <c r="Q404" s="60">
        <f t="shared" si="91"/>
        <v>2.1821428571428569</v>
      </c>
      <c r="R404" s="58">
        <f t="shared" si="92"/>
        <v>588.25757575757575</v>
      </c>
      <c r="S404" s="58">
        <f t="shared" si="93"/>
        <v>453.25757575757575</v>
      </c>
      <c r="T404" s="58">
        <f t="shared" si="94"/>
        <v>275.75757575757575</v>
      </c>
      <c r="U404" s="60">
        <f t="shared" si="95"/>
        <v>1.3866071428571429</v>
      </c>
      <c r="V404" s="60">
        <f t="shared" si="96"/>
        <v>1.0683928571428571</v>
      </c>
      <c r="W404" s="60">
        <f t="shared" si="97"/>
        <v>0.65</v>
      </c>
      <c r="X404" s="61"/>
      <c r="Y404" s="1"/>
      <c r="Z404" s="1"/>
    </row>
    <row r="405" spans="1:26" ht="15.75" customHeight="1">
      <c r="A405" s="54"/>
      <c r="B405" s="160" t="s">
        <v>1409</v>
      </c>
      <c r="C405" s="33"/>
      <c r="D405" s="55" t="s">
        <v>1410</v>
      </c>
      <c r="E405" s="55" t="s">
        <v>68</v>
      </c>
      <c r="F405" s="56"/>
      <c r="G405" s="57" t="s">
        <v>1695</v>
      </c>
      <c r="H405" s="58">
        <v>28000</v>
      </c>
      <c r="I405" s="58">
        <f t="shared" si="84"/>
        <v>10500</v>
      </c>
      <c r="J405" s="58">
        <f t="shared" si="85"/>
        <v>381.81818181818181</v>
      </c>
      <c r="K405" s="58">
        <v>1800</v>
      </c>
      <c r="L405" s="59">
        <f t="shared" si="86"/>
        <v>1250</v>
      </c>
      <c r="M405" s="58">
        <f t="shared" si="87"/>
        <v>1012.5</v>
      </c>
      <c r="N405" s="58">
        <f t="shared" si="88"/>
        <v>877.5</v>
      </c>
      <c r="O405" s="58">
        <f t="shared" si="89"/>
        <v>650</v>
      </c>
      <c r="P405" s="58">
        <f t="shared" si="90"/>
        <v>968.18181818181824</v>
      </c>
      <c r="Q405" s="60">
        <f t="shared" si="91"/>
        <v>2.535714285714286</v>
      </c>
      <c r="R405" s="58">
        <f t="shared" si="92"/>
        <v>630.68181818181824</v>
      </c>
      <c r="S405" s="58">
        <f t="shared" si="93"/>
        <v>495.68181818181819</v>
      </c>
      <c r="T405" s="58">
        <f t="shared" si="94"/>
        <v>318.18181818181819</v>
      </c>
      <c r="U405" s="60">
        <f t="shared" si="95"/>
        <v>1.6517857142857144</v>
      </c>
      <c r="V405" s="60">
        <f t="shared" si="96"/>
        <v>1.2982142857142858</v>
      </c>
      <c r="W405" s="60">
        <f t="shared" si="97"/>
        <v>0.83333333333333337</v>
      </c>
      <c r="X405" s="61"/>
      <c r="Y405" s="1"/>
      <c r="Z405" s="1"/>
    </row>
    <row r="406" spans="1:26" ht="15.75" customHeight="1">
      <c r="A406" s="97" t="s">
        <v>1696</v>
      </c>
      <c r="B406" s="161"/>
      <c r="C406" s="43"/>
      <c r="D406" s="55" t="s">
        <v>1436</v>
      </c>
      <c r="E406" s="76" t="s">
        <v>1697</v>
      </c>
      <c r="F406" s="56"/>
      <c r="G406" s="57" t="s">
        <v>1698</v>
      </c>
      <c r="H406" s="58">
        <v>18000</v>
      </c>
      <c r="I406" s="58">
        <f t="shared" si="84"/>
        <v>19600</v>
      </c>
      <c r="J406" s="58">
        <f t="shared" si="85"/>
        <v>318.18181818181819</v>
      </c>
      <c r="K406" s="58">
        <v>1850</v>
      </c>
      <c r="L406" s="59">
        <f t="shared" si="86"/>
        <v>1750</v>
      </c>
      <c r="M406" s="58">
        <f t="shared" si="87"/>
        <v>937.5</v>
      </c>
      <c r="N406" s="58">
        <f t="shared" si="88"/>
        <v>812.5</v>
      </c>
      <c r="O406" s="58">
        <f t="shared" si="89"/>
        <v>900</v>
      </c>
      <c r="P406" s="58">
        <f t="shared" si="90"/>
        <v>868.18181818181824</v>
      </c>
      <c r="Q406" s="60">
        <f t="shared" si="91"/>
        <v>2.2738095238095242</v>
      </c>
      <c r="R406" s="58">
        <f t="shared" si="92"/>
        <v>630.68181818181824</v>
      </c>
      <c r="S406" s="58">
        <f t="shared" si="93"/>
        <v>495.68181818181819</v>
      </c>
      <c r="T406" s="58">
        <f t="shared" si="94"/>
        <v>268.18181818181819</v>
      </c>
      <c r="U406" s="60">
        <f t="shared" si="95"/>
        <v>1.6517857142857144</v>
      </c>
      <c r="V406" s="60">
        <f t="shared" si="96"/>
        <v>1.2982142857142858</v>
      </c>
      <c r="W406" s="60">
        <f t="shared" si="97"/>
        <v>0.70238095238095244</v>
      </c>
      <c r="X406" s="61"/>
      <c r="Y406" s="1"/>
      <c r="Z406" s="1"/>
    </row>
    <row r="407" spans="1:26" ht="15.75" customHeight="1">
      <c r="A407" s="54"/>
      <c r="B407" s="161"/>
      <c r="C407" s="33"/>
      <c r="D407" s="55" t="s">
        <v>1699</v>
      </c>
      <c r="E407" s="76" t="s">
        <v>1697</v>
      </c>
      <c r="F407" s="56"/>
      <c r="G407" s="57"/>
      <c r="H407" s="58">
        <v>18000</v>
      </c>
      <c r="I407" s="58">
        <f t="shared" si="84"/>
        <v>12600</v>
      </c>
      <c r="J407" s="58">
        <f t="shared" si="85"/>
        <v>593.93939393939399</v>
      </c>
      <c r="K407" s="58">
        <v>1850</v>
      </c>
      <c r="L407" s="59">
        <f t="shared" si="86"/>
        <v>1800</v>
      </c>
      <c r="M407" s="58">
        <f t="shared" si="87"/>
        <v>1312.5</v>
      </c>
      <c r="N407" s="58">
        <f t="shared" si="88"/>
        <v>1137.5</v>
      </c>
      <c r="O407" s="58">
        <f t="shared" si="89"/>
        <v>925</v>
      </c>
      <c r="P407" s="58">
        <f t="shared" si="90"/>
        <v>1431.8181818181818</v>
      </c>
      <c r="Q407" s="60">
        <f t="shared" si="91"/>
        <v>4.5</v>
      </c>
      <c r="R407" s="58">
        <f t="shared" si="92"/>
        <v>619.31818181818176</v>
      </c>
      <c r="S407" s="58">
        <f t="shared" si="93"/>
        <v>494.31818181818181</v>
      </c>
      <c r="T407" s="58">
        <f t="shared" si="94"/>
        <v>581.81818181818176</v>
      </c>
      <c r="U407" s="60">
        <f t="shared" si="95"/>
        <v>1.9464285714285712</v>
      </c>
      <c r="V407" s="60">
        <f t="shared" si="96"/>
        <v>1.5535714285714286</v>
      </c>
      <c r="W407" s="60">
        <f t="shared" si="97"/>
        <v>1.8285714285714283</v>
      </c>
      <c r="X407" s="61"/>
      <c r="Y407" s="1"/>
      <c r="Z407" s="1"/>
    </row>
    <row r="408" spans="1:26" ht="15.75" customHeight="1">
      <c r="A408" s="54"/>
      <c r="B408" s="161"/>
      <c r="C408" s="33"/>
      <c r="D408" s="55" t="s">
        <v>1700</v>
      </c>
      <c r="E408" s="76" t="s">
        <v>1697</v>
      </c>
      <c r="F408" s="56"/>
      <c r="G408" s="57" t="s">
        <v>1701</v>
      </c>
      <c r="H408" s="58">
        <v>18000</v>
      </c>
      <c r="I408" s="58">
        <f t="shared" si="84"/>
        <v>12600</v>
      </c>
      <c r="J408" s="58">
        <f t="shared" si="85"/>
        <v>381.81818181818181</v>
      </c>
      <c r="K408" s="58">
        <v>1850</v>
      </c>
      <c r="L408" s="59">
        <f t="shared" si="86"/>
        <v>1800</v>
      </c>
      <c r="M408" s="58">
        <f t="shared" si="87"/>
        <v>1350</v>
      </c>
      <c r="N408" s="58">
        <f t="shared" si="88"/>
        <v>1170</v>
      </c>
      <c r="O408" s="58">
        <f t="shared" si="89"/>
        <v>925</v>
      </c>
      <c r="P408" s="58">
        <f t="shared" si="90"/>
        <v>1206.060606060606</v>
      </c>
      <c r="Q408" s="60">
        <f t="shared" si="91"/>
        <v>2.0306122448979589</v>
      </c>
      <c r="R408" s="58">
        <f t="shared" si="92"/>
        <v>718.56060606060601</v>
      </c>
      <c r="S408" s="58">
        <f t="shared" si="93"/>
        <v>543.56060606060601</v>
      </c>
      <c r="T408" s="58">
        <f t="shared" si="94"/>
        <v>331.06060606060601</v>
      </c>
      <c r="U408" s="60">
        <f t="shared" si="95"/>
        <v>1.2098214285714284</v>
      </c>
      <c r="V408" s="60">
        <f t="shared" si="96"/>
        <v>0.91517857142857129</v>
      </c>
      <c r="W408" s="60">
        <f t="shared" si="97"/>
        <v>0.5573979591836733</v>
      </c>
      <c r="X408" s="61"/>
      <c r="Y408" s="1"/>
      <c r="Z408" s="1"/>
    </row>
    <row r="409" spans="1:26" ht="15.75" customHeight="1">
      <c r="A409" s="54"/>
      <c r="B409" s="125"/>
      <c r="C409" s="33"/>
      <c r="D409" s="55" t="s">
        <v>251</v>
      </c>
      <c r="E409" s="76" t="s">
        <v>1697</v>
      </c>
      <c r="F409" s="56"/>
      <c r="G409" s="57" t="s">
        <v>1702</v>
      </c>
      <c r="H409" s="58">
        <v>18000</v>
      </c>
      <c r="I409" s="58">
        <f t="shared" si="84"/>
        <v>12600</v>
      </c>
      <c r="J409" s="58">
        <f t="shared" si="85"/>
        <v>381.81818181818181</v>
      </c>
      <c r="K409" s="58">
        <v>1850</v>
      </c>
      <c r="L409" s="59">
        <f t="shared" si="86"/>
        <v>1800</v>
      </c>
      <c r="M409" s="58">
        <f t="shared" si="87"/>
        <v>1350</v>
      </c>
      <c r="N409" s="58">
        <f t="shared" si="88"/>
        <v>1170</v>
      </c>
      <c r="O409" s="58">
        <f t="shared" si="89"/>
        <v>925</v>
      </c>
      <c r="P409" s="58">
        <f t="shared" si="90"/>
        <v>1418.1818181818182</v>
      </c>
      <c r="Q409" s="60">
        <f t="shared" si="91"/>
        <v>3.7142857142857144</v>
      </c>
      <c r="R409" s="58">
        <f t="shared" si="92"/>
        <v>968.18181818181824</v>
      </c>
      <c r="S409" s="58">
        <f t="shared" si="93"/>
        <v>788.18181818181824</v>
      </c>
      <c r="T409" s="58">
        <f t="shared" si="94"/>
        <v>543.18181818181824</v>
      </c>
      <c r="U409" s="60">
        <f t="shared" si="95"/>
        <v>2.535714285714286</v>
      </c>
      <c r="V409" s="60">
        <f t="shared" si="96"/>
        <v>2.0642857142857145</v>
      </c>
      <c r="W409" s="60">
        <f t="shared" si="97"/>
        <v>1.4226190476190479</v>
      </c>
      <c r="X409" s="61" t="s">
        <v>47</v>
      </c>
      <c r="Y409" s="1"/>
      <c r="Z409" s="1"/>
    </row>
    <row r="410" spans="1:26" ht="15.75" customHeight="1">
      <c r="A410" s="54"/>
      <c r="B410" s="75" t="s">
        <v>388</v>
      </c>
      <c r="C410" s="33"/>
      <c r="D410" s="55" t="s">
        <v>1703</v>
      </c>
      <c r="E410" s="76" t="s">
        <v>1697</v>
      </c>
      <c r="F410" s="56"/>
      <c r="G410" s="57" t="s">
        <v>1704</v>
      </c>
      <c r="H410" s="58">
        <v>18000</v>
      </c>
      <c r="I410" s="58">
        <f t="shared" si="84"/>
        <v>12600</v>
      </c>
      <c r="J410" s="58">
        <f t="shared" si="85"/>
        <v>381.81818181818181</v>
      </c>
      <c r="K410" s="58">
        <v>1850</v>
      </c>
      <c r="L410" s="59">
        <f t="shared" si="86"/>
        <v>1800</v>
      </c>
      <c r="M410" s="58">
        <f t="shared" si="87"/>
        <v>1350</v>
      </c>
      <c r="N410" s="58">
        <f t="shared" si="88"/>
        <v>1170</v>
      </c>
      <c r="O410" s="58">
        <f t="shared" si="89"/>
        <v>925</v>
      </c>
      <c r="P410" s="58">
        <f t="shared" si="90"/>
        <v>1418.1818181818182</v>
      </c>
      <c r="Q410" s="60">
        <f t="shared" si="91"/>
        <v>3.7142857142857144</v>
      </c>
      <c r="R410" s="58">
        <f t="shared" si="92"/>
        <v>968.18181818181824</v>
      </c>
      <c r="S410" s="58">
        <f t="shared" si="93"/>
        <v>788.18181818181824</v>
      </c>
      <c r="T410" s="58">
        <f t="shared" si="94"/>
        <v>543.18181818181824</v>
      </c>
      <c r="U410" s="60">
        <f t="shared" si="95"/>
        <v>2.535714285714286</v>
      </c>
      <c r="V410" s="60">
        <f t="shared" si="96"/>
        <v>2.0642857142857145</v>
      </c>
      <c r="W410" s="60">
        <f t="shared" si="97"/>
        <v>1.4226190476190479</v>
      </c>
      <c r="X410" s="61"/>
      <c r="Y410" s="1"/>
      <c r="Z410" s="1"/>
    </row>
    <row r="411" spans="1:26" ht="15.75" customHeight="1">
      <c r="A411" s="86"/>
      <c r="B411" s="75" t="s">
        <v>1390</v>
      </c>
      <c r="C411" s="69"/>
      <c r="D411" s="55" t="s">
        <v>1705</v>
      </c>
      <c r="E411" s="76" t="s">
        <v>1697</v>
      </c>
      <c r="F411" s="56"/>
      <c r="G411" s="57" t="s">
        <v>1706</v>
      </c>
      <c r="H411" s="58">
        <v>18000</v>
      </c>
      <c r="I411" s="58">
        <f t="shared" si="84"/>
        <v>12600</v>
      </c>
      <c r="J411" s="58">
        <f t="shared" si="85"/>
        <v>381.81818181818181</v>
      </c>
      <c r="K411" s="58">
        <v>1850</v>
      </c>
      <c r="L411" s="59">
        <f t="shared" si="86"/>
        <v>1800</v>
      </c>
      <c r="M411" s="58">
        <f t="shared" si="87"/>
        <v>1350</v>
      </c>
      <c r="N411" s="58">
        <f t="shared" si="88"/>
        <v>1170</v>
      </c>
      <c r="O411" s="58">
        <f t="shared" si="89"/>
        <v>925</v>
      </c>
      <c r="P411" s="58">
        <f t="shared" si="90"/>
        <v>1418.1818181818182</v>
      </c>
      <c r="Q411" s="60">
        <f t="shared" si="91"/>
        <v>3.7142857142857144</v>
      </c>
      <c r="R411" s="58">
        <f t="shared" si="92"/>
        <v>968.18181818181824</v>
      </c>
      <c r="S411" s="58">
        <f t="shared" si="93"/>
        <v>788.18181818181824</v>
      </c>
      <c r="T411" s="58">
        <f t="shared" si="94"/>
        <v>543.18181818181824</v>
      </c>
      <c r="U411" s="60">
        <f t="shared" si="95"/>
        <v>2.535714285714286</v>
      </c>
      <c r="V411" s="60">
        <f t="shared" si="96"/>
        <v>2.0642857142857145</v>
      </c>
      <c r="W411" s="60">
        <f t="shared" si="97"/>
        <v>1.4226190476190479</v>
      </c>
      <c r="X411" s="61"/>
      <c r="Y411" s="1"/>
      <c r="Z411" s="1"/>
    </row>
    <row r="412" spans="1:26" ht="15.75" customHeight="1">
      <c r="A412" s="98"/>
      <c r="B412" s="32"/>
      <c r="C412" s="33"/>
      <c r="D412" s="34"/>
      <c r="E412" s="99"/>
      <c r="F412" s="35"/>
      <c r="G412" s="36"/>
      <c r="H412" s="37"/>
      <c r="I412" s="37"/>
      <c r="J412" s="37"/>
      <c r="K412" s="37"/>
      <c r="L412" s="38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9"/>
      <c r="Y412" s="1"/>
      <c r="Z412" s="1"/>
    </row>
    <row r="413" spans="1:26" ht="15.75" customHeight="1">
      <c r="A413" s="98"/>
      <c r="B413" s="32"/>
      <c r="C413" s="33"/>
      <c r="D413" s="34"/>
      <c r="E413" s="34"/>
      <c r="F413" s="35"/>
      <c r="G413" s="36"/>
      <c r="H413" s="37"/>
      <c r="I413" s="37"/>
      <c r="J413" s="37"/>
      <c r="K413" s="37"/>
      <c r="L413" s="38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9"/>
      <c r="Y413" s="1"/>
      <c r="Z413" s="1"/>
    </row>
    <row r="414" spans="1:26" ht="15.75" customHeight="1">
      <c r="A414" s="98"/>
      <c r="B414" s="32"/>
      <c r="C414" s="33"/>
      <c r="D414" s="34"/>
      <c r="E414" s="34"/>
      <c r="F414" s="35"/>
      <c r="G414" s="36"/>
      <c r="H414" s="37"/>
      <c r="I414" s="37"/>
      <c r="J414" s="37"/>
      <c r="K414" s="37"/>
      <c r="L414" s="38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9"/>
      <c r="Y414" s="1"/>
      <c r="Z414" s="1"/>
    </row>
    <row r="415" spans="1:26" ht="15.75" customHeight="1">
      <c r="A415" s="98"/>
      <c r="B415" s="32"/>
      <c r="C415" s="33"/>
      <c r="D415" s="34"/>
      <c r="E415" s="34"/>
      <c r="F415" s="35"/>
      <c r="G415" s="36"/>
      <c r="H415" s="37"/>
      <c r="I415" s="37"/>
      <c r="J415" s="37"/>
      <c r="K415" s="37"/>
      <c r="L415" s="38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9"/>
      <c r="Y415" s="1"/>
      <c r="Z415" s="1"/>
    </row>
    <row r="416" spans="1:26" ht="15.75" customHeight="1">
      <c r="A416" s="98"/>
      <c r="B416" s="32"/>
      <c r="C416" s="33"/>
      <c r="D416" s="34"/>
      <c r="E416" s="34"/>
      <c r="F416" s="35"/>
      <c r="G416" s="36"/>
      <c r="H416" s="37"/>
      <c r="I416" s="37"/>
      <c r="J416" s="37"/>
      <c r="K416" s="37"/>
      <c r="L416" s="38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9"/>
      <c r="Y416" s="1"/>
      <c r="Z416" s="1"/>
    </row>
    <row r="417" spans="1:26" ht="15.75" customHeight="1">
      <c r="A417" s="98"/>
      <c r="B417" s="32"/>
      <c r="C417" s="33"/>
      <c r="D417" s="34"/>
      <c r="E417" s="34"/>
      <c r="F417" s="35"/>
      <c r="G417" s="36"/>
      <c r="H417" s="37"/>
      <c r="I417" s="37"/>
      <c r="J417" s="37"/>
      <c r="K417" s="37"/>
      <c r="L417" s="38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9"/>
      <c r="Y417" s="1"/>
      <c r="Z417" s="1"/>
    </row>
    <row r="418" spans="1:26" ht="15.75" customHeight="1">
      <c r="A418" s="98"/>
      <c r="B418" s="32"/>
      <c r="C418" s="33"/>
      <c r="D418" s="34"/>
      <c r="E418" s="34"/>
      <c r="F418" s="35"/>
      <c r="G418" s="36"/>
      <c r="H418" s="37"/>
      <c r="I418" s="37"/>
      <c r="J418" s="37"/>
      <c r="K418" s="37"/>
      <c r="L418" s="38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9"/>
      <c r="Y418" s="1"/>
      <c r="Z418" s="1"/>
    </row>
    <row r="419" spans="1:26" ht="15.75" customHeight="1">
      <c r="A419" s="98"/>
      <c r="B419" s="32"/>
      <c r="C419" s="33"/>
      <c r="D419" s="34"/>
      <c r="E419" s="34"/>
      <c r="F419" s="35"/>
      <c r="G419" s="36"/>
      <c r="H419" s="37"/>
      <c r="I419" s="37"/>
      <c r="J419" s="37"/>
      <c r="K419" s="37"/>
      <c r="L419" s="38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9"/>
      <c r="Y419" s="1"/>
      <c r="Z419" s="1"/>
    </row>
    <row r="420" spans="1:26" ht="15.75" customHeight="1">
      <c r="A420" s="98"/>
      <c r="B420" s="32"/>
      <c r="C420" s="33"/>
      <c r="D420" s="34"/>
      <c r="E420" s="34"/>
      <c r="F420" s="35"/>
      <c r="G420" s="36"/>
      <c r="H420" s="37"/>
      <c r="I420" s="37"/>
      <c r="J420" s="37"/>
      <c r="K420" s="37"/>
      <c r="L420" s="38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9"/>
      <c r="Y420" s="1"/>
      <c r="Z420" s="1"/>
    </row>
    <row r="421" spans="1:26" ht="15.75" customHeight="1">
      <c r="A421" s="98"/>
      <c r="B421" s="32"/>
      <c r="C421" s="33"/>
      <c r="D421" s="34"/>
      <c r="E421" s="34"/>
      <c r="F421" s="35"/>
      <c r="G421" s="36"/>
      <c r="H421" s="37"/>
      <c r="I421" s="37"/>
      <c r="J421" s="37"/>
      <c r="K421" s="37"/>
      <c r="L421" s="38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9"/>
      <c r="Y421" s="1"/>
      <c r="Z421" s="1"/>
    </row>
    <row r="422" spans="1:26" ht="15.75" customHeight="1">
      <c r="A422" s="98"/>
      <c r="B422" s="32"/>
      <c r="C422" s="33"/>
      <c r="D422" s="34"/>
      <c r="E422" s="34"/>
      <c r="F422" s="35"/>
      <c r="G422" s="36"/>
      <c r="H422" s="37"/>
      <c r="I422" s="37"/>
      <c r="J422" s="37"/>
      <c r="K422" s="37"/>
      <c r="L422" s="38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9"/>
      <c r="Y422" s="1"/>
      <c r="Z422" s="1"/>
    </row>
    <row r="423" spans="1:26" ht="15.75" customHeight="1">
      <c r="A423" s="98"/>
      <c r="B423" s="32"/>
      <c r="C423" s="33"/>
      <c r="D423" s="34"/>
      <c r="E423" s="34"/>
      <c r="F423" s="35"/>
      <c r="G423" s="36"/>
      <c r="H423" s="37"/>
      <c r="I423" s="37"/>
      <c r="J423" s="37"/>
      <c r="K423" s="37"/>
      <c r="L423" s="38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9"/>
      <c r="Y423" s="1"/>
      <c r="Z423" s="1"/>
    </row>
    <row r="424" spans="1:26" ht="15.75" customHeight="1">
      <c r="A424" s="98"/>
      <c r="B424" s="32"/>
      <c r="C424" s="33"/>
      <c r="D424" s="34"/>
      <c r="E424" s="34"/>
      <c r="F424" s="35"/>
      <c r="G424" s="36"/>
      <c r="H424" s="37"/>
      <c r="I424" s="37"/>
      <c r="J424" s="37"/>
      <c r="K424" s="37"/>
      <c r="L424" s="38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9"/>
      <c r="Y424" s="1"/>
      <c r="Z424" s="1"/>
    </row>
    <row r="425" spans="1:26" ht="15.75" customHeight="1">
      <c r="A425" s="98"/>
      <c r="B425" s="32"/>
      <c r="C425" s="33"/>
      <c r="D425" s="34"/>
      <c r="E425" s="34"/>
      <c r="F425" s="35"/>
      <c r="G425" s="36"/>
      <c r="H425" s="37"/>
      <c r="I425" s="37"/>
      <c r="J425" s="37"/>
      <c r="K425" s="37"/>
      <c r="L425" s="38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9"/>
      <c r="Y425" s="1"/>
      <c r="Z425" s="1"/>
    </row>
    <row r="426" spans="1:26" ht="15.75" customHeight="1">
      <c r="A426" s="98"/>
      <c r="B426" s="32"/>
      <c r="C426" s="33"/>
      <c r="D426" s="34"/>
      <c r="E426" s="34"/>
      <c r="F426" s="35"/>
      <c r="G426" s="36"/>
      <c r="H426" s="37"/>
      <c r="I426" s="37"/>
      <c r="J426" s="37"/>
      <c r="K426" s="37"/>
      <c r="L426" s="38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9"/>
      <c r="Y426" s="1"/>
      <c r="Z426" s="1"/>
    </row>
    <row r="427" spans="1:26" ht="15.75" customHeight="1">
      <c r="A427" s="98"/>
      <c r="B427" s="32"/>
      <c r="C427" s="33"/>
      <c r="D427" s="34"/>
      <c r="E427" s="34"/>
      <c r="F427" s="35"/>
      <c r="G427" s="36"/>
      <c r="H427" s="37"/>
      <c r="I427" s="37"/>
      <c r="J427" s="37"/>
      <c r="K427" s="37"/>
      <c r="L427" s="38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9"/>
      <c r="Y427" s="1"/>
      <c r="Z427" s="1"/>
    </row>
    <row r="428" spans="1:26" ht="15.75" customHeight="1">
      <c r="A428" s="98"/>
      <c r="B428" s="32"/>
      <c r="C428" s="33"/>
      <c r="D428" s="34"/>
      <c r="E428" s="34"/>
      <c r="F428" s="35"/>
      <c r="G428" s="36"/>
      <c r="H428" s="37"/>
      <c r="I428" s="37"/>
      <c r="J428" s="37"/>
      <c r="K428" s="37"/>
      <c r="L428" s="38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9"/>
      <c r="Y428" s="1"/>
      <c r="Z428" s="1"/>
    </row>
    <row r="429" spans="1:26" ht="15.75" customHeight="1">
      <c r="A429" s="98"/>
      <c r="B429" s="32"/>
      <c r="C429" s="33"/>
      <c r="D429" s="34"/>
      <c r="E429" s="34"/>
      <c r="F429" s="35"/>
      <c r="G429" s="36"/>
      <c r="H429" s="37"/>
      <c r="I429" s="37"/>
      <c r="J429" s="37"/>
      <c r="K429" s="37"/>
      <c r="L429" s="38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9"/>
      <c r="Y429" s="1"/>
      <c r="Z429" s="1"/>
    </row>
    <row r="430" spans="1:26" ht="15.75" customHeight="1">
      <c r="A430" s="98"/>
      <c r="B430" s="32"/>
      <c r="C430" s="33"/>
      <c r="D430" s="34"/>
      <c r="E430" s="34"/>
      <c r="F430" s="35"/>
      <c r="G430" s="36"/>
      <c r="H430" s="37"/>
      <c r="I430" s="37"/>
      <c r="J430" s="37"/>
      <c r="K430" s="37"/>
      <c r="L430" s="38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9"/>
      <c r="Y430" s="1"/>
      <c r="Z430" s="1"/>
    </row>
    <row r="431" spans="1:26" ht="15.75" customHeight="1">
      <c r="A431" s="98"/>
      <c r="B431" s="32"/>
      <c r="C431" s="33"/>
      <c r="D431" s="34"/>
      <c r="E431" s="34"/>
      <c r="F431" s="35"/>
      <c r="G431" s="36"/>
      <c r="H431" s="37"/>
      <c r="I431" s="37"/>
      <c r="J431" s="37"/>
      <c r="K431" s="37"/>
      <c r="L431" s="38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9"/>
      <c r="Y431" s="1"/>
      <c r="Z431" s="1"/>
    </row>
    <row r="432" spans="1:26" ht="15.75" customHeight="1">
      <c r="A432" s="98"/>
      <c r="B432" s="32"/>
      <c r="C432" s="33"/>
      <c r="D432" s="34"/>
      <c r="E432" s="34"/>
      <c r="F432" s="35"/>
      <c r="G432" s="36"/>
      <c r="H432" s="37"/>
      <c r="I432" s="37"/>
      <c r="J432" s="37"/>
      <c r="K432" s="37"/>
      <c r="L432" s="38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9"/>
      <c r="Y432" s="1"/>
      <c r="Z432" s="1"/>
    </row>
    <row r="433" spans="1:26" ht="15.75" customHeight="1">
      <c r="A433" s="98"/>
      <c r="B433" s="32"/>
      <c r="C433" s="33"/>
      <c r="D433" s="34"/>
      <c r="E433" s="34"/>
      <c r="F433" s="35"/>
      <c r="G433" s="36"/>
      <c r="H433" s="37"/>
      <c r="I433" s="37"/>
      <c r="J433" s="37"/>
      <c r="K433" s="37"/>
      <c r="L433" s="38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9"/>
      <c r="Y433" s="1"/>
      <c r="Z433" s="1"/>
    </row>
    <row r="434" spans="1:26" ht="15.75" customHeight="1">
      <c r="A434" s="98"/>
      <c r="B434" s="32"/>
      <c r="C434" s="33"/>
      <c r="D434" s="34"/>
      <c r="E434" s="34"/>
      <c r="F434" s="35"/>
      <c r="G434" s="36"/>
      <c r="H434" s="37"/>
      <c r="I434" s="37"/>
      <c r="J434" s="37"/>
      <c r="K434" s="37"/>
      <c r="L434" s="38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9"/>
      <c r="Y434" s="1"/>
      <c r="Z434" s="1"/>
    </row>
    <row r="435" spans="1:26" ht="15.75" customHeight="1">
      <c r="A435" s="98"/>
      <c r="B435" s="32"/>
      <c r="C435" s="33"/>
      <c r="D435" s="34"/>
      <c r="E435" s="34"/>
      <c r="F435" s="35"/>
      <c r="G435" s="36"/>
      <c r="H435" s="37"/>
      <c r="I435" s="37"/>
      <c r="J435" s="37"/>
      <c r="K435" s="37"/>
      <c r="L435" s="38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9"/>
      <c r="Y435" s="1"/>
      <c r="Z435" s="1"/>
    </row>
    <row r="436" spans="1:26" ht="15.75" customHeight="1">
      <c r="A436" s="98"/>
      <c r="B436" s="32"/>
      <c r="C436" s="33"/>
      <c r="D436" s="34"/>
      <c r="E436" s="34"/>
      <c r="F436" s="35"/>
      <c r="G436" s="36"/>
      <c r="H436" s="37"/>
      <c r="I436" s="37"/>
      <c r="J436" s="37"/>
      <c r="K436" s="37"/>
      <c r="L436" s="38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9"/>
      <c r="Y436" s="1"/>
      <c r="Z436" s="1"/>
    </row>
    <row r="437" spans="1:26" ht="15.75" customHeight="1">
      <c r="A437" s="98"/>
      <c r="B437" s="32"/>
      <c r="C437" s="33"/>
      <c r="D437" s="34"/>
      <c r="E437" s="34"/>
      <c r="F437" s="35"/>
      <c r="G437" s="36"/>
      <c r="H437" s="37"/>
      <c r="I437" s="37"/>
      <c r="J437" s="37"/>
      <c r="K437" s="37"/>
      <c r="L437" s="38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9"/>
      <c r="Y437" s="1"/>
      <c r="Z437" s="1"/>
    </row>
    <row r="438" spans="1:26" ht="15.75" customHeight="1">
      <c r="A438" s="98"/>
      <c r="B438" s="32"/>
      <c r="C438" s="33"/>
      <c r="D438" s="34"/>
      <c r="E438" s="34"/>
      <c r="F438" s="35"/>
      <c r="G438" s="36"/>
      <c r="H438" s="37"/>
      <c r="I438" s="37"/>
      <c r="J438" s="37"/>
      <c r="K438" s="37"/>
      <c r="L438" s="38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9"/>
      <c r="Y438" s="1"/>
      <c r="Z438" s="1"/>
    </row>
    <row r="439" spans="1:26" ht="15.75" customHeight="1">
      <c r="A439" s="98"/>
      <c r="B439" s="32"/>
      <c r="C439" s="33"/>
      <c r="D439" s="34"/>
      <c r="E439" s="34"/>
      <c r="F439" s="35"/>
      <c r="G439" s="36"/>
      <c r="H439" s="37"/>
      <c r="I439" s="37"/>
      <c r="J439" s="37"/>
      <c r="K439" s="37"/>
      <c r="L439" s="38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9"/>
      <c r="Y439" s="1"/>
      <c r="Z439" s="1"/>
    </row>
    <row r="440" spans="1:26" ht="15.75" customHeight="1">
      <c r="A440" s="98"/>
      <c r="B440" s="32"/>
      <c r="C440" s="33"/>
      <c r="D440" s="34"/>
      <c r="E440" s="34"/>
      <c r="F440" s="35"/>
      <c r="G440" s="36"/>
      <c r="H440" s="37"/>
      <c r="I440" s="37"/>
      <c r="J440" s="37"/>
      <c r="K440" s="37"/>
      <c r="L440" s="38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9"/>
      <c r="Y440" s="1"/>
      <c r="Z440" s="1"/>
    </row>
    <row r="441" spans="1:26" ht="15.75" customHeight="1">
      <c r="A441" s="98"/>
      <c r="B441" s="32"/>
      <c r="C441" s="33"/>
      <c r="D441" s="34"/>
      <c r="E441" s="34"/>
      <c r="F441" s="35"/>
      <c r="G441" s="36"/>
      <c r="H441" s="37"/>
      <c r="I441" s="37"/>
      <c r="J441" s="37"/>
      <c r="K441" s="37"/>
      <c r="L441" s="38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9"/>
      <c r="Y441" s="1"/>
      <c r="Z441" s="1"/>
    </row>
    <row r="442" spans="1:26" ht="15.75" customHeight="1">
      <c r="A442" s="98"/>
      <c r="B442" s="32"/>
      <c r="C442" s="33"/>
      <c r="D442" s="34"/>
      <c r="E442" s="34"/>
      <c r="F442" s="35"/>
      <c r="G442" s="36"/>
      <c r="H442" s="37"/>
      <c r="I442" s="37"/>
      <c r="J442" s="37"/>
      <c r="K442" s="37"/>
      <c r="L442" s="38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9"/>
      <c r="Y442" s="1"/>
      <c r="Z442" s="1"/>
    </row>
    <row r="443" spans="1:26" ht="15.75" customHeight="1">
      <c r="A443" s="98"/>
      <c r="B443" s="32"/>
      <c r="C443" s="33"/>
      <c r="D443" s="34"/>
      <c r="E443" s="34"/>
      <c r="F443" s="35"/>
      <c r="G443" s="36"/>
      <c r="H443" s="37"/>
      <c r="I443" s="37"/>
      <c r="J443" s="37"/>
      <c r="K443" s="37"/>
      <c r="L443" s="38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9"/>
      <c r="Y443" s="1"/>
      <c r="Z443" s="1"/>
    </row>
    <row r="444" spans="1:26" ht="15.75" customHeight="1">
      <c r="A444" s="98"/>
      <c r="B444" s="32"/>
      <c r="C444" s="33"/>
      <c r="D444" s="34"/>
      <c r="E444" s="34"/>
      <c r="F444" s="35"/>
      <c r="G444" s="36"/>
      <c r="H444" s="37"/>
      <c r="I444" s="37"/>
      <c r="J444" s="37"/>
      <c r="K444" s="37"/>
      <c r="L444" s="38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9"/>
      <c r="Y444" s="1"/>
      <c r="Z444" s="1"/>
    </row>
    <row r="445" spans="1:26" ht="15.75" customHeight="1">
      <c r="A445" s="98"/>
      <c r="B445" s="32"/>
      <c r="C445" s="33"/>
      <c r="D445" s="34"/>
      <c r="E445" s="34"/>
      <c r="F445" s="35"/>
      <c r="G445" s="36"/>
      <c r="H445" s="37"/>
      <c r="I445" s="37"/>
      <c r="J445" s="37"/>
      <c r="K445" s="37"/>
      <c r="L445" s="38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9"/>
      <c r="Y445" s="1"/>
      <c r="Z445" s="1"/>
    </row>
    <row r="446" spans="1:26" ht="15.75" customHeight="1">
      <c r="A446" s="98"/>
      <c r="B446" s="32"/>
      <c r="C446" s="33"/>
      <c r="D446" s="34"/>
      <c r="E446" s="34"/>
      <c r="F446" s="35"/>
      <c r="G446" s="36"/>
      <c r="H446" s="37"/>
      <c r="I446" s="37"/>
      <c r="J446" s="37"/>
      <c r="K446" s="37"/>
      <c r="L446" s="38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9"/>
      <c r="Y446" s="1"/>
      <c r="Z446" s="1"/>
    </row>
    <row r="447" spans="1:26" ht="15.75" customHeight="1">
      <c r="A447" s="98"/>
      <c r="B447" s="32"/>
      <c r="C447" s="33"/>
      <c r="D447" s="34"/>
      <c r="E447" s="34"/>
      <c r="F447" s="35"/>
      <c r="G447" s="36"/>
      <c r="H447" s="37"/>
      <c r="I447" s="37"/>
      <c r="J447" s="37"/>
      <c r="K447" s="37"/>
      <c r="L447" s="38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9"/>
      <c r="Y447" s="1"/>
      <c r="Z447" s="1"/>
    </row>
    <row r="448" spans="1:26" ht="15.75" customHeight="1">
      <c r="A448" s="98"/>
      <c r="B448" s="32"/>
      <c r="C448" s="33"/>
      <c r="D448" s="34"/>
      <c r="E448" s="34"/>
      <c r="F448" s="35"/>
      <c r="G448" s="36"/>
      <c r="H448" s="37"/>
      <c r="I448" s="37"/>
      <c r="J448" s="37"/>
      <c r="K448" s="37"/>
      <c r="L448" s="38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9"/>
      <c r="Y448" s="1"/>
      <c r="Z448" s="1"/>
    </row>
    <row r="449" spans="1:26" ht="15.75" customHeight="1">
      <c r="A449" s="98"/>
      <c r="B449" s="32"/>
      <c r="C449" s="33"/>
      <c r="D449" s="34"/>
      <c r="E449" s="34"/>
      <c r="F449" s="35"/>
      <c r="G449" s="36"/>
      <c r="H449" s="37"/>
      <c r="I449" s="37"/>
      <c r="J449" s="37"/>
      <c r="K449" s="37"/>
      <c r="L449" s="38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9"/>
      <c r="Y449" s="1"/>
      <c r="Z449" s="1"/>
    </row>
    <row r="450" spans="1:26" ht="15.75" customHeight="1">
      <c r="A450" s="98"/>
      <c r="B450" s="32"/>
      <c r="C450" s="33"/>
      <c r="D450" s="34"/>
      <c r="E450" s="34"/>
      <c r="F450" s="35"/>
      <c r="G450" s="36"/>
      <c r="H450" s="37"/>
      <c r="I450" s="37"/>
      <c r="J450" s="37"/>
      <c r="K450" s="37"/>
      <c r="L450" s="38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9"/>
      <c r="Y450" s="1"/>
      <c r="Z450" s="1"/>
    </row>
    <row r="451" spans="1:26" ht="15.75" customHeight="1">
      <c r="A451" s="98"/>
      <c r="B451" s="32"/>
      <c r="C451" s="33"/>
      <c r="D451" s="34"/>
      <c r="E451" s="34"/>
      <c r="F451" s="35"/>
      <c r="G451" s="36"/>
      <c r="H451" s="37"/>
      <c r="I451" s="37"/>
      <c r="J451" s="37"/>
      <c r="K451" s="37"/>
      <c r="L451" s="38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9"/>
      <c r="Y451" s="1"/>
      <c r="Z451" s="1"/>
    </row>
    <row r="452" spans="1:26" ht="15.75" customHeight="1">
      <c r="A452" s="98"/>
      <c r="B452" s="32"/>
      <c r="C452" s="33"/>
      <c r="D452" s="34"/>
      <c r="E452" s="34"/>
      <c r="F452" s="35"/>
      <c r="G452" s="36"/>
      <c r="H452" s="37"/>
      <c r="I452" s="37"/>
      <c r="J452" s="37"/>
      <c r="K452" s="37"/>
      <c r="L452" s="38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9"/>
      <c r="Y452" s="1"/>
      <c r="Z452" s="1"/>
    </row>
    <row r="453" spans="1:26" ht="15.75" customHeight="1">
      <c r="A453" s="98"/>
      <c r="B453" s="32"/>
      <c r="C453" s="33"/>
      <c r="D453" s="34"/>
      <c r="E453" s="34"/>
      <c r="F453" s="35"/>
      <c r="G453" s="36"/>
      <c r="H453" s="37"/>
      <c r="I453" s="37"/>
      <c r="J453" s="37"/>
      <c r="K453" s="37"/>
      <c r="L453" s="38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9"/>
      <c r="Y453" s="1"/>
      <c r="Z453" s="1"/>
    </row>
    <row r="454" spans="1:26" ht="15.75" customHeight="1">
      <c r="A454" s="98"/>
      <c r="B454" s="32"/>
      <c r="C454" s="33"/>
      <c r="D454" s="34"/>
      <c r="E454" s="34"/>
      <c r="F454" s="35"/>
      <c r="G454" s="36"/>
      <c r="H454" s="37"/>
      <c r="I454" s="37"/>
      <c r="J454" s="37"/>
      <c r="K454" s="37"/>
      <c r="L454" s="38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9"/>
      <c r="Y454" s="1"/>
      <c r="Z454" s="1"/>
    </row>
    <row r="455" spans="1:26" ht="15.75" customHeight="1">
      <c r="A455" s="98"/>
      <c r="B455" s="32"/>
      <c r="C455" s="33"/>
      <c r="D455" s="34"/>
      <c r="E455" s="34"/>
      <c r="F455" s="35"/>
      <c r="G455" s="36"/>
      <c r="H455" s="37"/>
      <c r="I455" s="37"/>
      <c r="J455" s="37"/>
      <c r="K455" s="37"/>
      <c r="L455" s="38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9"/>
      <c r="Y455" s="1"/>
      <c r="Z455" s="1"/>
    </row>
    <row r="456" spans="1:26" ht="15.75" customHeight="1">
      <c r="A456" s="98"/>
      <c r="B456" s="32"/>
      <c r="C456" s="33"/>
      <c r="D456" s="34"/>
      <c r="E456" s="34"/>
      <c r="F456" s="35"/>
      <c r="G456" s="36"/>
      <c r="H456" s="37"/>
      <c r="I456" s="37"/>
      <c r="J456" s="37"/>
      <c r="K456" s="37"/>
      <c r="L456" s="38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9"/>
      <c r="Y456" s="1"/>
      <c r="Z456" s="1"/>
    </row>
    <row r="457" spans="1:26" ht="15.75" customHeight="1">
      <c r="A457" s="98"/>
      <c r="B457" s="32"/>
      <c r="C457" s="33"/>
      <c r="D457" s="34"/>
      <c r="E457" s="34"/>
      <c r="F457" s="35"/>
      <c r="G457" s="36"/>
      <c r="H457" s="37"/>
      <c r="I457" s="37"/>
      <c r="J457" s="37"/>
      <c r="K457" s="37"/>
      <c r="L457" s="38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9"/>
      <c r="Y457" s="1"/>
      <c r="Z457" s="1"/>
    </row>
    <row r="458" spans="1:26" ht="15.75" customHeight="1">
      <c r="A458" s="98"/>
      <c r="B458" s="32"/>
      <c r="C458" s="33"/>
      <c r="D458" s="34"/>
      <c r="E458" s="34"/>
      <c r="F458" s="35"/>
      <c r="G458" s="36"/>
      <c r="H458" s="37"/>
      <c r="I458" s="37"/>
      <c r="J458" s="37"/>
      <c r="K458" s="37"/>
      <c r="L458" s="38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9"/>
      <c r="Y458" s="1"/>
      <c r="Z458" s="1"/>
    </row>
    <row r="459" spans="1:26" ht="15.75" customHeight="1">
      <c r="A459" s="98"/>
      <c r="B459" s="32"/>
      <c r="C459" s="33"/>
      <c r="D459" s="34"/>
      <c r="E459" s="34"/>
      <c r="F459" s="35"/>
      <c r="G459" s="36"/>
      <c r="H459" s="37"/>
      <c r="I459" s="37"/>
      <c r="J459" s="37"/>
      <c r="K459" s="37"/>
      <c r="L459" s="38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9"/>
      <c r="Y459" s="1"/>
      <c r="Z459" s="1"/>
    </row>
    <row r="460" spans="1:26" ht="15.75" customHeight="1">
      <c r="A460" s="98"/>
      <c r="B460" s="32"/>
      <c r="C460" s="33"/>
      <c r="D460" s="34"/>
      <c r="E460" s="34"/>
      <c r="F460" s="35"/>
      <c r="G460" s="36"/>
      <c r="H460" s="37"/>
      <c r="I460" s="37"/>
      <c r="J460" s="37"/>
      <c r="K460" s="37"/>
      <c r="L460" s="38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9"/>
      <c r="Y460" s="1"/>
      <c r="Z460" s="1"/>
    </row>
    <row r="461" spans="1:26" ht="15.75" customHeight="1">
      <c r="A461" s="98"/>
      <c r="B461" s="32"/>
      <c r="C461" s="33"/>
      <c r="D461" s="34"/>
      <c r="E461" s="34"/>
      <c r="F461" s="35"/>
      <c r="G461" s="36"/>
      <c r="H461" s="37"/>
      <c r="I461" s="37"/>
      <c r="J461" s="37"/>
      <c r="K461" s="37"/>
      <c r="L461" s="38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9"/>
      <c r="Y461" s="1"/>
      <c r="Z461" s="1"/>
    </row>
    <row r="462" spans="1:26" ht="15.75" customHeight="1">
      <c r="A462" s="98"/>
      <c r="B462" s="32"/>
      <c r="C462" s="33"/>
      <c r="D462" s="34"/>
      <c r="E462" s="34"/>
      <c r="F462" s="35"/>
      <c r="G462" s="36"/>
      <c r="H462" s="37"/>
      <c r="I462" s="37"/>
      <c r="J462" s="37"/>
      <c r="K462" s="37"/>
      <c r="L462" s="38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9"/>
      <c r="Y462" s="1"/>
      <c r="Z462" s="1"/>
    </row>
    <row r="463" spans="1:26" ht="15.75" customHeight="1">
      <c r="A463" s="98"/>
      <c r="B463" s="32"/>
      <c r="C463" s="33"/>
      <c r="D463" s="34"/>
      <c r="E463" s="34"/>
      <c r="F463" s="35"/>
      <c r="G463" s="36"/>
      <c r="H463" s="37"/>
      <c r="I463" s="37"/>
      <c r="J463" s="37"/>
      <c r="K463" s="37"/>
      <c r="L463" s="38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9"/>
      <c r="Y463" s="1"/>
      <c r="Z463" s="1"/>
    </row>
    <row r="464" spans="1:26" ht="15.75" customHeight="1">
      <c r="A464" s="98"/>
      <c r="B464" s="32"/>
      <c r="C464" s="33"/>
      <c r="D464" s="34"/>
      <c r="E464" s="34"/>
      <c r="F464" s="35"/>
      <c r="G464" s="36"/>
      <c r="H464" s="37"/>
      <c r="I464" s="37"/>
      <c r="J464" s="37"/>
      <c r="K464" s="37"/>
      <c r="L464" s="38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9"/>
      <c r="Y464" s="1"/>
      <c r="Z464" s="1"/>
    </row>
    <row r="465" spans="1:26" ht="15.75" customHeight="1">
      <c r="A465" s="98"/>
      <c r="B465" s="32"/>
      <c r="C465" s="33"/>
      <c r="D465" s="34"/>
      <c r="E465" s="34"/>
      <c r="F465" s="35"/>
      <c r="G465" s="36"/>
      <c r="H465" s="37"/>
      <c r="I465" s="37"/>
      <c r="J465" s="37"/>
      <c r="K465" s="37"/>
      <c r="L465" s="38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9"/>
      <c r="Y465" s="1"/>
      <c r="Z465" s="1"/>
    </row>
    <row r="466" spans="1:26" ht="15.75" customHeight="1">
      <c r="A466" s="98"/>
      <c r="B466" s="32"/>
      <c r="C466" s="33"/>
      <c r="D466" s="34"/>
      <c r="E466" s="34"/>
      <c r="F466" s="35"/>
      <c r="G466" s="36"/>
      <c r="H466" s="37"/>
      <c r="I466" s="37"/>
      <c r="J466" s="37"/>
      <c r="K466" s="37"/>
      <c r="L466" s="38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9"/>
      <c r="Y466" s="1"/>
      <c r="Z466" s="1"/>
    </row>
    <row r="467" spans="1:26" ht="15.75" customHeight="1">
      <c r="A467" s="98"/>
      <c r="B467" s="32"/>
      <c r="C467" s="33"/>
      <c r="D467" s="34"/>
      <c r="E467" s="34"/>
      <c r="F467" s="35"/>
      <c r="G467" s="36"/>
      <c r="H467" s="37"/>
      <c r="I467" s="37"/>
      <c r="J467" s="37"/>
      <c r="K467" s="37"/>
      <c r="L467" s="38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9"/>
      <c r="Y467" s="1"/>
      <c r="Z467" s="1"/>
    </row>
    <row r="468" spans="1:26" ht="15.75" customHeight="1">
      <c r="A468" s="98"/>
      <c r="B468" s="32"/>
      <c r="C468" s="33"/>
      <c r="D468" s="34"/>
      <c r="E468" s="34"/>
      <c r="F468" s="35"/>
      <c r="G468" s="36"/>
      <c r="H468" s="37"/>
      <c r="I468" s="37"/>
      <c r="J468" s="37"/>
      <c r="K468" s="37"/>
      <c r="L468" s="38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9"/>
      <c r="Y468" s="1"/>
      <c r="Z468" s="1"/>
    </row>
    <row r="469" spans="1:26" ht="15.75" customHeight="1">
      <c r="A469" s="98"/>
      <c r="B469" s="32"/>
      <c r="C469" s="33"/>
      <c r="D469" s="34"/>
      <c r="E469" s="34"/>
      <c r="F469" s="35"/>
      <c r="G469" s="36"/>
      <c r="H469" s="37"/>
      <c r="I469" s="37"/>
      <c r="J469" s="37"/>
      <c r="K469" s="37"/>
      <c r="L469" s="38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9"/>
      <c r="Y469" s="1"/>
      <c r="Z469" s="1"/>
    </row>
    <row r="470" spans="1:26" ht="15.75" customHeight="1">
      <c r="A470" s="98"/>
      <c r="B470" s="32"/>
      <c r="C470" s="33"/>
      <c r="D470" s="34"/>
      <c r="E470" s="34"/>
      <c r="F470" s="35"/>
      <c r="G470" s="36"/>
      <c r="H470" s="37"/>
      <c r="I470" s="37"/>
      <c r="J470" s="37"/>
      <c r="K470" s="37"/>
      <c r="L470" s="38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9"/>
      <c r="Y470" s="1"/>
      <c r="Z470" s="1"/>
    </row>
    <row r="471" spans="1:26" ht="15.75" customHeight="1">
      <c r="A471" s="98"/>
      <c r="B471" s="32"/>
      <c r="C471" s="33"/>
      <c r="D471" s="34"/>
      <c r="E471" s="34"/>
      <c r="F471" s="35"/>
      <c r="G471" s="36"/>
      <c r="H471" s="37"/>
      <c r="I471" s="37"/>
      <c r="J471" s="37"/>
      <c r="K471" s="37"/>
      <c r="L471" s="38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9"/>
      <c r="Y471" s="1"/>
      <c r="Z471" s="1"/>
    </row>
    <row r="472" spans="1:26" ht="15.75" customHeight="1">
      <c r="A472" s="98"/>
      <c r="B472" s="32"/>
      <c r="C472" s="33"/>
      <c r="D472" s="34"/>
      <c r="E472" s="34"/>
      <c r="F472" s="35"/>
      <c r="G472" s="36"/>
      <c r="H472" s="37"/>
      <c r="I472" s="37"/>
      <c r="J472" s="37"/>
      <c r="K472" s="37"/>
      <c r="L472" s="38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9"/>
      <c r="Y472" s="1"/>
      <c r="Z472" s="1"/>
    </row>
    <row r="473" spans="1:26" ht="15.75" customHeight="1">
      <c r="A473" s="98"/>
      <c r="B473" s="32"/>
      <c r="C473" s="33"/>
      <c r="D473" s="34"/>
      <c r="E473" s="34"/>
      <c r="F473" s="35"/>
      <c r="G473" s="36"/>
      <c r="H473" s="37"/>
      <c r="I473" s="37"/>
      <c r="J473" s="37"/>
      <c r="K473" s="37"/>
      <c r="L473" s="38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9"/>
      <c r="Y473" s="1"/>
      <c r="Z473" s="1"/>
    </row>
    <row r="474" spans="1:26" ht="15.75" customHeight="1">
      <c r="A474" s="98"/>
      <c r="B474" s="32"/>
      <c r="C474" s="33"/>
      <c r="D474" s="34"/>
      <c r="E474" s="34"/>
      <c r="F474" s="35"/>
      <c r="G474" s="36"/>
      <c r="H474" s="37"/>
      <c r="I474" s="37"/>
      <c r="J474" s="37"/>
      <c r="K474" s="37"/>
      <c r="L474" s="38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9"/>
      <c r="Y474" s="1"/>
      <c r="Z474" s="1"/>
    </row>
    <row r="475" spans="1:26" ht="15.75" customHeight="1">
      <c r="A475" s="98"/>
      <c r="B475" s="32"/>
      <c r="C475" s="33"/>
      <c r="D475" s="34"/>
      <c r="E475" s="34"/>
      <c r="F475" s="35"/>
      <c r="G475" s="36"/>
      <c r="H475" s="37"/>
      <c r="I475" s="37"/>
      <c r="J475" s="37"/>
      <c r="K475" s="37"/>
      <c r="L475" s="38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9"/>
      <c r="Y475" s="1"/>
      <c r="Z475" s="1"/>
    </row>
    <row r="476" spans="1:26" ht="15.75" customHeight="1">
      <c r="A476" s="98"/>
      <c r="B476" s="32"/>
      <c r="C476" s="33"/>
      <c r="D476" s="34"/>
      <c r="E476" s="34"/>
      <c r="F476" s="35"/>
      <c r="G476" s="36"/>
      <c r="H476" s="37"/>
      <c r="I476" s="37"/>
      <c r="J476" s="37"/>
      <c r="K476" s="37"/>
      <c r="L476" s="38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9"/>
      <c r="Y476" s="1"/>
      <c r="Z476" s="1"/>
    </row>
    <row r="477" spans="1:26" ht="15.75" customHeight="1">
      <c r="A477" s="98"/>
      <c r="B477" s="32"/>
      <c r="C477" s="33"/>
      <c r="D477" s="34"/>
      <c r="E477" s="34"/>
      <c r="F477" s="35"/>
      <c r="G477" s="36"/>
      <c r="H477" s="37"/>
      <c r="I477" s="37"/>
      <c r="J477" s="37"/>
      <c r="K477" s="37"/>
      <c r="L477" s="38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9"/>
      <c r="Y477" s="1"/>
      <c r="Z477" s="1"/>
    </row>
    <row r="478" spans="1:26" ht="15.75" customHeight="1">
      <c r="A478" s="98"/>
      <c r="B478" s="32"/>
      <c r="C478" s="33"/>
      <c r="D478" s="34"/>
      <c r="E478" s="34"/>
      <c r="F478" s="35"/>
      <c r="G478" s="36"/>
      <c r="H478" s="37"/>
      <c r="I478" s="37"/>
      <c r="J478" s="37"/>
      <c r="K478" s="37"/>
      <c r="L478" s="38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9"/>
      <c r="Y478" s="1"/>
      <c r="Z478" s="1"/>
    </row>
    <row r="479" spans="1:26" ht="15.75" customHeight="1">
      <c r="A479" s="98"/>
      <c r="B479" s="32"/>
      <c r="C479" s="33"/>
      <c r="D479" s="34"/>
      <c r="E479" s="34"/>
      <c r="F479" s="35"/>
      <c r="G479" s="36"/>
      <c r="H479" s="37"/>
      <c r="I479" s="37"/>
      <c r="J479" s="37"/>
      <c r="K479" s="37"/>
      <c r="L479" s="38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9"/>
      <c r="Y479" s="1"/>
      <c r="Z479" s="1"/>
    </row>
    <row r="480" spans="1:26" ht="15.75" customHeight="1">
      <c r="A480" s="98"/>
      <c r="B480" s="32"/>
      <c r="C480" s="33"/>
      <c r="D480" s="34"/>
      <c r="E480" s="34"/>
      <c r="F480" s="35"/>
      <c r="G480" s="36"/>
      <c r="H480" s="37"/>
      <c r="I480" s="37"/>
      <c r="J480" s="37"/>
      <c r="K480" s="37"/>
      <c r="L480" s="38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9"/>
      <c r="Y480" s="1"/>
      <c r="Z480" s="1"/>
    </row>
    <row r="481" spans="1:26" ht="15.75" customHeight="1">
      <c r="A481" s="98"/>
      <c r="B481" s="32"/>
      <c r="C481" s="33"/>
      <c r="D481" s="34"/>
      <c r="E481" s="34"/>
      <c r="F481" s="35"/>
      <c r="G481" s="36"/>
      <c r="H481" s="37"/>
      <c r="I481" s="37"/>
      <c r="J481" s="37"/>
      <c r="K481" s="37"/>
      <c r="L481" s="38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9"/>
      <c r="Y481" s="1"/>
      <c r="Z481" s="1"/>
    </row>
    <row r="482" spans="1:26" ht="15.75" customHeight="1">
      <c r="A482" s="98"/>
      <c r="B482" s="32"/>
      <c r="C482" s="33"/>
      <c r="D482" s="34"/>
      <c r="E482" s="34"/>
      <c r="F482" s="35"/>
      <c r="G482" s="36"/>
      <c r="H482" s="37"/>
      <c r="I482" s="37"/>
      <c r="J482" s="37"/>
      <c r="K482" s="37"/>
      <c r="L482" s="38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9"/>
      <c r="Y482" s="1"/>
      <c r="Z482" s="1"/>
    </row>
    <row r="483" spans="1:26" ht="15.75" customHeight="1">
      <c r="A483" s="98"/>
      <c r="B483" s="32"/>
      <c r="C483" s="33"/>
      <c r="D483" s="34"/>
      <c r="E483" s="34"/>
      <c r="F483" s="35"/>
      <c r="G483" s="36"/>
      <c r="H483" s="37"/>
      <c r="I483" s="37"/>
      <c r="J483" s="37"/>
      <c r="K483" s="37"/>
      <c r="L483" s="38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9"/>
      <c r="Y483" s="1"/>
      <c r="Z483" s="1"/>
    </row>
    <row r="484" spans="1:26" ht="15.75" customHeight="1">
      <c r="A484" s="98"/>
      <c r="B484" s="32"/>
      <c r="C484" s="33"/>
      <c r="D484" s="34"/>
      <c r="E484" s="34"/>
      <c r="F484" s="35"/>
      <c r="G484" s="36"/>
      <c r="H484" s="37"/>
      <c r="I484" s="37"/>
      <c r="J484" s="37"/>
      <c r="K484" s="37"/>
      <c r="L484" s="38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9"/>
      <c r="Y484" s="1"/>
      <c r="Z484" s="1"/>
    </row>
    <row r="485" spans="1:26" ht="15.75" customHeight="1">
      <c r="A485" s="98"/>
      <c r="B485" s="32"/>
      <c r="C485" s="33"/>
      <c r="D485" s="34"/>
      <c r="E485" s="34"/>
      <c r="F485" s="35"/>
      <c r="G485" s="36"/>
      <c r="H485" s="37"/>
      <c r="I485" s="37"/>
      <c r="J485" s="37"/>
      <c r="K485" s="37"/>
      <c r="L485" s="38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9"/>
      <c r="Y485" s="1"/>
      <c r="Z485" s="1"/>
    </row>
    <row r="486" spans="1:26" ht="15.75" customHeight="1">
      <c r="A486" s="98"/>
      <c r="B486" s="32"/>
      <c r="C486" s="33"/>
      <c r="D486" s="34"/>
      <c r="E486" s="34"/>
      <c r="F486" s="35"/>
      <c r="G486" s="36"/>
      <c r="H486" s="37"/>
      <c r="I486" s="37"/>
      <c r="J486" s="37"/>
      <c r="K486" s="37"/>
      <c r="L486" s="38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9"/>
      <c r="Y486" s="1"/>
      <c r="Z486" s="1"/>
    </row>
    <row r="487" spans="1:26" ht="15.75" customHeight="1">
      <c r="A487" s="98"/>
      <c r="B487" s="32"/>
      <c r="C487" s="33"/>
      <c r="D487" s="34"/>
      <c r="E487" s="34"/>
      <c r="F487" s="35"/>
      <c r="G487" s="36"/>
      <c r="H487" s="37"/>
      <c r="I487" s="37"/>
      <c r="J487" s="37"/>
      <c r="K487" s="37"/>
      <c r="L487" s="38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9"/>
      <c r="Y487" s="1"/>
      <c r="Z487" s="1"/>
    </row>
    <row r="488" spans="1:26" ht="15.75" customHeight="1">
      <c r="A488" s="98"/>
      <c r="B488" s="32"/>
      <c r="C488" s="33"/>
      <c r="D488" s="34"/>
      <c r="E488" s="34"/>
      <c r="F488" s="35"/>
      <c r="G488" s="36"/>
      <c r="H488" s="37"/>
      <c r="I488" s="37"/>
      <c r="J488" s="37"/>
      <c r="K488" s="37"/>
      <c r="L488" s="38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9"/>
      <c r="Y488" s="1"/>
      <c r="Z488" s="1"/>
    </row>
    <row r="489" spans="1:26" ht="15.75" customHeight="1">
      <c r="A489" s="98"/>
      <c r="B489" s="32"/>
      <c r="C489" s="33"/>
      <c r="D489" s="34"/>
      <c r="E489" s="34"/>
      <c r="F489" s="35"/>
      <c r="G489" s="36"/>
      <c r="H489" s="37"/>
      <c r="I489" s="37"/>
      <c r="J489" s="37"/>
      <c r="K489" s="37"/>
      <c r="L489" s="38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9"/>
      <c r="Y489" s="1"/>
      <c r="Z489" s="1"/>
    </row>
    <row r="490" spans="1:26" ht="15.75" customHeight="1">
      <c r="A490" s="98"/>
      <c r="B490" s="32"/>
      <c r="C490" s="33"/>
      <c r="D490" s="34"/>
      <c r="E490" s="34"/>
      <c r="F490" s="35"/>
      <c r="G490" s="36"/>
      <c r="H490" s="37"/>
      <c r="I490" s="37"/>
      <c r="J490" s="37"/>
      <c r="K490" s="37"/>
      <c r="L490" s="38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9"/>
      <c r="Y490" s="1"/>
      <c r="Z490" s="1"/>
    </row>
    <row r="491" spans="1:26" ht="15.75" customHeight="1">
      <c r="A491" s="98"/>
      <c r="B491" s="32"/>
      <c r="C491" s="33"/>
      <c r="D491" s="34"/>
      <c r="E491" s="34"/>
      <c r="F491" s="35"/>
      <c r="G491" s="36"/>
      <c r="H491" s="37"/>
      <c r="I491" s="37"/>
      <c r="J491" s="37"/>
      <c r="K491" s="37"/>
      <c r="L491" s="38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9"/>
      <c r="Y491" s="1"/>
      <c r="Z491" s="1"/>
    </row>
    <row r="492" spans="1:26" ht="15.75" customHeight="1">
      <c r="A492" s="98"/>
      <c r="B492" s="32"/>
      <c r="C492" s="33"/>
      <c r="D492" s="34"/>
      <c r="E492" s="34"/>
      <c r="F492" s="35"/>
      <c r="G492" s="36"/>
      <c r="H492" s="37"/>
      <c r="I492" s="37"/>
      <c r="J492" s="37"/>
      <c r="K492" s="37"/>
      <c r="L492" s="38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9"/>
      <c r="Y492" s="1"/>
      <c r="Z492" s="1"/>
    </row>
    <row r="493" spans="1:26" ht="15.75" customHeight="1">
      <c r="A493" s="98"/>
      <c r="B493" s="32"/>
      <c r="C493" s="33"/>
      <c r="D493" s="34"/>
      <c r="E493" s="34"/>
      <c r="F493" s="35"/>
      <c r="G493" s="36"/>
      <c r="H493" s="37"/>
      <c r="I493" s="37"/>
      <c r="J493" s="37"/>
      <c r="K493" s="37"/>
      <c r="L493" s="38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9"/>
      <c r="Y493" s="1"/>
      <c r="Z493" s="1"/>
    </row>
    <row r="494" spans="1:26" ht="15.75" customHeight="1">
      <c r="A494" s="98"/>
      <c r="B494" s="32"/>
      <c r="C494" s="33"/>
      <c r="D494" s="34"/>
      <c r="E494" s="34"/>
      <c r="F494" s="35"/>
      <c r="G494" s="36"/>
      <c r="H494" s="37"/>
      <c r="I494" s="37"/>
      <c r="J494" s="37"/>
      <c r="K494" s="37"/>
      <c r="L494" s="38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9"/>
      <c r="Y494" s="1"/>
      <c r="Z494" s="1"/>
    </row>
    <row r="495" spans="1:26" ht="15.75" customHeight="1">
      <c r="A495" s="98"/>
      <c r="B495" s="32"/>
      <c r="C495" s="33"/>
      <c r="D495" s="34"/>
      <c r="E495" s="34"/>
      <c r="F495" s="35"/>
      <c r="G495" s="36"/>
      <c r="H495" s="37"/>
      <c r="I495" s="37"/>
      <c r="J495" s="37"/>
      <c r="K495" s="37"/>
      <c r="L495" s="38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9"/>
      <c r="Y495" s="1"/>
      <c r="Z495" s="1"/>
    </row>
    <row r="496" spans="1:26" ht="15.75" customHeight="1">
      <c r="A496" s="98"/>
      <c r="B496" s="32"/>
      <c r="C496" s="33"/>
      <c r="D496" s="34"/>
      <c r="E496" s="34"/>
      <c r="F496" s="35"/>
      <c r="G496" s="36"/>
      <c r="H496" s="37"/>
      <c r="I496" s="37"/>
      <c r="J496" s="37"/>
      <c r="K496" s="37"/>
      <c r="L496" s="38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9"/>
      <c r="Y496" s="1"/>
      <c r="Z496" s="1"/>
    </row>
    <row r="497" spans="1:26" ht="15.75" customHeight="1">
      <c r="A497" s="98"/>
      <c r="B497" s="32"/>
      <c r="C497" s="33"/>
      <c r="D497" s="34"/>
      <c r="E497" s="34"/>
      <c r="F497" s="35"/>
      <c r="G497" s="36"/>
      <c r="H497" s="37"/>
      <c r="I497" s="37"/>
      <c r="J497" s="37"/>
      <c r="K497" s="37"/>
      <c r="L497" s="38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9"/>
      <c r="Y497" s="1"/>
      <c r="Z497" s="1"/>
    </row>
    <row r="498" spans="1:26" ht="15.75" customHeight="1">
      <c r="A498" s="98"/>
      <c r="B498" s="32"/>
      <c r="C498" s="33"/>
      <c r="D498" s="34"/>
      <c r="E498" s="34"/>
      <c r="F498" s="35"/>
      <c r="G498" s="36"/>
      <c r="H498" s="37"/>
      <c r="I498" s="37"/>
      <c r="J498" s="37"/>
      <c r="K498" s="37"/>
      <c r="L498" s="38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9"/>
      <c r="Y498" s="1"/>
      <c r="Z498" s="1"/>
    </row>
    <row r="499" spans="1:26" ht="15.75" customHeight="1">
      <c r="A499" s="98"/>
      <c r="B499" s="32"/>
      <c r="C499" s="33"/>
      <c r="D499" s="34"/>
      <c r="E499" s="34"/>
      <c r="F499" s="35"/>
      <c r="G499" s="36"/>
      <c r="H499" s="37"/>
      <c r="I499" s="37"/>
      <c r="J499" s="37"/>
      <c r="K499" s="37"/>
      <c r="L499" s="38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9"/>
      <c r="Y499" s="1"/>
      <c r="Z499" s="1"/>
    </row>
    <row r="500" spans="1:26" ht="15.75" customHeight="1">
      <c r="A500" s="98"/>
      <c r="B500" s="32"/>
      <c r="C500" s="33"/>
      <c r="D500" s="34"/>
      <c r="E500" s="34"/>
      <c r="F500" s="35"/>
      <c r="G500" s="36"/>
      <c r="H500" s="37"/>
      <c r="I500" s="37"/>
      <c r="J500" s="37"/>
      <c r="K500" s="37"/>
      <c r="L500" s="38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9"/>
      <c r="Y500" s="1"/>
      <c r="Z500" s="1"/>
    </row>
    <row r="501" spans="1:26" ht="15.75" customHeight="1">
      <c r="A501" s="98"/>
      <c r="B501" s="32"/>
      <c r="C501" s="33"/>
      <c r="D501" s="34"/>
      <c r="E501" s="34"/>
      <c r="F501" s="35"/>
      <c r="G501" s="36"/>
      <c r="H501" s="37"/>
      <c r="I501" s="37"/>
      <c r="J501" s="37"/>
      <c r="K501" s="37"/>
      <c r="L501" s="38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9"/>
      <c r="Y501" s="1"/>
      <c r="Z501" s="1"/>
    </row>
    <row r="502" spans="1:26" ht="15.75" customHeight="1">
      <c r="A502" s="98"/>
      <c r="B502" s="32"/>
      <c r="C502" s="33"/>
      <c r="D502" s="34"/>
      <c r="E502" s="34"/>
      <c r="F502" s="35"/>
      <c r="G502" s="36"/>
      <c r="H502" s="37"/>
      <c r="I502" s="37"/>
      <c r="J502" s="37"/>
      <c r="K502" s="37"/>
      <c r="L502" s="38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9"/>
      <c r="Y502" s="1"/>
      <c r="Z502" s="1"/>
    </row>
    <row r="503" spans="1:26" ht="15.75" customHeight="1">
      <c r="A503" s="98"/>
      <c r="B503" s="32"/>
      <c r="C503" s="33"/>
      <c r="D503" s="34"/>
      <c r="E503" s="34"/>
      <c r="F503" s="35"/>
      <c r="G503" s="36"/>
      <c r="H503" s="37"/>
      <c r="I503" s="37"/>
      <c r="J503" s="37"/>
      <c r="K503" s="37"/>
      <c r="L503" s="38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9"/>
      <c r="Y503" s="1"/>
      <c r="Z503" s="1"/>
    </row>
    <row r="504" spans="1:26" ht="15.75" customHeight="1">
      <c r="A504" s="98"/>
      <c r="B504" s="32"/>
      <c r="C504" s="33"/>
      <c r="D504" s="34"/>
      <c r="E504" s="34"/>
      <c r="F504" s="35"/>
      <c r="G504" s="36"/>
      <c r="H504" s="37"/>
      <c r="I504" s="37"/>
      <c r="J504" s="37"/>
      <c r="K504" s="37"/>
      <c r="L504" s="38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9"/>
      <c r="Y504" s="1"/>
      <c r="Z504" s="1"/>
    </row>
    <row r="505" spans="1:26" ht="15.75" customHeight="1">
      <c r="A505" s="98"/>
      <c r="B505" s="32"/>
      <c r="C505" s="33"/>
      <c r="D505" s="34"/>
      <c r="E505" s="34"/>
      <c r="F505" s="35"/>
      <c r="G505" s="36"/>
      <c r="H505" s="37"/>
      <c r="I505" s="37"/>
      <c r="J505" s="37"/>
      <c r="K505" s="37"/>
      <c r="L505" s="38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9"/>
      <c r="Y505" s="1"/>
      <c r="Z505" s="1"/>
    </row>
    <row r="506" spans="1:26" ht="15.75" customHeight="1">
      <c r="A506" s="98"/>
      <c r="B506" s="32"/>
      <c r="C506" s="33"/>
      <c r="D506" s="34"/>
      <c r="E506" s="34"/>
      <c r="F506" s="35"/>
      <c r="G506" s="36"/>
      <c r="H506" s="37"/>
      <c r="I506" s="37"/>
      <c r="J506" s="37"/>
      <c r="K506" s="37"/>
      <c r="L506" s="38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9"/>
      <c r="Y506" s="1"/>
      <c r="Z506" s="1"/>
    </row>
    <row r="507" spans="1:26" ht="15.75" customHeight="1">
      <c r="A507" s="98"/>
      <c r="B507" s="32"/>
      <c r="C507" s="33"/>
      <c r="D507" s="34"/>
      <c r="E507" s="34"/>
      <c r="F507" s="35"/>
      <c r="G507" s="36"/>
      <c r="H507" s="37"/>
      <c r="I507" s="37"/>
      <c r="J507" s="37"/>
      <c r="K507" s="37"/>
      <c r="L507" s="38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9"/>
      <c r="Y507" s="1"/>
      <c r="Z507" s="1"/>
    </row>
    <row r="508" spans="1:26" ht="15.75" customHeight="1">
      <c r="A508" s="98"/>
      <c r="B508" s="32"/>
      <c r="C508" s="33"/>
      <c r="D508" s="34"/>
      <c r="E508" s="34"/>
      <c r="F508" s="35"/>
      <c r="G508" s="36"/>
      <c r="H508" s="37"/>
      <c r="I508" s="37"/>
      <c r="J508" s="37"/>
      <c r="K508" s="37"/>
      <c r="L508" s="38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9"/>
      <c r="Y508" s="1"/>
      <c r="Z508" s="1"/>
    </row>
    <row r="509" spans="1:26" ht="15.75" customHeight="1">
      <c r="A509" s="98"/>
      <c r="B509" s="32"/>
      <c r="C509" s="33"/>
      <c r="D509" s="34"/>
      <c r="E509" s="34"/>
      <c r="F509" s="35"/>
      <c r="G509" s="36"/>
      <c r="H509" s="37"/>
      <c r="I509" s="37"/>
      <c r="J509" s="37"/>
      <c r="K509" s="37"/>
      <c r="L509" s="38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9"/>
      <c r="Y509" s="1"/>
      <c r="Z509" s="1"/>
    </row>
    <row r="510" spans="1:26" ht="15.75" customHeight="1">
      <c r="A510" s="98"/>
      <c r="B510" s="32"/>
      <c r="C510" s="33"/>
      <c r="D510" s="34"/>
      <c r="E510" s="34"/>
      <c r="F510" s="35"/>
      <c r="G510" s="36"/>
      <c r="H510" s="37"/>
      <c r="I510" s="37"/>
      <c r="J510" s="37"/>
      <c r="K510" s="37"/>
      <c r="L510" s="38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9"/>
      <c r="Y510" s="1"/>
      <c r="Z510" s="1"/>
    </row>
    <row r="511" spans="1:26" ht="15.75" customHeight="1">
      <c r="A511" s="98"/>
      <c r="B511" s="32"/>
      <c r="C511" s="33"/>
      <c r="D511" s="34"/>
      <c r="E511" s="34"/>
      <c r="F511" s="35"/>
      <c r="G511" s="36"/>
      <c r="H511" s="37"/>
      <c r="I511" s="37"/>
      <c r="J511" s="37"/>
      <c r="K511" s="37"/>
      <c r="L511" s="38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9"/>
      <c r="Y511" s="1"/>
      <c r="Z511" s="1"/>
    </row>
    <row r="512" spans="1:26" ht="15.75" customHeight="1">
      <c r="A512" s="98"/>
      <c r="B512" s="32"/>
      <c r="C512" s="33"/>
      <c r="D512" s="34"/>
      <c r="E512" s="34"/>
      <c r="F512" s="35"/>
      <c r="G512" s="36"/>
      <c r="H512" s="37"/>
      <c r="I512" s="37"/>
      <c r="J512" s="37"/>
      <c r="K512" s="37"/>
      <c r="L512" s="38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9"/>
      <c r="Y512" s="1"/>
      <c r="Z512" s="1"/>
    </row>
    <row r="513" spans="1:26" ht="15.75" customHeight="1">
      <c r="A513" s="98"/>
      <c r="B513" s="32"/>
      <c r="C513" s="33"/>
      <c r="D513" s="34"/>
      <c r="E513" s="34"/>
      <c r="F513" s="35"/>
      <c r="G513" s="36"/>
      <c r="H513" s="37"/>
      <c r="I513" s="37"/>
      <c r="J513" s="37"/>
      <c r="K513" s="37"/>
      <c r="L513" s="38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9"/>
      <c r="Y513" s="1"/>
      <c r="Z513" s="1"/>
    </row>
    <row r="514" spans="1:26" ht="15.75" customHeight="1">
      <c r="A514" s="98"/>
      <c r="B514" s="32"/>
      <c r="C514" s="33"/>
      <c r="D514" s="34"/>
      <c r="E514" s="34"/>
      <c r="F514" s="35"/>
      <c r="G514" s="36"/>
      <c r="H514" s="37"/>
      <c r="I514" s="37"/>
      <c r="J514" s="37"/>
      <c r="K514" s="37"/>
      <c r="L514" s="38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9"/>
      <c r="Y514" s="1"/>
      <c r="Z514" s="1"/>
    </row>
    <row r="515" spans="1:26" ht="15.75" customHeight="1">
      <c r="A515" s="98"/>
      <c r="B515" s="32"/>
      <c r="C515" s="33"/>
      <c r="D515" s="34"/>
      <c r="E515" s="34"/>
      <c r="F515" s="35"/>
      <c r="G515" s="36"/>
      <c r="H515" s="37"/>
      <c r="I515" s="37"/>
      <c r="J515" s="37"/>
      <c r="K515" s="37"/>
      <c r="L515" s="38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9"/>
      <c r="Y515" s="1"/>
      <c r="Z515" s="1"/>
    </row>
    <row r="516" spans="1:26" ht="15.75" customHeight="1">
      <c r="A516" s="98"/>
      <c r="B516" s="32"/>
      <c r="C516" s="33"/>
      <c r="D516" s="34"/>
      <c r="E516" s="34"/>
      <c r="F516" s="35"/>
      <c r="G516" s="36"/>
      <c r="H516" s="37"/>
      <c r="I516" s="37"/>
      <c r="J516" s="37"/>
      <c r="K516" s="37"/>
      <c r="L516" s="38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9"/>
      <c r="Y516" s="1"/>
      <c r="Z516" s="1"/>
    </row>
    <row r="517" spans="1:26" ht="15.75" customHeight="1">
      <c r="A517" s="98"/>
      <c r="B517" s="32"/>
      <c r="C517" s="33"/>
      <c r="D517" s="34"/>
      <c r="E517" s="34"/>
      <c r="F517" s="35"/>
      <c r="G517" s="36"/>
      <c r="H517" s="37"/>
      <c r="I517" s="37"/>
      <c r="J517" s="37"/>
      <c r="K517" s="37"/>
      <c r="L517" s="38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9"/>
      <c r="Y517" s="1"/>
      <c r="Z517" s="1"/>
    </row>
    <row r="518" spans="1:26" ht="15.75" customHeight="1">
      <c r="A518" s="98"/>
      <c r="B518" s="32"/>
      <c r="C518" s="33"/>
      <c r="D518" s="34"/>
      <c r="E518" s="34"/>
      <c r="F518" s="35"/>
      <c r="G518" s="36"/>
      <c r="H518" s="37"/>
      <c r="I518" s="37"/>
      <c r="J518" s="37"/>
      <c r="K518" s="37"/>
      <c r="L518" s="38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9"/>
      <c r="Y518" s="1"/>
      <c r="Z518" s="1"/>
    </row>
    <row r="519" spans="1:26" ht="15.75" customHeight="1">
      <c r="A519" s="98"/>
      <c r="B519" s="32"/>
      <c r="C519" s="33"/>
      <c r="D519" s="34"/>
      <c r="E519" s="34"/>
      <c r="F519" s="35"/>
      <c r="G519" s="36"/>
      <c r="H519" s="37"/>
      <c r="I519" s="37"/>
      <c r="J519" s="37"/>
      <c r="K519" s="37"/>
      <c r="L519" s="38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9"/>
      <c r="Y519" s="1"/>
      <c r="Z519" s="1"/>
    </row>
    <row r="520" spans="1:26" ht="15.75" customHeight="1">
      <c r="A520" s="98"/>
      <c r="B520" s="32"/>
      <c r="C520" s="33"/>
      <c r="D520" s="34"/>
      <c r="E520" s="34"/>
      <c r="F520" s="35"/>
      <c r="G520" s="36"/>
      <c r="H520" s="37"/>
      <c r="I520" s="37"/>
      <c r="J520" s="37"/>
      <c r="K520" s="37"/>
      <c r="L520" s="38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9"/>
      <c r="Y520" s="1"/>
      <c r="Z520" s="1"/>
    </row>
    <row r="521" spans="1:26" ht="15.75" customHeight="1">
      <c r="A521" s="98"/>
      <c r="B521" s="32"/>
      <c r="C521" s="33"/>
      <c r="D521" s="34"/>
      <c r="E521" s="34"/>
      <c r="F521" s="35"/>
      <c r="G521" s="36"/>
      <c r="H521" s="37"/>
      <c r="I521" s="37"/>
      <c r="J521" s="37"/>
      <c r="K521" s="37"/>
      <c r="L521" s="38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9"/>
      <c r="Y521" s="1"/>
      <c r="Z521" s="1"/>
    </row>
    <row r="522" spans="1:26" ht="15.75" customHeight="1">
      <c r="A522" s="98"/>
      <c r="B522" s="32"/>
      <c r="C522" s="33"/>
      <c r="D522" s="34"/>
      <c r="E522" s="34"/>
      <c r="F522" s="35"/>
      <c r="G522" s="36"/>
      <c r="H522" s="37"/>
      <c r="I522" s="37"/>
      <c r="J522" s="37"/>
      <c r="K522" s="37"/>
      <c r="L522" s="38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9"/>
      <c r="Y522" s="1"/>
      <c r="Z522" s="1"/>
    </row>
    <row r="523" spans="1:26" ht="15.75" customHeight="1">
      <c r="A523" s="98"/>
      <c r="B523" s="32"/>
      <c r="C523" s="33"/>
      <c r="D523" s="34"/>
      <c r="E523" s="34"/>
      <c r="F523" s="35"/>
      <c r="G523" s="36"/>
      <c r="H523" s="37"/>
      <c r="I523" s="37"/>
      <c r="J523" s="37"/>
      <c r="K523" s="37"/>
      <c r="L523" s="38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9"/>
      <c r="Y523" s="1"/>
      <c r="Z523" s="1"/>
    </row>
    <row r="524" spans="1:26" ht="15.75" customHeight="1">
      <c r="A524" s="98"/>
      <c r="B524" s="32"/>
      <c r="C524" s="33"/>
      <c r="D524" s="34"/>
      <c r="E524" s="34"/>
      <c r="F524" s="35"/>
      <c r="G524" s="36"/>
      <c r="H524" s="37"/>
      <c r="I524" s="37"/>
      <c r="J524" s="37"/>
      <c r="K524" s="37"/>
      <c r="L524" s="38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9"/>
      <c r="Y524" s="1"/>
      <c r="Z524" s="1"/>
    </row>
    <row r="525" spans="1:26" ht="15.75" customHeight="1">
      <c r="A525" s="98"/>
      <c r="B525" s="32"/>
      <c r="C525" s="33"/>
      <c r="D525" s="34"/>
      <c r="E525" s="34"/>
      <c r="F525" s="35"/>
      <c r="G525" s="36"/>
      <c r="H525" s="37"/>
      <c r="I525" s="37"/>
      <c r="J525" s="37"/>
      <c r="K525" s="37"/>
      <c r="L525" s="38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9"/>
      <c r="Y525" s="1"/>
      <c r="Z525" s="1"/>
    </row>
    <row r="526" spans="1:26" ht="15.75" customHeight="1">
      <c r="A526" s="98"/>
      <c r="B526" s="32"/>
      <c r="C526" s="33"/>
      <c r="D526" s="34"/>
      <c r="E526" s="34"/>
      <c r="F526" s="35"/>
      <c r="G526" s="36"/>
      <c r="H526" s="37"/>
      <c r="I526" s="37"/>
      <c r="J526" s="37"/>
      <c r="K526" s="37"/>
      <c r="L526" s="38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9"/>
      <c r="Y526" s="1"/>
      <c r="Z526" s="1"/>
    </row>
    <row r="527" spans="1:26" ht="15.75" customHeight="1">
      <c r="A527" s="98"/>
      <c r="B527" s="32"/>
      <c r="C527" s="33"/>
      <c r="D527" s="34"/>
      <c r="E527" s="34"/>
      <c r="F527" s="35"/>
      <c r="G527" s="36"/>
      <c r="H527" s="37"/>
      <c r="I527" s="37"/>
      <c r="J527" s="37"/>
      <c r="K527" s="37"/>
      <c r="L527" s="38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9"/>
      <c r="Y527" s="1"/>
      <c r="Z527" s="1"/>
    </row>
    <row r="528" spans="1:26" ht="15.75" customHeight="1">
      <c r="A528" s="98"/>
      <c r="B528" s="32"/>
      <c r="C528" s="33"/>
      <c r="D528" s="34"/>
      <c r="E528" s="34"/>
      <c r="F528" s="35"/>
      <c r="G528" s="36"/>
      <c r="H528" s="37"/>
      <c r="I528" s="37"/>
      <c r="J528" s="37"/>
      <c r="K528" s="37"/>
      <c r="L528" s="38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9"/>
      <c r="Y528" s="1"/>
      <c r="Z528" s="1"/>
    </row>
    <row r="529" spans="1:26" ht="15.75" customHeight="1">
      <c r="A529" s="98"/>
      <c r="B529" s="32"/>
      <c r="C529" s="33"/>
      <c r="D529" s="34"/>
      <c r="E529" s="34"/>
      <c r="F529" s="35"/>
      <c r="G529" s="36"/>
      <c r="H529" s="37"/>
      <c r="I529" s="37"/>
      <c r="J529" s="37"/>
      <c r="K529" s="37"/>
      <c r="L529" s="38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9"/>
      <c r="Y529" s="1"/>
      <c r="Z529" s="1"/>
    </row>
    <row r="530" spans="1:26" ht="15.75" customHeight="1">
      <c r="A530" s="98"/>
      <c r="B530" s="32"/>
      <c r="C530" s="33"/>
      <c r="D530" s="34"/>
      <c r="E530" s="34"/>
      <c r="F530" s="35"/>
      <c r="G530" s="36"/>
      <c r="H530" s="37"/>
      <c r="I530" s="37"/>
      <c r="J530" s="37"/>
      <c r="K530" s="37"/>
      <c r="L530" s="38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9"/>
      <c r="Y530" s="1"/>
      <c r="Z530" s="1"/>
    </row>
    <row r="531" spans="1:26" ht="15.75" customHeight="1">
      <c r="A531" s="98"/>
      <c r="B531" s="32"/>
      <c r="C531" s="33"/>
      <c r="D531" s="34"/>
      <c r="E531" s="34"/>
      <c r="F531" s="35"/>
      <c r="G531" s="36"/>
      <c r="H531" s="37"/>
      <c r="I531" s="37"/>
      <c r="J531" s="37"/>
      <c r="K531" s="37"/>
      <c r="L531" s="38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9"/>
      <c r="Y531" s="1"/>
      <c r="Z531" s="1"/>
    </row>
    <row r="532" spans="1:26" ht="15.75" customHeight="1">
      <c r="A532" s="98"/>
      <c r="B532" s="32"/>
      <c r="C532" s="33"/>
      <c r="D532" s="34"/>
      <c r="E532" s="34"/>
      <c r="F532" s="35"/>
      <c r="G532" s="36"/>
      <c r="H532" s="37"/>
      <c r="I532" s="37"/>
      <c r="J532" s="37"/>
      <c r="K532" s="37"/>
      <c r="L532" s="38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9"/>
      <c r="Y532" s="1"/>
      <c r="Z532" s="1"/>
    </row>
    <row r="533" spans="1:26" ht="15.75" customHeight="1">
      <c r="A533" s="98"/>
      <c r="B533" s="32"/>
      <c r="C533" s="33"/>
      <c r="D533" s="34"/>
      <c r="E533" s="34"/>
      <c r="F533" s="35"/>
      <c r="G533" s="36"/>
      <c r="H533" s="37"/>
      <c r="I533" s="37"/>
      <c r="J533" s="37"/>
      <c r="K533" s="37"/>
      <c r="L533" s="38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9"/>
      <c r="Y533" s="1"/>
      <c r="Z533" s="1"/>
    </row>
    <row r="534" spans="1:26" ht="15.75" customHeight="1">
      <c r="A534" s="98"/>
      <c r="B534" s="32"/>
      <c r="C534" s="33"/>
      <c r="D534" s="34"/>
      <c r="E534" s="34"/>
      <c r="F534" s="35"/>
      <c r="G534" s="36"/>
      <c r="H534" s="37"/>
      <c r="I534" s="37"/>
      <c r="J534" s="37"/>
      <c r="K534" s="37"/>
      <c r="L534" s="38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9"/>
      <c r="Y534" s="1"/>
      <c r="Z534" s="1"/>
    </row>
    <row r="535" spans="1:26" ht="15.75" customHeight="1">
      <c r="A535" s="98"/>
      <c r="B535" s="32"/>
      <c r="C535" s="33"/>
      <c r="D535" s="34"/>
      <c r="E535" s="34"/>
      <c r="F535" s="35"/>
      <c r="G535" s="36"/>
      <c r="H535" s="37"/>
      <c r="I535" s="37"/>
      <c r="J535" s="37"/>
      <c r="K535" s="37"/>
      <c r="L535" s="38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9"/>
      <c r="Y535" s="1"/>
      <c r="Z535" s="1"/>
    </row>
    <row r="536" spans="1:26" ht="15.75" customHeight="1">
      <c r="A536" s="98"/>
      <c r="B536" s="32"/>
      <c r="C536" s="33"/>
      <c r="D536" s="34"/>
      <c r="E536" s="34"/>
      <c r="F536" s="35"/>
      <c r="G536" s="36"/>
      <c r="H536" s="37"/>
      <c r="I536" s="37"/>
      <c r="J536" s="37"/>
      <c r="K536" s="37"/>
      <c r="L536" s="38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9"/>
      <c r="Y536" s="1"/>
      <c r="Z536" s="1"/>
    </row>
    <row r="537" spans="1:26" ht="15.75" customHeight="1">
      <c r="A537" s="98"/>
      <c r="B537" s="32"/>
      <c r="C537" s="33"/>
      <c r="D537" s="34"/>
      <c r="E537" s="34"/>
      <c r="F537" s="35"/>
      <c r="G537" s="36"/>
      <c r="H537" s="37"/>
      <c r="I537" s="37"/>
      <c r="J537" s="37"/>
      <c r="K537" s="37"/>
      <c r="L537" s="38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9"/>
      <c r="Y537" s="1"/>
      <c r="Z537" s="1"/>
    </row>
    <row r="538" spans="1:26" ht="15.75" customHeight="1">
      <c r="A538" s="98"/>
      <c r="B538" s="32"/>
      <c r="C538" s="33"/>
      <c r="D538" s="34"/>
      <c r="E538" s="34"/>
      <c r="F538" s="35"/>
      <c r="G538" s="36"/>
      <c r="H538" s="37"/>
      <c r="I538" s="37"/>
      <c r="J538" s="37"/>
      <c r="K538" s="37"/>
      <c r="L538" s="38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9"/>
      <c r="Y538" s="1"/>
      <c r="Z538" s="1"/>
    </row>
    <row r="539" spans="1:26" ht="15.75" customHeight="1">
      <c r="A539" s="98"/>
      <c r="B539" s="32"/>
      <c r="C539" s="33"/>
      <c r="D539" s="34"/>
      <c r="E539" s="34"/>
      <c r="F539" s="35"/>
      <c r="G539" s="36"/>
      <c r="H539" s="37"/>
      <c r="I539" s="37"/>
      <c r="J539" s="37"/>
      <c r="K539" s="37"/>
      <c r="L539" s="38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9"/>
      <c r="Y539" s="1"/>
      <c r="Z539" s="1"/>
    </row>
    <row r="540" spans="1:26" ht="15.75" customHeight="1">
      <c r="A540" s="98"/>
      <c r="B540" s="32"/>
      <c r="C540" s="33"/>
      <c r="D540" s="34"/>
      <c r="E540" s="34"/>
      <c r="F540" s="35"/>
      <c r="G540" s="36"/>
      <c r="H540" s="37"/>
      <c r="I540" s="37"/>
      <c r="J540" s="37"/>
      <c r="K540" s="37"/>
      <c r="L540" s="38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9"/>
      <c r="Y540" s="1"/>
      <c r="Z540" s="1"/>
    </row>
    <row r="541" spans="1:26" ht="15.75" customHeight="1">
      <c r="A541" s="98"/>
      <c r="B541" s="32"/>
      <c r="C541" s="33"/>
      <c r="D541" s="34"/>
      <c r="E541" s="34"/>
      <c r="F541" s="35"/>
      <c r="G541" s="36"/>
      <c r="H541" s="37"/>
      <c r="I541" s="37"/>
      <c r="J541" s="37"/>
      <c r="K541" s="37"/>
      <c r="L541" s="38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9"/>
      <c r="Y541" s="1"/>
      <c r="Z541" s="1"/>
    </row>
    <row r="542" spans="1:26" ht="15.75" customHeight="1">
      <c r="A542" s="98"/>
      <c r="B542" s="32"/>
      <c r="C542" s="33"/>
      <c r="D542" s="34"/>
      <c r="E542" s="34"/>
      <c r="F542" s="35"/>
      <c r="G542" s="36"/>
      <c r="H542" s="37"/>
      <c r="I542" s="37"/>
      <c r="J542" s="37"/>
      <c r="K542" s="37"/>
      <c r="L542" s="38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9"/>
      <c r="Y542" s="1"/>
      <c r="Z542" s="1"/>
    </row>
    <row r="543" spans="1:26" ht="15.75" customHeight="1">
      <c r="A543" s="98"/>
      <c r="B543" s="32"/>
      <c r="C543" s="33"/>
      <c r="D543" s="34"/>
      <c r="E543" s="34"/>
      <c r="F543" s="35"/>
      <c r="G543" s="36"/>
      <c r="H543" s="37"/>
      <c r="I543" s="37"/>
      <c r="J543" s="37"/>
      <c r="K543" s="37"/>
      <c r="L543" s="38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9"/>
      <c r="Y543" s="1"/>
      <c r="Z543" s="1"/>
    </row>
    <row r="544" spans="1:26" ht="15.75" customHeight="1">
      <c r="A544" s="98"/>
      <c r="B544" s="32"/>
      <c r="C544" s="33"/>
      <c r="D544" s="34"/>
      <c r="E544" s="34"/>
      <c r="F544" s="35"/>
      <c r="G544" s="36"/>
      <c r="H544" s="37"/>
      <c r="I544" s="37"/>
      <c r="J544" s="37"/>
      <c r="K544" s="37"/>
      <c r="L544" s="38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9"/>
      <c r="Y544" s="1"/>
      <c r="Z544" s="1"/>
    </row>
    <row r="545" spans="1:26" ht="15.75" customHeight="1">
      <c r="A545" s="98"/>
      <c r="B545" s="32"/>
      <c r="C545" s="33"/>
      <c r="D545" s="34"/>
      <c r="E545" s="34"/>
      <c r="F545" s="35"/>
      <c r="G545" s="36"/>
      <c r="H545" s="37"/>
      <c r="I545" s="37"/>
      <c r="J545" s="37"/>
      <c r="K545" s="37"/>
      <c r="L545" s="38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9"/>
      <c r="Y545" s="1"/>
      <c r="Z545" s="1"/>
    </row>
    <row r="546" spans="1:26" ht="15.75" customHeight="1">
      <c r="A546" s="98"/>
      <c r="B546" s="32"/>
      <c r="C546" s="33"/>
      <c r="D546" s="34"/>
      <c r="E546" s="34"/>
      <c r="F546" s="35"/>
      <c r="G546" s="36"/>
      <c r="H546" s="37"/>
      <c r="I546" s="37"/>
      <c r="J546" s="37"/>
      <c r="K546" s="37"/>
      <c r="L546" s="38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9"/>
      <c r="Y546" s="1"/>
      <c r="Z546" s="1"/>
    </row>
    <row r="547" spans="1:26" ht="15.75" customHeight="1">
      <c r="A547" s="98"/>
      <c r="B547" s="32"/>
      <c r="C547" s="33"/>
      <c r="D547" s="34"/>
      <c r="E547" s="34"/>
      <c r="F547" s="35"/>
      <c r="G547" s="36"/>
      <c r="H547" s="37"/>
      <c r="I547" s="37"/>
      <c r="J547" s="37"/>
      <c r="K547" s="37"/>
      <c r="L547" s="38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9"/>
      <c r="Y547" s="1"/>
      <c r="Z547" s="1"/>
    </row>
    <row r="548" spans="1:26" ht="15.75" customHeight="1">
      <c r="A548" s="98"/>
      <c r="B548" s="32"/>
      <c r="C548" s="33"/>
      <c r="D548" s="34"/>
      <c r="E548" s="34"/>
      <c r="F548" s="35"/>
      <c r="G548" s="36"/>
      <c r="H548" s="37"/>
      <c r="I548" s="37"/>
      <c r="J548" s="37"/>
      <c r="K548" s="37"/>
      <c r="L548" s="38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9"/>
      <c r="Y548" s="1"/>
      <c r="Z548" s="1"/>
    </row>
    <row r="549" spans="1:26" ht="15.75" customHeight="1">
      <c r="A549" s="98"/>
      <c r="B549" s="32"/>
      <c r="C549" s="33"/>
      <c r="D549" s="34"/>
      <c r="E549" s="34"/>
      <c r="F549" s="35"/>
      <c r="G549" s="36"/>
      <c r="H549" s="37"/>
      <c r="I549" s="37"/>
      <c r="J549" s="37"/>
      <c r="K549" s="37"/>
      <c r="L549" s="38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9"/>
      <c r="Y549" s="1"/>
      <c r="Z549" s="1"/>
    </row>
    <row r="550" spans="1:26" ht="15.75" customHeight="1">
      <c r="A550" s="98"/>
      <c r="B550" s="32"/>
      <c r="C550" s="33"/>
      <c r="D550" s="34"/>
      <c r="E550" s="34"/>
      <c r="F550" s="35"/>
      <c r="G550" s="36"/>
      <c r="H550" s="37"/>
      <c r="I550" s="37"/>
      <c r="J550" s="37"/>
      <c r="K550" s="37"/>
      <c r="L550" s="38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9"/>
      <c r="Y550" s="1"/>
      <c r="Z550" s="1"/>
    </row>
    <row r="551" spans="1:26" ht="15.75" customHeight="1">
      <c r="A551" s="98"/>
      <c r="B551" s="32"/>
      <c r="C551" s="33"/>
      <c r="D551" s="34"/>
      <c r="E551" s="34"/>
      <c r="F551" s="35"/>
      <c r="G551" s="36"/>
      <c r="H551" s="37"/>
      <c r="I551" s="37"/>
      <c r="J551" s="37"/>
      <c r="K551" s="37"/>
      <c r="L551" s="38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9"/>
      <c r="Y551" s="1"/>
      <c r="Z551" s="1"/>
    </row>
    <row r="552" spans="1:26" ht="15.75" customHeight="1">
      <c r="A552" s="98"/>
      <c r="B552" s="32"/>
      <c r="C552" s="33"/>
      <c r="D552" s="34"/>
      <c r="E552" s="34"/>
      <c r="F552" s="35"/>
      <c r="G552" s="36"/>
      <c r="H552" s="37"/>
      <c r="I552" s="37"/>
      <c r="J552" s="37"/>
      <c r="K552" s="37"/>
      <c r="L552" s="38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9"/>
      <c r="Y552" s="1"/>
      <c r="Z552" s="1"/>
    </row>
    <row r="553" spans="1:26" ht="15.75" customHeight="1">
      <c r="A553" s="98"/>
      <c r="B553" s="32"/>
      <c r="C553" s="33"/>
      <c r="D553" s="34"/>
      <c r="E553" s="34"/>
      <c r="F553" s="35"/>
      <c r="G553" s="36"/>
      <c r="H553" s="37"/>
      <c r="I553" s="37"/>
      <c r="J553" s="37"/>
      <c r="K553" s="37"/>
      <c r="L553" s="38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9"/>
      <c r="Y553" s="1"/>
      <c r="Z553" s="1"/>
    </row>
    <row r="554" spans="1:26" ht="15.75" customHeight="1">
      <c r="A554" s="98"/>
      <c r="B554" s="32"/>
      <c r="C554" s="33"/>
      <c r="D554" s="34"/>
      <c r="E554" s="34"/>
      <c r="F554" s="35"/>
      <c r="G554" s="36"/>
      <c r="H554" s="37"/>
      <c r="I554" s="37"/>
      <c r="J554" s="37"/>
      <c r="K554" s="37"/>
      <c r="L554" s="38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9"/>
      <c r="Y554" s="1"/>
      <c r="Z554" s="1"/>
    </row>
    <row r="555" spans="1:26" ht="15.75" customHeight="1">
      <c r="A555" s="98"/>
      <c r="B555" s="32"/>
      <c r="C555" s="33"/>
      <c r="D555" s="34"/>
      <c r="E555" s="34"/>
      <c r="F555" s="35"/>
      <c r="G555" s="36"/>
      <c r="H555" s="37"/>
      <c r="I555" s="37"/>
      <c r="J555" s="37"/>
      <c r="K555" s="37"/>
      <c r="L555" s="38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9"/>
      <c r="Y555" s="1"/>
      <c r="Z555" s="1"/>
    </row>
    <row r="556" spans="1:26" ht="15.75" customHeight="1">
      <c r="A556" s="98"/>
      <c r="B556" s="32"/>
      <c r="C556" s="33"/>
      <c r="D556" s="34"/>
      <c r="E556" s="34"/>
      <c r="F556" s="35"/>
      <c r="G556" s="36"/>
      <c r="H556" s="37"/>
      <c r="I556" s="37"/>
      <c r="J556" s="37"/>
      <c r="K556" s="37"/>
      <c r="L556" s="38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9"/>
      <c r="Y556" s="1"/>
      <c r="Z556" s="1"/>
    </row>
    <row r="557" spans="1:26" ht="15.75" customHeight="1">
      <c r="A557" s="98"/>
      <c r="B557" s="32"/>
      <c r="C557" s="33"/>
      <c r="D557" s="34"/>
      <c r="E557" s="34"/>
      <c r="F557" s="35"/>
      <c r="G557" s="36"/>
      <c r="H557" s="37"/>
      <c r="I557" s="37"/>
      <c r="J557" s="37"/>
      <c r="K557" s="37"/>
      <c r="L557" s="38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9"/>
      <c r="Y557" s="1"/>
      <c r="Z557" s="1"/>
    </row>
    <row r="558" spans="1:26" ht="15.75" customHeight="1">
      <c r="A558" s="98"/>
      <c r="B558" s="32"/>
      <c r="C558" s="33"/>
      <c r="D558" s="34"/>
      <c r="E558" s="34"/>
      <c r="F558" s="35"/>
      <c r="G558" s="36"/>
      <c r="H558" s="37"/>
      <c r="I558" s="37"/>
      <c r="J558" s="37"/>
      <c r="K558" s="37"/>
      <c r="L558" s="38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9"/>
      <c r="Y558" s="1"/>
      <c r="Z558" s="1"/>
    </row>
    <row r="559" spans="1:26" ht="15.75" customHeight="1">
      <c r="A559" s="98"/>
      <c r="B559" s="32"/>
      <c r="C559" s="33"/>
      <c r="D559" s="34"/>
      <c r="E559" s="34"/>
      <c r="F559" s="35"/>
      <c r="G559" s="36"/>
      <c r="H559" s="37"/>
      <c r="I559" s="37"/>
      <c r="J559" s="37"/>
      <c r="K559" s="37"/>
      <c r="L559" s="38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9"/>
      <c r="Y559" s="1"/>
      <c r="Z559" s="1"/>
    </row>
    <row r="560" spans="1:26" ht="15.75" customHeight="1">
      <c r="A560" s="98"/>
      <c r="B560" s="32"/>
      <c r="C560" s="33"/>
      <c r="D560" s="34"/>
      <c r="E560" s="34"/>
      <c r="F560" s="35"/>
      <c r="G560" s="36"/>
      <c r="H560" s="37"/>
      <c r="I560" s="37"/>
      <c r="J560" s="37"/>
      <c r="K560" s="37"/>
      <c r="L560" s="38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9"/>
      <c r="Y560" s="1"/>
      <c r="Z560" s="1"/>
    </row>
    <row r="561" spans="1:26" ht="15.75" customHeight="1">
      <c r="A561" s="98"/>
      <c r="B561" s="32"/>
      <c r="C561" s="33"/>
      <c r="D561" s="34"/>
      <c r="E561" s="34"/>
      <c r="F561" s="35"/>
      <c r="G561" s="36"/>
      <c r="H561" s="37"/>
      <c r="I561" s="37"/>
      <c r="J561" s="37"/>
      <c r="K561" s="37"/>
      <c r="L561" s="38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9"/>
      <c r="Y561" s="1"/>
      <c r="Z561" s="1"/>
    </row>
    <row r="562" spans="1:26" ht="15.75" customHeight="1">
      <c r="A562" s="98"/>
      <c r="B562" s="32"/>
      <c r="C562" s="33"/>
      <c r="D562" s="34"/>
      <c r="E562" s="34"/>
      <c r="F562" s="35"/>
      <c r="G562" s="36"/>
      <c r="H562" s="37"/>
      <c r="I562" s="37"/>
      <c r="J562" s="37"/>
      <c r="K562" s="37"/>
      <c r="L562" s="38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9"/>
      <c r="Y562" s="1"/>
      <c r="Z562" s="1"/>
    </row>
    <row r="563" spans="1:26" ht="15.75" customHeight="1">
      <c r="A563" s="98"/>
      <c r="B563" s="32"/>
      <c r="C563" s="33"/>
      <c r="D563" s="34"/>
      <c r="E563" s="34"/>
      <c r="F563" s="35"/>
      <c r="G563" s="36"/>
      <c r="H563" s="37"/>
      <c r="I563" s="37"/>
      <c r="J563" s="37"/>
      <c r="K563" s="37"/>
      <c r="L563" s="38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9"/>
      <c r="Y563" s="1"/>
      <c r="Z563" s="1"/>
    </row>
    <row r="564" spans="1:26" ht="15.75" customHeight="1">
      <c r="A564" s="98"/>
      <c r="B564" s="32"/>
      <c r="C564" s="33"/>
      <c r="D564" s="34"/>
      <c r="E564" s="34"/>
      <c r="F564" s="35"/>
      <c r="G564" s="36"/>
      <c r="H564" s="37"/>
      <c r="I564" s="37"/>
      <c r="J564" s="37"/>
      <c r="K564" s="37"/>
      <c r="L564" s="38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9"/>
      <c r="Y564" s="1"/>
      <c r="Z564" s="1"/>
    </row>
    <row r="565" spans="1:26" ht="15.75" customHeight="1">
      <c r="A565" s="98"/>
      <c r="B565" s="32"/>
      <c r="C565" s="33"/>
      <c r="D565" s="34"/>
      <c r="E565" s="34"/>
      <c r="F565" s="35"/>
      <c r="G565" s="36"/>
      <c r="H565" s="37"/>
      <c r="I565" s="37"/>
      <c r="J565" s="37"/>
      <c r="K565" s="37"/>
      <c r="L565" s="38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9"/>
      <c r="Y565" s="1"/>
      <c r="Z565" s="1"/>
    </row>
    <row r="566" spans="1:26" ht="15.75" customHeight="1">
      <c r="A566" s="98"/>
      <c r="B566" s="32"/>
      <c r="C566" s="33"/>
      <c r="D566" s="34"/>
      <c r="E566" s="34"/>
      <c r="F566" s="35"/>
      <c r="G566" s="36"/>
      <c r="H566" s="37"/>
      <c r="I566" s="37"/>
      <c r="J566" s="37"/>
      <c r="K566" s="37"/>
      <c r="L566" s="38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9"/>
      <c r="Y566" s="1"/>
      <c r="Z566" s="1"/>
    </row>
    <row r="567" spans="1:26" ht="15.75" customHeight="1">
      <c r="A567" s="98"/>
      <c r="B567" s="32"/>
      <c r="C567" s="33"/>
      <c r="D567" s="34"/>
      <c r="E567" s="34"/>
      <c r="F567" s="35"/>
      <c r="G567" s="36"/>
      <c r="H567" s="37"/>
      <c r="I567" s="37"/>
      <c r="J567" s="37"/>
      <c r="K567" s="37"/>
      <c r="L567" s="38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9"/>
      <c r="Y567" s="1"/>
      <c r="Z567" s="1"/>
    </row>
    <row r="568" spans="1:26" ht="15.75" customHeight="1">
      <c r="A568" s="98"/>
      <c r="B568" s="32"/>
      <c r="C568" s="33"/>
      <c r="D568" s="34"/>
      <c r="E568" s="34"/>
      <c r="F568" s="35"/>
      <c r="G568" s="36"/>
      <c r="H568" s="37"/>
      <c r="I568" s="37"/>
      <c r="J568" s="37"/>
      <c r="K568" s="37"/>
      <c r="L568" s="38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9"/>
      <c r="Y568" s="1"/>
      <c r="Z568" s="1"/>
    </row>
    <row r="569" spans="1:26" ht="15.75" customHeight="1">
      <c r="A569" s="98"/>
      <c r="B569" s="32"/>
      <c r="C569" s="33"/>
      <c r="D569" s="34"/>
      <c r="E569" s="34"/>
      <c r="F569" s="35"/>
      <c r="G569" s="36"/>
      <c r="H569" s="37"/>
      <c r="I569" s="37"/>
      <c r="J569" s="37"/>
      <c r="K569" s="37"/>
      <c r="L569" s="38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9"/>
      <c r="Y569" s="1"/>
      <c r="Z569" s="1"/>
    </row>
    <row r="570" spans="1:26" ht="15.75" customHeight="1">
      <c r="A570" s="98"/>
      <c r="B570" s="32"/>
      <c r="C570" s="33"/>
      <c r="D570" s="34"/>
      <c r="E570" s="34"/>
      <c r="F570" s="35"/>
      <c r="G570" s="36"/>
      <c r="H570" s="37"/>
      <c r="I570" s="37"/>
      <c r="J570" s="37"/>
      <c r="K570" s="37"/>
      <c r="L570" s="38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9"/>
      <c r="Y570" s="1"/>
      <c r="Z570" s="1"/>
    </row>
    <row r="571" spans="1:26" ht="15.75" customHeight="1">
      <c r="A571" s="98"/>
      <c r="B571" s="32"/>
      <c r="C571" s="33"/>
      <c r="D571" s="34"/>
      <c r="E571" s="34"/>
      <c r="F571" s="35"/>
      <c r="G571" s="36"/>
      <c r="H571" s="37"/>
      <c r="I571" s="37"/>
      <c r="J571" s="37"/>
      <c r="K571" s="37"/>
      <c r="L571" s="38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9"/>
      <c r="Y571" s="1"/>
      <c r="Z571" s="1"/>
    </row>
    <row r="572" spans="1:26" ht="15.75" customHeight="1">
      <c r="A572" s="98"/>
      <c r="B572" s="32"/>
      <c r="C572" s="33"/>
      <c r="D572" s="34"/>
      <c r="E572" s="34"/>
      <c r="F572" s="35"/>
      <c r="G572" s="36"/>
      <c r="H572" s="37"/>
      <c r="I572" s="37"/>
      <c r="J572" s="37"/>
      <c r="K572" s="37"/>
      <c r="L572" s="38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9"/>
      <c r="Y572" s="1"/>
      <c r="Z572" s="1"/>
    </row>
    <row r="573" spans="1:26" ht="15.75" customHeight="1">
      <c r="A573" s="98"/>
      <c r="B573" s="32"/>
      <c r="C573" s="33"/>
      <c r="D573" s="34"/>
      <c r="E573" s="34"/>
      <c r="F573" s="35"/>
      <c r="G573" s="36"/>
      <c r="H573" s="37"/>
      <c r="I573" s="37"/>
      <c r="J573" s="37"/>
      <c r="K573" s="37"/>
      <c r="L573" s="38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9"/>
      <c r="Y573" s="1"/>
      <c r="Z573" s="1"/>
    </row>
    <row r="574" spans="1:26" ht="15.75" customHeight="1">
      <c r="A574" s="98"/>
      <c r="B574" s="32"/>
      <c r="C574" s="33"/>
      <c r="D574" s="34"/>
      <c r="E574" s="34"/>
      <c r="F574" s="35"/>
      <c r="G574" s="36"/>
      <c r="H574" s="37"/>
      <c r="I574" s="37"/>
      <c r="J574" s="37"/>
      <c r="K574" s="37"/>
      <c r="L574" s="38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9"/>
      <c r="Y574" s="1"/>
      <c r="Z574" s="1"/>
    </row>
    <row r="575" spans="1:26" ht="15.75" customHeight="1">
      <c r="A575" s="98"/>
      <c r="B575" s="32"/>
      <c r="C575" s="33"/>
      <c r="D575" s="34"/>
      <c r="E575" s="34"/>
      <c r="F575" s="35"/>
      <c r="G575" s="36"/>
      <c r="H575" s="37"/>
      <c r="I575" s="37"/>
      <c r="J575" s="37"/>
      <c r="K575" s="37"/>
      <c r="L575" s="38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9"/>
      <c r="Y575" s="1"/>
      <c r="Z575" s="1"/>
    </row>
    <row r="576" spans="1:26" ht="15.75" customHeight="1">
      <c r="A576" s="98"/>
      <c r="B576" s="32"/>
      <c r="C576" s="33"/>
      <c r="D576" s="34"/>
      <c r="E576" s="34"/>
      <c r="F576" s="35"/>
      <c r="G576" s="36"/>
      <c r="H576" s="37"/>
      <c r="I576" s="37"/>
      <c r="J576" s="37"/>
      <c r="K576" s="37"/>
      <c r="L576" s="38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9"/>
      <c r="Y576" s="1"/>
      <c r="Z576" s="1"/>
    </row>
    <row r="577" spans="1:26" ht="15.75" customHeight="1">
      <c r="A577" s="98"/>
      <c r="B577" s="32"/>
      <c r="C577" s="33"/>
      <c r="D577" s="34"/>
      <c r="E577" s="34"/>
      <c r="F577" s="35"/>
      <c r="G577" s="36"/>
      <c r="H577" s="37"/>
      <c r="I577" s="37"/>
      <c r="J577" s="37"/>
      <c r="K577" s="37"/>
      <c r="L577" s="38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9"/>
      <c r="Y577" s="1"/>
      <c r="Z577" s="1"/>
    </row>
    <row r="578" spans="1:26" ht="15.75" customHeight="1">
      <c r="A578" s="98"/>
      <c r="B578" s="32"/>
      <c r="C578" s="33"/>
      <c r="D578" s="34"/>
      <c r="E578" s="34"/>
      <c r="F578" s="35"/>
      <c r="G578" s="36"/>
      <c r="H578" s="37"/>
      <c r="I578" s="37"/>
      <c r="J578" s="37"/>
      <c r="K578" s="37"/>
      <c r="L578" s="38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9"/>
      <c r="Y578" s="1"/>
      <c r="Z578" s="1"/>
    </row>
    <row r="579" spans="1:26" ht="15.75" customHeight="1">
      <c r="A579" s="98"/>
      <c r="B579" s="32"/>
      <c r="C579" s="33"/>
      <c r="D579" s="34"/>
      <c r="E579" s="34"/>
      <c r="F579" s="35"/>
      <c r="G579" s="36"/>
      <c r="H579" s="37"/>
      <c r="I579" s="37"/>
      <c r="J579" s="37"/>
      <c r="K579" s="37"/>
      <c r="L579" s="38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9"/>
      <c r="Y579" s="1"/>
      <c r="Z579" s="1"/>
    </row>
    <row r="580" spans="1:26" ht="15.75" customHeight="1">
      <c r="A580" s="98"/>
      <c r="B580" s="32"/>
      <c r="C580" s="33"/>
      <c r="D580" s="34"/>
      <c r="E580" s="34"/>
      <c r="F580" s="35"/>
      <c r="G580" s="36"/>
      <c r="H580" s="37"/>
      <c r="I580" s="37"/>
      <c r="J580" s="37"/>
      <c r="K580" s="37"/>
      <c r="L580" s="38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9"/>
      <c r="Y580" s="1"/>
      <c r="Z580" s="1"/>
    </row>
    <row r="581" spans="1:26" ht="15.75" customHeight="1">
      <c r="A581" s="98"/>
      <c r="B581" s="32"/>
      <c r="C581" s="33"/>
      <c r="D581" s="34"/>
      <c r="E581" s="34"/>
      <c r="F581" s="35"/>
      <c r="G581" s="36"/>
      <c r="H581" s="37"/>
      <c r="I581" s="37"/>
      <c r="J581" s="37"/>
      <c r="K581" s="37"/>
      <c r="L581" s="38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9"/>
      <c r="Y581" s="1"/>
      <c r="Z581" s="1"/>
    </row>
    <row r="582" spans="1:26" ht="15.75" customHeight="1">
      <c r="A582" s="98"/>
      <c r="B582" s="32"/>
      <c r="C582" s="33"/>
      <c r="D582" s="34"/>
      <c r="E582" s="34"/>
      <c r="F582" s="35"/>
      <c r="G582" s="36"/>
      <c r="H582" s="37"/>
      <c r="I582" s="37"/>
      <c r="J582" s="37"/>
      <c r="K582" s="37"/>
      <c r="L582" s="38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9"/>
      <c r="Y582" s="1"/>
      <c r="Z582" s="1"/>
    </row>
    <row r="583" spans="1:26" ht="15.75" customHeight="1">
      <c r="A583" s="98"/>
      <c r="B583" s="32"/>
      <c r="C583" s="33"/>
      <c r="D583" s="34"/>
      <c r="E583" s="34"/>
      <c r="F583" s="35"/>
      <c r="G583" s="36"/>
      <c r="H583" s="37"/>
      <c r="I583" s="37"/>
      <c r="J583" s="37"/>
      <c r="K583" s="37"/>
      <c r="L583" s="38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9"/>
      <c r="Y583" s="1"/>
      <c r="Z583" s="1"/>
    </row>
    <row r="584" spans="1:26" ht="15.75" customHeight="1">
      <c r="A584" s="98"/>
      <c r="B584" s="32"/>
      <c r="C584" s="33"/>
      <c r="D584" s="34"/>
      <c r="E584" s="34"/>
      <c r="F584" s="35"/>
      <c r="G584" s="36"/>
      <c r="H584" s="37"/>
      <c r="I584" s="37"/>
      <c r="J584" s="37"/>
      <c r="K584" s="37"/>
      <c r="L584" s="38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9"/>
      <c r="Y584" s="1"/>
      <c r="Z584" s="1"/>
    </row>
    <row r="585" spans="1:26" ht="15.75" customHeight="1">
      <c r="A585" s="98"/>
      <c r="B585" s="32"/>
      <c r="C585" s="33"/>
      <c r="D585" s="34"/>
      <c r="E585" s="34"/>
      <c r="F585" s="35"/>
      <c r="G585" s="36"/>
      <c r="H585" s="37"/>
      <c r="I585" s="37"/>
      <c r="J585" s="37"/>
      <c r="K585" s="37"/>
      <c r="L585" s="38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9"/>
      <c r="Y585" s="1"/>
      <c r="Z585" s="1"/>
    </row>
    <row r="586" spans="1:26" ht="15.75" customHeight="1">
      <c r="A586" s="98"/>
      <c r="B586" s="32"/>
      <c r="C586" s="33"/>
      <c r="D586" s="34"/>
      <c r="E586" s="34"/>
      <c r="F586" s="35"/>
      <c r="G586" s="36"/>
      <c r="H586" s="37"/>
      <c r="I586" s="37"/>
      <c r="J586" s="37"/>
      <c r="K586" s="37"/>
      <c r="L586" s="38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9"/>
      <c r="Y586" s="1"/>
      <c r="Z586" s="1"/>
    </row>
    <row r="587" spans="1:26" ht="15.75" customHeight="1">
      <c r="A587" s="98"/>
      <c r="B587" s="32"/>
      <c r="C587" s="33"/>
      <c r="D587" s="34"/>
      <c r="E587" s="34"/>
      <c r="F587" s="35"/>
      <c r="G587" s="36"/>
      <c r="H587" s="37"/>
      <c r="I587" s="37"/>
      <c r="J587" s="37"/>
      <c r="K587" s="37"/>
      <c r="L587" s="38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9"/>
      <c r="Y587" s="1"/>
      <c r="Z587" s="1"/>
    </row>
    <row r="588" spans="1:26" ht="15.75" customHeight="1">
      <c r="A588" s="98"/>
      <c r="B588" s="32"/>
      <c r="C588" s="33"/>
      <c r="D588" s="34"/>
      <c r="E588" s="34"/>
      <c r="F588" s="35"/>
      <c r="G588" s="36"/>
      <c r="H588" s="37"/>
      <c r="I588" s="37"/>
      <c r="J588" s="37"/>
      <c r="K588" s="37"/>
      <c r="L588" s="38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9"/>
      <c r="Y588" s="1"/>
      <c r="Z588" s="1"/>
    </row>
    <row r="589" spans="1:26" ht="15.75" customHeight="1">
      <c r="A589" s="98"/>
      <c r="B589" s="32"/>
      <c r="C589" s="33"/>
      <c r="D589" s="34"/>
      <c r="E589" s="34"/>
      <c r="F589" s="35"/>
      <c r="G589" s="36"/>
      <c r="H589" s="37"/>
      <c r="I589" s="37"/>
      <c r="J589" s="37"/>
      <c r="K589" s="37"/>
      <c r="L589" s="38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9"/>
      <c r="Y589" s="1"/>
      <c r="Z589" s="1"/>
    </row>
    <row r="590" spans="1:26" ht="15.75" customHeight="1">
      <c r="A590" s="98"/>
      <c r="B590" s="32"/>
      <c r="C590" s="33"/>
      <c r="D590" s="34"/>
      <c r="E590" s="34"/>
      <c r="F590" s="35"/>
      <c r="G590" s="36"/>
      <c r="H590" s="37"/>
      <c r="I590" s="37"/>
      <c r="J590" s="37"/>
      <c r="K590" s="37"/>
      <c r="L590" s="38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9"/>
      <c r="Y590" s="1"/>
      <c r="Z590" s="1"/>
    </row>
    <row r="591" spans="1:26" ht="15.75" customHeight="1">
      <c r="A591" s="98"/>
      <c r="B591" s="32"/>
      <c r="C591" s="33"/>
      <c r="D591" s="34"/>
      <c r="E591" s="34"/>
      <c r="F591" s="35"/>
      <c r="G591" s="36"/>
      <c r="H591" s="37"/>
      <c r="I591" s="37"/>
      <c r="J591" s="37"/>
      <c r="K591" s="37"/>
      <c r="L591" s="38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9"/>
      <c r="Y591" s="1"/>
      <c r="Z591" s="1"/>
    </row>
    <row r="592" spans="1:26" ht="15.75" customHeight="1">
      <c r="A592" s="98"/>
      <c r="B592" s="32"/>
      <c r="C592" s="33"/>
      <c r="D592" s="34"/>
      <c r="E592" s="34"/>
      <c r="F592" s="35"/>
      <c r="G592" s="36"/>
      <c r="H592" s="37"/>
      <c r="I592" s="37"/>
      <c r="J592" s="37"/>
      <c r="K592" s="37"/>
      <c r="L592" s="38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9"/>
      <c r="Y592" s="1"/>
      <c r="Z592" s="1"/>
    </row>
    <row r="593" spans="1:26" ht="15.75" customHeight="1">
      <c r="A593" s="98"/>
      <c r="B593" s="32"/>
      <c r="C593" s="33"/>
      <c r="D593" s="34"/>
      <c r="E593" s="34"/>
      <c r="F593" s="35"/>
      <c r="G593" s="36"/>
      <c r="H593" s="37"/>
      <c r="I593" s="37"/>
      <c r="J593" s="37"/>
      <c r="K593" s="37"/>
      <c r="L593" s="38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9"/>
      <c r="Y593" s="1"/>
      <c r="Z593" s="1"/>
    </row>
    <row r="594" spans="1:26" ht="15.75" customHeight="1">
      <c r="A594" s="98"/>
      <c r="B594" s="32"/>
      <c r="C594" s="33"/>
      <c r="D594" s="34"/>
      <c r="E594" s="34"/>
      <c r="F594" s="35"/>
      <c r="G594" s="36"/>
      <c r="H594" s="37"/>
      <c r="I594" s="37"/>
      <c r="J594" s="37"/>
      <c r="K594" s="37"/>
      <c r="L594" s="38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9"/>
      <c r="Y594" s="1"/>
      <c r="Z594" s="1"/>
    </row>
    <row r="595" spans="1:26" ht="15.75" customHeight="1">
      <c r="A595" s="98"/>
      <c r="B595" s="32"/>
      <c r="C595" s="33"/>
      <c r="D595" s="34"/>
      <c r="E595" s="34"/>
      <c r="F595" s="35"/>
      <c r="G595" s="36"/>
      <c r="H595" s="37"/>
      <c r="I595" s="37"/>
      <c r="J595" s="37"/>
      <c r="K595" s="37"/>
      <c r="L595" s="38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9"/>
      <c r="Y595" s="1"/>
      <c r="Z595" s="1"/>
    </row>
    <row r="596" spans="1:26" ht="15.75" customHeight="1">
      <c r="A596" s="98"/>
      <c r="B596" s="32"/>
      <c r="C596" s="33"/>
      <c r="D596" s="34"/>
      <c r="E596" s="34"/>
      <c r="F596" s="35"/>
      <c r="G596" s="36"/>
      <c r="H596" s="37"/>
      <c r="I596" s="37"/>
      <c r="J596" s="37"/>
      <c r="K596" s="37"/>
      <c r="L596" s="38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9"/>
      <c r="Y596" s="1"/>
      <c r="Z596" s="1"/>
    </row>
    <row r="597" spans="1:26" ht="15.75" customHeight="1">
      <c r="A597" s="98"/>
      <c r="B597" s="32"/>
      <c r="C597" s="33"/>
      <c r="D597" s="34"/>
      <c r="E597" s="34"/>
      <c r="F597" s="35"/>
      <c r="G597" s="36"/>
      <c r="H597" s="37"/>
      <c r="I597" s="37"/>
      <c r="J597" s="37"/>
      <c r="K597" s="37"/>
      <c r="L597" s="38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9"/>
      <c r="Y597" s="1"/>
      <c r="Z597" s="1"/>
    </row>
    <row r="598" spans="1:26" ht="15.75" customHeight="1">
      <c r="A598" s="98"/>
      <c r="B598" s="32"/>
      <c r="C598" s="33"/>
      <c r="D598" s="34"/>
      <c r="E598" s="34"/>
      <c r="F598" s="35"/>
      <c r="G598" s="36"/>
      <c r="H598" s="37"/>
      <c r="I598" s="37"/>
      <c r="J598" s="37"/>
      <c r="K598" s="37"/>
      <c r="L598" s="38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9"/>
      <c r="Y598" s="1"/>
      <c r="Z598" s="1"/>
    </row>
    <row r="599" spans="1:26" ht="15.75" customHeight="1">
      <c r="A599" s="98"/>
      <c r="B599" s="32"/>
      <c r="C599" s="33"/>
      <c r="D599" s="34"/>
      <c r="E599" s="34"/>
      <c r="F599" s="35"/>
      <c r="G599" s="36"/>
      <c r="H599" s="37"/>
      <c r="I599" s="37"/>
      <c r="J599" s="37"/>
      <c r="K599" s="37"/>
      <c r="L599" s="38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9"/>
      <c r="Y599" s="1"/>
      <c r="Z599" s="1"/>
    </row>
    <row r="600" spans="1:26" ht="15.75" customHeight="1">
      <c r="A600" s="98"/>
      <c r="B600" s="32"/>
      <c r="C600" s="33"/>
      <c r="D600" s="34"/>
      <c r="E600" s="34"/>
      <c r="F600" s="35"/>
      <c r="G600" s="36"/>
      <c r="H600" s="37"/>
      <c r="I600" s="37"/>
      <c r="J600" s="37"/>
      <c r="K600" s="37"/>
      <c r="L600" s="38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9"/>
      <c r="Y600" s="1"/>
      <c r="Z600" s="1"/>
    </row>
    <row r="601" spans="1:26" ht="15.75" customHeight="1">
      <c r="A601" s="98"/>
      <c r="B601" s="32"/>
      <c r="C601" s="33"/>
      <c r="D601" s="34"/>
      <c r="E601" s="34"/>
      <c r="F601" s="35"/>
      <c r="G601" s="36"/>
      <c r="H601" s="37"/>
      <c r="I601" s="37"/>
      <c r="J601" s="37"/>
      <c r="K601" s="37"/>
      <c r="L601" s="38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9"/>
      <c r="Y601" s="1"/>
      <c r="Z601" s="1"/>
    </row>
    <row r="602" spans="1:26" ht="15.75" customHeight="1">
      <c r="A602" s="98"/>
      <c r="B602" s="32"/>
      <c r="C602" s="33"/>
      <c r="D602" s="34"/>
      <c r="E602" s="34"/>
      <c r="F602" s="35"/>
      <c r="G602" s="36"/>
      <c r="H602" s="37"/>
      <c r="I602" s="37"/>
      <c r="J602" s="37"/>
      <c r="K602" s="37"/>
      <c r="L602" s="38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9"/>
      <c r="Y602" s="1"/>
      <c r="Z602" s="1"/>
    </row>
    <row r="603" spans="1:26" ht="15.75" customHeight="1">
      <c r="A603" s="98"/>
      <c r="B603" s="32"/>
      <c r="C603" s="33"/>
      <c r="D603" s="34"/>
      <c r="E603" s="34"/>
      <c r="F603" s="35"/>
      <c r="G603" s="36"/>
      <c r="H603" s="37"/>
      <c r="I603" s="37"/>
      <c r="J603" s="37"/>
      <c r="K603" s="37"/>
      <c r="L603" s="38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9"/>
      <c r="Y603" s="1"/>
      <c r="Z603" s="1"/>
    </row>
    <row r="604" spans="1:26" ht="15.75" customHeight="1">
      <c r="A604" s="98"/>
      <c r="B604" s="32"/>
      <c r="C604" s="33"/>
      <c r="D604" s="34"/>
      <c r="E604" s="34"/>
      <c r="F604" s="35"/>
      <c r="G604" s="36"/>
      <c r="H604" s="37"/>
      <c r="I604" s="37"/>
      <c r="J604" s="37"/>
      <c r="K604" s="37"/>
      <c r="L604" s="38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9"/>
      <c r="Y604" s="1"/>
      <c r="Z604" s="1"/>
    </row>
    <row r="605" spans="1:26" ht="15.75" customHeight="1">
      <c r="A605" s="98"/>
      <c r="B605" s="32"/>
      <c r="C605" s="33"/>
      <c r="D605" s="34"/>
      <c r="E605" s="34"/>
      <c r="F605" s="35"/>
      <c r="G605" s="36"/>
      <c r="H605" s="37"/>
      <c r="I605" s="37"/>
      <c r="J605" s="37"/>
      <c r="K605" s="37"/>
      <c r="L605" s="38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9"/>
      <c r="Y605" s="1"/>
      <c r="Z605" s="1"/>
    </row>
    <row r="606" spans="1:26" ht="15.75" customHeight="1">
      <c r="A606" s="98"/>
      <c r="B606" s="32"/>
      <c r="C606" s="33"/>
      <c r="D606" s="34"/>
      <c r="E606" s="34"/>
      <c r="F606" s="35"/>
      <c r="G606" s="36"/>
      <c r="H606" s="37"/>
      <c r="I606" s="37"/>
      <c r="J606" s="37"/>
      <c r="K606" s="37"/>
      <c r="L606" s="38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9"/>
      <c r="Y606" s="1"/>
      <c r="Z606" s="1"/>
    </row>
    <row r="607" spans="1:26" ht="15.75" customHeight="1">
      <c r="A607" s="98"/>
      <c r="B607" s="32"/>
      <c r="C607" s="33"/>
      <c r="D607" s="34"/>
      <c r="E607" s="34"/>
      <c r="F607" s="35"/>
      <c r="G607" s="36"/>
      <c r="H607" s="37"/>
      <c r="I607" s="37"/>
      <c r="J607" s="37"/>
      <c r="K607" s="37"/>
      <c r="L607" s="38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9"/>
      <c r="Y607" s="1"/>
      <c r="Z607" s="1"/>
    </row>
    <row r="608" spans="1:26" ht="15.75" customHeight="1">
      <c r="A608" s="98"/>
      <c r="B608" s="32"/>
      <c r="C608" s="33"/>
      <c r="D608" s="34"/>
      <c r="E608" s="34"/>
      <c r="F608" s="35"/>
      <c r="G608" s="36"/>
      <c r="H608" s="37"/>
      <c r="I608" s="37"/>
      <c r="J608" s="37"/>
      <c r="K608" s="37"/>
      <c r="L608" s="38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9"/>
      <c r="Y608" s="1"/>
      <c r="Z608" s="1"/>
    </row>
    <row r="609" spans="1:26" ht="15.75" customHeight="1">
      <c r="A609" s="98"/>
      <c r="B609" s="32"/>
      <c r="C609" s="33"/>
      <c r="D609" s="34"/>
      <c r="E609" s="34"/>
      <c r="F609" s="35"/>
      <c r="G609" s="36"/>
      <c r="H609" s="37"/>
      <c r="I609" s="37"/>
      <c r="J609" s="37"/>
      <c r="K609" s="37"/>
      <c r="L609" s="38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9"/>
      <c r="Y609" s="1"/>
      <c r="Z609" s="1"/>
    </row>
    <row r="610" spans="1:26" ht="15.75" customHeight="1">
      <c r="A610" s="98"/>
      <c r="B610" s="32"/>
      <c r="C610" s="33"/>
      <c r="D610" s="34"/>
      <c r="E610" s="34"/>
      <c r="F610" s="35"/>
      <c r="G610" s="36"/>
      <c r="H610" s="37"/>
      <c r="I610" s="37"/>
      <c r="J610" s="37"/>
      <c r="K610" s="37"/>
      <c r="L610" s="38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9"/>
      <c r="Y610" s="1"/>
      <c r="Z610" s="1"/>
    </row>
    <row r="611" spans="1:26" ht="15.75" customHeight="1">
      <c r="A611" s="98"/>
      <c r="B611" s="32"/>
      <c r="C611" s="33"/>
      <c r="D611" s="34"/>
      <c r="E611" s="34"/>
      <c r="F611" s="35"/>
      <c r="G611" s="36"/>
      <c r="H611" s="37"/>
      <c r="I611" s="37"/>
      <c r="J611" s="37"/>
      <c r="K611" s="37"/>
      <c r="L611" s="38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9"/>
      <c r="Y611" s="1"/>
      <c r="Z611" s="1"/>
    </row>
    <row r="612" spans="1:26" ht="15.75" customHeight="1">
      <c r="A612" s="1"/>
      <c r="B612" s="3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3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3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3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3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3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3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3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3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3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3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3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3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3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3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3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3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3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3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3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3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3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3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3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3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3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3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3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3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3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3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3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3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3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3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3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3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3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3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3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3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3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3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3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3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3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3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3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3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3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3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3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3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3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3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3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3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3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3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3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3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3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3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3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3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3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3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3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3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3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3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3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3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3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3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3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3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3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3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3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3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3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3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3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3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3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3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3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3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3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3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3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3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3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3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3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3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3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3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3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3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3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3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3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3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3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3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3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3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3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3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3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3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3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3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3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3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3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3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3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3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3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3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3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3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3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3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3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3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3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3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3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3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3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3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3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3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3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3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3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3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3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3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3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3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3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3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3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3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3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3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3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3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3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3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3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3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3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3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3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3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3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3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3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3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3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3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3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3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3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3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3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3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3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3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3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3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3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3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3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3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3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3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3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3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3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3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3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3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3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3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3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3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3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3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3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3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3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3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3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3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3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3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3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3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3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3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3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3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3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3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3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3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3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3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3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3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3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3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3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3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3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3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3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3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3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3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3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3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3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3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3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3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3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3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3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3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3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3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3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3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3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3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3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3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3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3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3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3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3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3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3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3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3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3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3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3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3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3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3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3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3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3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3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3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3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3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3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3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3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3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3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3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3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3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3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3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3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3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3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3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3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3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3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3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3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3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3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3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3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3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3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3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30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30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30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30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30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30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30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30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30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30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30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30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30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30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30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30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30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30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30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30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30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30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30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30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30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30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30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30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30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30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30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30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30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30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30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30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30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30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30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30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30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30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30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30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30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30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30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30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30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30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30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30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30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30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30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30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30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30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30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30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30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30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30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30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30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30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30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30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30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30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30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30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30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30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30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30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30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30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30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30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30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30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30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30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30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30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30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30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30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30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30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30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30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30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30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30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">
      <c r="A1001" s="1"/>
      <c r="B1001" s="30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/>
    <row r="1003" spans="1:26" ht="19">
      <c r="A1003" s="126" t="s">
        <v>446</v>
      </c>
    </row>
    <row r="1004" spans="1:26"/>
    <row r="1005" spans="1:26">
      <c r="A1005" s="130"/>
      <c r="B1005" s="131" t="s">
        <v>1795</v>
      </c>
      <c r="C1005" s="131" t="s">
        <v>1783</v>
      </c>
      <c r="D1005" s="131" t="s">
        <v>103</v>
      </c>
      <c r="E1005" s="131">
        <v>720</v>
      </c>
    </row>
    <row r="1006" spans="1:26">
      <c r="A1006" s="130"/>
      <c r="B1006" s="131" t="s">
        <v>1795</v>
      </c>
      <c r="C1006" s="131" t="s">
        <v>1796</v>
      </c>
      <c r="D1006" s="131" t="s">
        <v>1791</v>
      </c>
      <c r="E1006" s="131">
        <v>360</v>
      </c>
    </row>
    <row r="1007" spans="1:26">
      <c r="A1007" s="130"/>
      <c r="B1007" s="131" t="s">
        <v>524</v>
      </c>
      <c r="C1007" s="131" t="s">
        <v>1797</v>
      </c>
      <c r="D1007" s="131" t="s">
        <v>29</v>
      </c>
      <c r="E1007" s="131">
        <v>955</v>
      </c>
    </row>
    <row r="1008" spans="1:26">
      <c r="A1008" s="130"/>
      <c r="B1008" s="131" t="s">
        <v>1798</v>
      </c>
      <c r="C1008" s="131" t="s">
        <v>1799</v>
      </c>
      <c r="D1008" s="131" t="s">
        <v>746</v>
      </c>
      <c r="E1008" s="131">
        <v>780</v>
      </c>
    </row>
    <row r="1009" spans="1:5">
      <c r="A1009" s="130"/>
      <c r="B1009" s="131" t="s">
        <v>1798</v>
      </c>
      <c r="C1009" s="131" t="s">
        <v>1800</v>
      </c>
      <c r="D1009" s="131" t="s">
        <v>1762</v>
      </c>
      <c r="E1009" s="131">
        <v>1145</v>
      </c>
    </row>
    <row r="1010" spans="1:5">
      <c r="A1010" s="130"/>
      <c r="B1010" s="131" t="s">
        <v>1801</v>
      </c>
      <c r="C1010" s="131" t="s">
        <v>1802</v>
      </c>
      <c r="D1010" s="131" t="s">
        <v>1760</v>
      </c>
      <c r="E1010" s="131">
        <v>1250</v>
      </c>
    </row>
    <row r="1011" spans="1:5">
      <c r="A1011" s="130"/>
      <c r="B1011" s="131" t="s">
        <v>1803</v>
      </c>
      <c r="C1011" s="131" t="s">
        <v>1804</v>
      </c>
      <c r="D1011" s="131" t="s">
        <v>1745</v>
      </c>
      <c r="E1011" s="131">
        <v>939</v>
      </c>
    </row>
    <row r="1012" spans="1:5">
      <c r="A1012" s="130"/>
      <c r="B1012" s="131" t="s">
        <v>1803</v>
      </c>
      <c r="C1012" s="131" t="s">
        <v>1805</v>
      </c>
      <c r="D1012" s="131" t="s">
        <v>1745</v>
      </c>
      <c r="E1012" s="131">
        <v>939</v>
      </c>
    </row>
    <row r="1013" spans="1:5">
      <c r="A1013" s="130"/>
      <c r="B1013" s="131" t="s">
        <v>1803</v>
      </c>
      <c r="C1013" s="131" t="s">
        <v>1806</v>
      </c>
      <c r="D1013" s="131" t="s">
        <v>1745</v>
      </c>
      <c r="E1013" s="131">
        <v>569</v>
      </c>
    </row>
    <row r="1014" spans="1:5">
      <c r="A1014" s="130"/>
      <c r="B1014" s="131" t="s">
        <v>1801</v>
      </c>
      <c r="C1014" s="131" t="s">
        <v>1807</v>
      </c>
      <c r="D1014" s="131" t="s">
        <v>1791</v>
      </c>
      <c r="E1014" s="131">
        <v>390</v>
      </c>
    </row>
    <row r="1015" spans="1:5">
      <c r="A1015" s="130"/>
      <c r="B1015" s="131" t="s">
        <v>1808</v>
      </c>
      <c r="C1015" s="131" t="s">
        <v>1809</v>
      </c>
      <c r="D1015" s="131" t="s">
        <v>29</v>
      </c>
      <c r="E1015" s="131">
        <v>795</v>
      </c>
    </row>
    <row r="1016" spans="1:5">
      <c r="A1016" s="130"/>
      <c r="B1016" s="131" t="s">
        <v>1798</v>
      </c>
      <c r="C1016" s="131" t="s">
        <v>1810</v>
      </c>
      <c r="D1016" s="131" t="s">
        <v>29</v>
      </c>
      <c r="E1016" s="131">
        <v>1440</v>
      </c>
    </row>
    <row r="1017" spans="1:5">
      <c r="A1017" s="130"/>
      <c r="B1017" s="131" t="s">
        <v>1798</v>
      </c>
      <c r="C1017" s="131" t="s">
        <v>1811</v>
      </c>
      <c r="D1017" s="131" t="s">
        <v>103</v>
      </c>
      <c r="E1017" s="131">
        <v>720</v>
      </c>
    </row>
    <row r="1018" spans="1:5">
      <c r="A1018" s="130"/>
      <c r="B1018" s="131" t="s">
        <v>1798</v>
      </c>
      <c r="C1018" s="131" t="s">
        <v>1812</v>
      </c>
      <c r="D1018" s="131" t="s">
        <v>1760</v>
      </c>
      <c r="E1018" s="131">
        <v>720</v>
      </c>
    </row>
    <row r="1019" spans="1:5">
      <c r="A1019" s="130"/>
      <c r="B1019" s="131" t="s">
        <v>1798</v>
      </c>
      <c r="C1019" s="131" t="s">
        <v>1813</v>
      </c>
      <c r="D1019" s="131" t="s">
        <v>18</v>
      </c>
      <c r="E1019" s="131">
        <v>3240</v>
      </c>
    </row>
    <row r="1020" spans="1:5">
      <c r="A1020" s="130"/>
      <c r="B1020" s="131" t="s">
        <v>1798</v>
      </c>
      <c r="C1020" s="131" t="s">
        <v>1814</v>
      </c>
      <c r="D1020" s="131" t="s">
        <v>1815</v>
      </c>
      <c r="E1020" s="131">
        <v>400</v>
      </c>
    </row>
    <row r="1021" spans="1:5">
      <c r="A1021" s="130"/>
      <c r="B1021" s="131" t="s">
        <v>1798</v>
      </c>
      <c r="C1021" s="131" t="s">
        <v>1816</v>
      </c>
      <c r="D1021" s="131" t="s">
        <v>20</v>
      </c>
      <c r="E1021" s="131">
        <v>2150</v>
      </c>
    </row>
    <row r="1022" spans="1:5">
      <c r="A1022" s="130"/>
      <c r="B1022" s="131" t="s">
        <v>1798</v>
      </c>
      <c r="C1022" s="131" t="s">
        <v>1812</v>
      </c>
      <c r="D1022" s="131" t="s">
        <v>1760</v>
      </c>
      <c r="E1022" s="131">
        <v>720</v>
      </c>
    </row>
    <row r="1023" spans="1:5">
      <c r="A1023" s="130"/>
      <c r="B1023" s="131" t="s">
        <v>1798</v>
      </c>
      <c r="C1023" s="131" t="s">
        <v>1817</v>
      </c>
      <c r="D1023" s="131" t="s">
        <v>103</v>
      </c>
      <c r="E1023" s="131">
        <v>720</v>
      </c>
    </row>
    <row r="1024" spans="1:5">
      <c r="A1024" s="130"/>
      <c r="B1024" s="131" t="s">
        <v>1798</v>
      </c>
      <c r="C1024" s="131" t="s">
        <v>1818</v>
      </c>
      <c r="D1024" s="131" t="s">
        <v>103</v>
      </c>
      <c r="E1024" s="131">
        <v>1620</v>
      </c>
    </row>
    <row r="1025" spans="1:5">
      <c r="A1025" s="130"/>
      <c r="B1025" s="131" t="s">
        <v>1798</v>
      </c>
      <c r="C1025" s="131" t="s">
        <v>1819</v>
      </c>
      <c r="D1025" s="131" t="s">
        <v>1760</v>
      </c>
      <c r="E1025" s="131">
        <v>720</v>
      </c>
    </row>
    <row r="1026" spans="1:5">
      <c r="A1026" s="130"/>
      <c r="B1026" s="131" t="s">
        <v>1798</v>
      </c>
      <c r="C1026" s="131" t="s">
        <v>1820</v>
      </c>
      <c r="D1026" s="131" t="s">
        <v>1760</v>
      </c>
      <c r="E1026" s="131">
        <v>940</v>
      </c>
    </row>
    <row r="1027" spans="1:5">
      <c r="A1027" s="130"/>
      <c r="B1027" s="131" t="s">
        <v>1798</v>
      </c>
      <c r="C1027" s="131" t="s">
        <v>1821</v>
      </c>
      <c r="D1027" s="131" t="s">
        <v>1815</v>
      </c>
      <c r="E1027" s="131">
        <v>355</v>
      </c>
    </row>
    <row r="1028" spans="1:5">
      <c r="A1028" s="130"/>
      <c r="B1028" s="131" t="s">
        <v>1798</v>
      </c>
      <c r="C1028" s="131" t="s">
        <v>1822</v>
      </c>
      <c r="D1028" s="131" t="s">
        <v>20</v>
      </c>
      <c r="E1028" s="131">
        <v>785</v>
      </c>
    </row>
    <row r="1029" spans="1:5">
      <c r="A1029" s="130"/>
      <c r="B1029" s="131" t="s">
        <v>1808</v>
      </c>
      <c r="C1029" s="131" t="s">
        <v>1823</v>
      </c>
      <c r="D1029" s="131" t="s">
        <v>29</v>
      </c>
      <c r="E1029" s="131">
        <v>610.37</v>
      </c>
    </row>
    <row r="1030" spans="1:5">
      <c r="A1030" s="130"/>
      <c r="B1030" s="131" t="s">
        <v>1803</v>
      </c>
      <c r="C1030" s="131" t="s">
        <v>1824</v>
      </c>
      <c r="D1030" s="131" t="s">
        <v>1755</v>
      </c>
      <c r="E1030" s="131">
        <v>299</v>
      </c>
    </row>
    <row r="1031" spans="1:5">
      <c r="A1031" s="130"/>
      <c r="B1031" s="131" t="s">
        <v>1803</v>
      </c>
      <c r="C1031" s="131" t="s">
        <v>1825</v>
      </c>
      <c r="D1031" s="131" t="s">
        <v>326</v>
      </c>
      <c r="E1031" s="131">
        <v>689</v>
      </c>
    </row>
    <row r="1032" spans="1:5">
      <c r="A1032" s="130"/>
      <c r="B1032" s="131" t="s">
        <v>1803</v>
      </c>
      <c r="C1032" s="131" t="s">
        <v>1826</v>
      </c>
      <c r="D1032" s="131" t="s">
        <v>29</v>
      </c>
      <c r="E1032" s="131">
        <v>799</v>
      </c>
    </row>
    <row r="1033" spans="1:5">
      <c r="A1033" s="130"/>
      <c r="B1033" s="131" t="s">
        <v>1803</v>
      </c>
      <c r="C1033" s="131" t="s">
        <v>1827</v>
      </c>
      <c r="D1033" s="131" t="s">
        <v>1755</v>
      </c>
      <c r="E1033" s="131">
        <v>210</v>
      </c>
    </row>
    <row r="1034" spans="1:5">
      <c r="A1034" s="130"/>
      <c r="B1034" s="131" t="s">
        <v>1803</v>
      </c>
      <c r="C1034" s="131" t="s">
        <v>1828</v>
      </c>
      <c r="D1034" s="131" t="s">
        <v>1755</v>
      </c>
      <c r="E1034" s="131">
        <v>449</v>
      </c>
    </row>
    <row r="1035" spans="1:5">
      <c r="A1035" s="130"/>
      <c r="B1035" s="131" t="s">
        <v>1801</v>
      </c>
      <c r="C1035" s="131" t="s">
        <v>1829</v>
      </c>
      <c r="D1035" s="131" t="s">
        <v>1830</v>
      </c>
      <c r="E1035" s="131">
        <v>297</v>
      </c>
    </row>
    <row r="1036" spans="1:5" ht="19">
      <c r="A1036" s="126" t="s">
        <v>655</v>
      </c>
    </row>
    <row r="1037" spans="1:5"/>
    <row r="1038" spans="1:5">
      <c r="A1038" s="130"/>
      <c r="B1038" s="131" t="s">
        <v>1831</v>
      </c>
      <c r="C1038" s="131" t="s">
        <v>1832</v>
      </c>
      <c r="D1038" s="131" t="s">
        <v>1833</v>
      </c>
      <c r="E1038" s="131">
        <v>8500</v>
      </c>
    </row>
    <row r="1039" spans="1:5">
      <c r="A1039" s="130"/>
      <c r="B1039" s="131" t="s">
        <v>1831</v>
      </c>
      <c r="C1039" s="131" t="s">
        <v>1834</v>
      </c>
      <c r="D1039" s="131" t="s">
        <v>1835</v>
      </c>
      <c r="E1039" s="131">
        <v>2700</v>
      </c>
    </row>
    <row r="1040" spans="1:5">
      <c r="A1040" s="130"/>
      <c r="B1040" s="131" t="s">
        <v>1831</v>
      </c>
      <c r="C1040" s="131" t="s">
        <v>1836</v>
      </c>
      <c r="D1040" s="131" t="s">
        <v>1837</v>
      </c>
      <c r="E1040" s="131">
        <v>880</v>
      </c>
    </row>
    <row r="1041" spans="1:5">
      <c r="A1041" s="130"/>
      <c r="B1041" s="131" t="s">
        <v>1831</v>
      </c>
      <c r="C1041" s="131" t="s">
        <v>1838</v>
      </c>
      <c r="D1041" s="131" t="s">
        <v>18</v>
      </c>
      <c r="E1041" s="131">
        <v>720</v>
      </c>
    </row>
    <row r="1042" spans="1:5">
      <c r="A1042" s="130"/>
      <c r="B1042" s="131" t="s">
        <v>1831</v>
      </c>
      <c r="C1042" s="131" t="s">
        <v>1839</v>
      </c>
      <c r="D1042" s="131" t="s">
        <v>1779</v>
      </c>
      <c r="E1042" s="131">
        <v>8750</v>
      </c>
    </row>
    <row r="1043" spans="1:5" ht="19">
      <c r="A1043" s="126" t="s">
        <v>328</v>
      </c>
    </row>
    <row r="1044" spans="1:5"/>
    <row r="1045" spans="1:5">
      <c r="A1045" s="130"/>
      <c r="B1045" s="131" t="s">
        <v>1743</v>
      </c>
      <c r="C1045" s="131" t="s">
        <v>1744</v>
      </c>
      <c r="D1045" s="131" t="s">
        <v>1745</v>
      </c>
      <c r="E1045" s="131">
        <v>1250</v>
      </c>
    </row>
    <row r="1046" spans="1:5">
      <c r="A1046" s="130"/>
      <c r="B1046" s="131" t="s">
        <v>1743</v>
      </c>
      <c r="C1046" s="131" t="s">
        <v>1746</v>
      </c>
      <c r="D1046" s="131" t="s">
        <v>1745</v>
      </c>
      <c r="E1046" s="131">
        <v>175</v>
      </c>
    </row>
    <row r="1047" spans="1:5">
      <c r="A1047" s="130"/>
      <c r="B1047" s="131" t="s">
        <v>1743</v>
      </c>
      <c r="C1047" s="131" t="s">
        <v>1747</v>
      </c>
      <c r="D1047" s="131" t="s">
        <v>1745</v>
      </c>
      <c r="E1047" s="131">
        <v>585</v>
      </c>
    </row>
    <row r="1048" spans="1:5">
      <c r="A1048" s="130"/>
      <c r="B1048" s="131" t="s">
        <v>1743</v>
      </c>
      <c r="C1048" s="131" t="s">
        <v>1748</v>
      </c>
      <c r="D1048" s="131" t="s">
        <v>1749</v>
      </c>
      <c r="E1048" s="131">
        <v>355</v>
      </c>
    </row>
    <row r="1049" spans="1:5">
      <c r="A1049" s="130"/>
      <c r="B1049" s="131" t="s">
        <v>1743</v>
      </c>
      <c r="C1049" s="131" t="s">
        <v>1750</v>
      </c>
      <c r="D1049" s="131" t="s">
        <v>26</v>
      </c>
      <c r="E1049" s="131">
        <v>1060</v>
      </c>
    </row>
    <row r="1050" spans="1:5">
      <c r="A1050" s="130"/>
      <c r="B1050" s="131" t="s">
        <v>1743</v>
      </c>
      <c r="C1050" s="131" t="s">
        <v>1751</v>
      </c>
      <c r="D1050" s="131" t="s">
        <v>1752</v>
      </c>
      <c r="E1050" s="131">
        <v>380</v>
      </c>
    </row>
    <row r="1051" spans="1:5">
      <c r="A1051" s="130"/>
      <c r="B1051" s="131" t="s">
        <v>1743</v>
      </c>
      <c r="C1051" s="131" t="s">
        <v>1753</v>
      </c>
      <c r="D1051" s="131" t="s">
        <v>1745</v>
      </c>
      <c r="E1051" s="131">
        <v>3250</v>
      </c>
    </row>
    <row r="1052" spans="1:5">
      <c r="A1052" s="130"/>
      <c r="B1052" s="131" t="s">
        <v>1743</v>
      </c>
      <c r="C1052" s="131" t="s">
        <v>1754</v>
      </c>
      <c r="D1052" s="131" t="s">
        <v>1755</v>
      </c>
      <c r="E1052" s="131">
        <v>1290</v>
      </c>
    </row>
    <row r="1053" spans="1:5">
      <c r="A1053" s="130"/>
      <c r="B1053" s="131" t="s">
        <v>1743</v>
      </c>
      <c r="C1053" s="131" t="s">
        <v>1756</v>
      </c>
      <c r="D1053" s="131" t="s">
        <v>1752</v>
      </c>
      <c r="E1053" s="131">
        <v>1790</v>
      </c>
    </row>
    <row r="1054" spans="1:5">
      <c r="A1054" s="130"/>
      <c r="B1054" s="131" t="s">
        <v>1743</v>
      </c>
      <c r="C1054" s="131" t="s">
        <v>1757</v>
      </c>
      <c r="D1054" s="131" t="s">
        <v>1758</v>
      </c>
      <c r="E1054" s="131">
        <v>770</v>
      </c>
    </row>
    <row r="1055" spans="1:5">
      <c r="A1055" s="130"/>
      <c r="B1055" s="131" t="s">
        <v>1743</v>
      </c>
      <c r="C1055" s="131" t="s">
        <v>1759</v>
      </c>
      <c r="D1055" s="131" t="s">
        <v>1760</v>
      </c>
      <c r="E1055" s="131">
        <v>895</v>
      </c>
    </row>
    <row r="1056" spans="1:5">
      <c r="A1056" s="130"/>
      <c r="B1056" s="131" t="s">
        <v>1743</v>
      </c>
      <c r="C1056" s="131" t="s">
        <v>1761</v>
      </c>
      <c r="D1056" s="131" t="s">
        <v>1762</v>
      </c>
      <c r="E1056" s="131">
        <v>955</v>
      </c>
    </row>
    <row r="1057" spans="1:5">
      <c r="A1057" s="130"/>
      <c r="B1057" s="131" t="s">
        <v>1743</v>
      </c>
      <c r="C1057" s="131" t="s">
        <v>1763</v>
      </c>
      <c r="D1057" s="131" t="s">
        <v>1764</v>
      </c>
      <c r="E1057" s="131">
        <v>480</v>
      </c>
    </row>
    <row r="1058" spans="1:5">
      <c r="A1058" s="130"/>
      <c r="B1058" s="131" t="s">
        <v>1743</v>
      </c>
      <c r="C1058" s="131" t="s">
        <v>1765</v>
      </c>
      <c r="D1058" s="131" t="s">
        <v>1766</v>
      </c>
      <c r="E1058" s="131">
        <v>1650</v>
      </c>
    </row>
    <row r="1059" spans="1:5">
      <c r="A1059" s="130"/>
      <c r="B1059" s="131" t="s">
        <v>1743</v>
      </c>
      <c r="C1059" s="131" t="s">
        <v>1767</v>
      </c>
      <c r="D1059" s="131" t="s">
        <v>18</v>
      </c>
      <c r="E1059" s="131">
        <v>720</v>
      </c>
    </row>
    <row r="1060" spans="1:5">
      <c r="A1060" s="130"/>
      <c r="B1060" s="131" t="s">
        <v>1743</v>
      </c>
      <c r="C1060" s="131" t="s">
        <v>1768</v>
      </c>
      <c r="D1060" s="131" t="s">
        <v>1745</v>
      </c>
      <c r="E1060" s="131">
        <v>565</v>
      </c>
    </row>
    <row r="1061" spans="1:5">
      <c r="A1061" s="130"/>
      <c r="B1061" s="131" t="s">
        <v>1743</v>
      </c>
      <c r="C1061" s="131" t="s">
        <v>1769</v>
      </c>
      <c r="D1061" s="131" t="s">
        <v>1752</v>
      </c>
      <c r="E1061" s="131">
        <v>375</v>
      </c>
    </row>
    <row r="1062" spans="1:5">
      <c r="A1062" s="130"/>
      <c r="B1062" s="131" t="s">
        <v>1743</v>
      </c>
      <c r="C1062" s="131" t="s">
        <v>610</v>
      </c>
      <c r="D1062" s="131" t="s">
        <v>1770</v>
      </c>
      <c r="E1062" s="131">
        <v>425</v>
      </c>
    </row>
    <row r="1063" spans="1:5">
      <c r="A1063" s="130"/>
      <c r="B1063" s="131" t="s">
        <v>1771</v>
      </c>
      <c r="C1063" s="131" t="s">
        <v>1772</v>
      </c>
      <c r="D1063" s="131" t="s">
        <v>1755</v>
      </c>
      <c r="E1063" s="131">
        <v>900</v>
      </c>
    </row>
    <row r="1064" spans="1:5" ht="19">
      <c r="A1064" s="126" t="s">
        <v>388</v>
      </c>
    </row>
    <row r="1065" spans="1:5"/>
    <row r="1066" spans="1:5">
      <c r="A1066" s="130"/>
      <c r="B1066" s="131" t="s">
        <v>1773</v>
      </c>
      <c r="C1066" s="131" t="s">
        <v>1774</v>
      </c>
      <c r="D1066" s="131" t="s">
        <v>1775</v>
      </c>
      <c r="E1066" s="131">
        <v>720</v>
      </c>
    </row>
    <row r="1067" spans="1:5">
      <c r="A1067" s="130"/>
      <c r="B1067" s="131" t="s">
        <v>1773</v>
      </c>
      <c r="C1067" s="131" t="s">
        <v>1776</v>
      </c>
      <c r="D1067" s="131" t="s">
        <v>29</v>
      </c>
      <c r="E1067" s="131">
        <v>720</v>
      </c>
    </row>
    <row r="1068" spans="1:5">
      <c r="A1068" s="130"/>
      <c r="B1068" s="131" t="s">
        <v>1773</v>
      </c>
      <c r="C1068" s="131" t="s">
        <v>1777</v>
      </c>
      <c r="D1068" s="131" t="s">
        <v>29</v>
      </c>
      <c r="E1068" s="131">
        <v>1099</v>
      </c>
    </row>
    <row r="1069" spans="1:5">
      <c r="A1069" s="130"/>
      <c r="B1069" s="131" t="s">
        <v>1773</v>
      </c>
      <c r="C1069" s="131" t="s">
        <v>1778</v>
      </c>
      <c r="D1069" s="131" t="s">
        <v>1779</v>
      </c>
      <c r="E1069" s="131">
        <v>7950</v>
      </c>
    </row>
    <row r="1070" spans="1:5">
      <c r="A1070" s="130"/>
      <c r="B1070" s="131" t="s">
        <v>1780</v>
      </c>
      <c r="C1070" s="131" t="s">
        <v>1776</v>
      </c>
      <c r="D1070" s="131" t="s">
        <v>29</v>
      </c>
      <c r="E1070" s="131">
        <v>1270</v>
      </c>
    </row>
    <row r="1071" spans="1:5">
      <c r="A1071" s="130"/>
      <c r="B1071" s="131" t="s">
        <v>1780</v>
      </c>
      <c r="C1071" s="131" t="s">
        <v>1781</v>
      </c>
      <c r="D1071" s="131" t="s">
        <v>326</v>
      </c>
      <c r="E1071" s="131">
        <v>800</v>
      </c>
    </row>
    <row r="1072" spans="1:5">
      <c r="A1072" s="130"/>
      <c r="B1072" s="131" t="s">
        <v>1780</v>
      </c>
      <c r="C1072" s="131" t="s">
        <v>1782</v>
      </c>
      <c r="D1072" s="131" t="s">
        <v>746</v>
      </c>
      <c r="E1072" s="131">
        <v>720</v>
      </c>
    </row>
    <row r="1073" spans="1:5">
      <c r="A1073" s="130"/>
      <c r="B1073" s="131" t="s">
        <v>1780</v>
      </c>
      <c r="C1073" s="131" t="s">
        <v>1783</v>
      </c>
      <c r="D1073" s="131" t="s">
        <v>103</v>
      </c>
      <c r="E1073" s="131">
        <v>720</v>
      </c>
    </row>
    <row r="1074" spans="1:5">
      <c r="A1074" s="130"/>
      <c r="B1074" s="131" t="s">
        <v>1773</v>
      </c>
      <c r="C1074" s="131" t="s">
        <v>1784</v>
      </c>
      <c r="D1074" s="131" t="s">
        <v>20</v>
      </c>
      <c r="E1074" s="131">
        <v>1545</v>
      </c>
    </row>
    <row r="1075" spans="1:5">
      <c r="A1075" s="130"/>
      <c r="B1075" s="131" t="s">
        <v>1785</v>
      </c>
      <c r="C1075" s="131" t="s">
        <v>1786</v>
      </c>
      <c r="D1075" s="131" t="s">
        <v>18</v>
      </c>
      <c r="E1075" s="131">
        <v>2340</v>
      </c>
    </row>
    <row r="1076" spans="1:5">
      <c r="A1076" s="130"/>
      <c r="B1076" s="131" t="s">
        <v>1787</v>
      </c>
      <c r="C1076" s="131" t="s">
        <v>1788</v>
      </c>
      <c r="D1076" s="131" t="s">
        <v>29</v>
      </c>
      <c r="E1076" s="131">
        <v>690</v>
      </c>
    </row>
    <row r="1077" spans="1:5">
      <c r="A1077" s="130"/>
      <c r="B1077" s="131" t="s">
        <v>1787</v>
      </c>
      <c r="C1077" s="131" t="s">
        <v>1789</v>
      </c>
      <c r="D1077" s="131" t="s">
        <v>103</v>
      </c>
      <c r="E1077" s="131">
        <v>720</v>
      </c>
    </row>
    <row r="1078" spans="1:5">
      <c r="A1078" s="130"/>
      <c r="B1078" s="131" t="s">
        <v>1773</v>
      </c>
      <c r="C1078" s="131" t="s">
        <v>1790</v>
      </c>
      <c r="D1078" s="131" t="s">
        <v>1791</v>
      </c>
      <c r="E1078" s="131">
        <v>360</v>
      </c>
    </row>
    <row r="1079" spans="1:5">
      <c r="A1079" s="130"/>
      <c r="B1079" s="131" t="s">
        <v>1773</v>
      </c>
      <c r="C1079" s="131" t="s">
        <v>1792</v>
      </c>
      <c r="D1079" s="131" t="s">
        <v>103</v>
      </c>
      <c r="E1079" s="131">
        <v>720</v>
      </c>
    </row>
    <row r="1080" spans="1:5">
      <c r="A1080" s="130"/>
      <c r="B1080" s="131" t="s">
        <v>1773</v>
      </c>
      <c r="C1080" s="131" t="s">
        <v>1793</v>
      </c>
      <c r="D1080" s="131" t="s">
        <v>1745</v>
      </c>
      <c r="E1080" s="131">
        <v>1840</v>
      </c>
    </row>
    <row r="1081" spans="1:5">
      <c r="A1081" s="130"/>
      <c r="B1081" s="131" t="s">
        <v>1787</v>
      </c>
      <c r="C1081" s="131" t="s">
        <v>20</v>
      </c>
      <c r="D1081" s="131" t="s">
        <v>20</v>
      </c>
      <c r="E1081" s="131">
        <v>450</v>
      </c>
    </row>
    <row r="1082" spans="1:5">
      <c r="A1082" s="130"/>
      <c r="B1082" s="131" t="s">
        <v>1787</v>
      </c>
      <c r="C1082" s="131" t="s">
        <v>1794</v>
      </c>
      <c r="D1082" s="131" t="s">
        <v>103</v>
      </c>
      <c r="E1082" s="131">
        <v>720</v>
      </c>
    </row>
    <row r="1083" spans="1:5" ht="19">
      <c r="A1083" s="126" t="s">
        <v>66</v>
      </c>
    </row>
    <row r="1084" spans="1:5"/>
    <row r="1085" spans="1:5" ht="19">
      <c r="A1085" s="126" t="s">
        <v>217</v>
      </c>
    </row>
    <row r="1086" spans="1:5"/>
    <row r="1087" spans="1:5" ht="19">
      <c r="A1087" s="126" t="s">
        <v>802</v>
      </c>
    </row>
    <row r="1088" spans="1:5"/>
    <row r="1089" spans="1:5" ht="19">
      <c r="A1089" s="126" t="s">
        <v>1840</v>
      </c>
    </row>
    <row r="1090" spans="1:5"/>
    <row r="1091" spans="1:5" ht="19">
      <c r="A1091" s="126" t="s">
        <v>1841</v>
      </c>
    </row>
    <row r="1092" spans="1:5"/>
    <row r="1093" spans="1:5">
      <c r="A1093" s="130"/>
      <c r="B1093" s="131" t="s">
        <v>1842</v>
      </c>
      <c r="C1093" s="131" t="s">
        <v>1843</v>
      </c>
      <c r="D1093" s="131" t="s">
        <v>1745</v>
      </c>
      <c r="E1093" s="131">
        <v>1030</v>
      </c>
    </row>
    <row r="1094" spans="1:5">
      <c r="A1094" s="130"/>
      <c r="B1094" s="131" t="s">
        <v>1842</v>
      </c>
      <c r="C1094" s="131" t="s">
        <v>1844</v>
      </c>
      <c r="D1094" s="131" t="s">
        <v>1755</v>
      </c>
      <c r="E1094" s="131">
        <v>745</v>
      </c>
    </row>
    <row r="1095" spans="1:5" ht="19">
      <c r="A1095" s="126" t="s">
        <v>1845</v>
      </c>
    </row>
    <row r="1097" spans="1:5" ht="17">
      <c r="A1097" s="132" t="s">
        <v>1846</v>
      </c>
    </row>
    <row r="1098" spans="1:5">
      <c r="A1098" s="130"/>
      <c r="B1098" s="131" t="s">
        <v>1847</v>
      </c>
      <c r="C1098" s="131" t="s">
        <v>1848</v>
      </c>
      <c r="D1098" s="131" t="s">
        <v>1745</v>
      </c>
      <c r="E1098" s="131">
        <v>550</v>
      </c>
    </row>
    <row r="1099" spans="1:5">
      <c r="A1099" s="130"/>
      <c r="B1099" s="131" t="s">
        <v>1847</v>
      </c>
      <c r="C1099" s="131" t="s">
        <v>1849</v>
      </c>
      <c r="D1099" s="131" t="s">
        <v>1745</v>
      </c>
      <c r="E1099" s="131">
        <v>850</v>
      </c>
    </row>
    <row r="1100" spans="1:5">
      <c r="A1100" s="130"/>
      <c r="B1100" s="131" t="s">
        <v>1847</v>
      </c>
      <c r="C1100" s="131" t="s">
        <v>1850</v>
      </c>
      <c r="D1100" s="131" t="s">
        <v>326</v>
      </c>
      <c r="E1100" s="131">
        <v>1250</v>
      </c>
    </row>
    <row r="1101" spans="1:5">
      <c r="A1101" s="130"/>
      <c r="B1101" s="131" t="s">
        <v>1847</v>
      </c>
      <c r="C1101" s="131" t="s">
        <v>1851</v>
      </c>
      <c r="D1101" s="131" t="s">
        <v>29</v>
      </c>
      <c r="E1101" s="131">
        <v>950</v>
      </c>
    </row>
    <row r="1102" spans="1:5">
      <c r="A1102" s="130"/>
      <c r="B1102" s="131" t="s">
        <v>1847</v>
      </c>
      <c r="C1102" s="131" t="s">
        <v>1852</v>
      </c>
      <c r="D1102" s="131" t="s">
        <v>18</v>
      </c>
      <c r="E1102" s="131">
        <v>1150</v>
      </c>
    </row>
    <row r="1103" spans="1:5">
      <c r="A1103" s="130"/>
      <c r="B1103" s="131" t="s">
        <v>1847</v>
      </c>
      <c r="C1103" s="131" t="s">
        <v>1853</v>
      </c>
      <c r="D1103" s="131" t="s">
        <v>1760</v>
      </c>
      <c r="E1103" s="131">
        <v>1080</v>
      </c>
    </row>
    <row r="1104" spans="1:5">
      <c r="A1104" s="130"/>
      <c r="B1104" s="131" t="s">
        <v>1847</v>
      </c>
      <c r="C1104" s="131" t="s">
        <v>1854</v>
      </c>
      <c r="D1104" s="131" t="s">
        <v>103</v>
      </c>
      <c r="E1104" s="131">
        <v>720</v>
      </c>
    </row>
    <row r="1105" spans="1:5">
      <c r="A1105" s="130"/>
      <c r="B1105" s="131" t="s">
        <v>1847</v>
      </c>
      <c r="C1105" s="131" t="s">
        <v>1855</v>
      </c>
      <c r="D1105" s="131" t="s">
        <v>20</v>
      </c>
      <c r="E1105" s="131">
        <v>1545</v>
      </c>
    </row>
    <row r="1106" spans="1:5">
      <c r="A1106" s="130"/>
      <c r="B1106" s="131" t="s">
        <v>1847</v>
      </c>
      <c r="C1106" s="131" t="s">
        <v>1856</v>
      </c>
      <c r="D1106" s="131" t="s">
        <v>103</v>
      </c>
      <c r="E1106" s="131">
        <v>720</v>
      </c>
    </row>
    <row r="1107" spans="1:5">
      <c r="A1107" s="130"/>
      <c r="B1107" s="131" t="s">
        <v>1847</v>
      </c>
      <c r="C1107" s="131" t="s">
        <v>1857</v>
      </c>
      <c r="D1107" s="131" t="s">
        <v>103</v>
      </c>
      <c r="E1107" s="131">
        <v>720</v>
      </c>
    </row>
    <row r="1108" spans="1:5">
      <c r="A1108" s="130"/>
      <c r="B1108" s="131" t="s">
        <v>1847</v>
      </c>
      <c r="C1108" s="131" t="s">
        <v>1858</v>
      </c>
      <c r="D1108" s="131" t="s">
        <v>103</v>
      </c>
      <c r="E1108" s="131">
        <v>720</v>
      </c>
    </row>
    <row r="1109" spans="1:5">
      <c r="A1109" s="130"/>
      <c r="B1109" s="131" t="s">
        <v>1847</v>
      </c>
      <c r="C1109" s="131" t="s">
        <v>1859</v>
      </c>
      <c r="D1109" s="131" t="s">
        <v>1752</v>
      </c>
      <c r="E1109" s="131">
        <v>320</v>
      </c>
    </row>
    <row r="1110" spans="1:5">
      <c r="A1110" s="130"/>
      <c r="B1110" s="131" t="s">
        <v>1847</v>
      </c>
      <c r="C1110" s="131" t="s">
        <v>1860</v>
      </c>
      <c r="D1110" s="131" t="s">
        <v>1752</v>
      </c>
      <c r="E1110" s="131">
        <v>300</v>
      </c>
    </row>
    <row r="1111" spans="1:5">
      <c r="A1111" s="130"/>
      <c r="B1111" s="131" t="s">
        <v>1847</v>
      </c>
      <c r="C1111" s="131" t="s">
        <v>1861</v>
      </c>
      <c r="D1111" s="131" t="s">
        <v>1762</v>
      </c>
      <c r="E1111" s="131">
        <v>1190</v>
      </c>
    </row>
    <row r="1112" spans="1:5">
      <c r="A1112" s="130"/>
      <c r="B1112" s="131" t="s">
        <v>1847</v>
      </c>
      <c r="C1112" s="131" t="s">
        <v>1862</v>
      </c>
      <c r="D1112" s="131" t="s">
        <v>1815</v>
      </c>
      <c r="E1112" s="131">
        <v>425</v>
      </c>
    </row>
    <row r="1113" spans="1:5">
      <c r="A1113" s="130"/>
      <c r="B1113" s="131" t="s">
        <v>1847</v>
      </c>
      <c r="C1113" s="131" t="s">
        <v>1863</v>
      </c>
      <c r="D1113" s="131" t="s">
        <v>1760</v>
      </c>
      <c r="E1113" s="131">
        <v>1080</v>
      </c>
    </row>
    <row r="1114" spans="1:5">
      <c r="A1114" s="130"/>
      <c r="B1114" s="131" t="s">
        <v>1847</v>
      </c>
      <c r="C1114" s="131" t="s">
        <v>1864</v>
      </c>
      <c r="D1114" s="131" t="s">
        <v>1865</v>
      </c>
      <c r="E1114" s="131">
        <v>1190</v>
      </c>
    </row>
    <row r="1115" spans="1:5">
      <c r="A1115" s="130"/>
      <c r="B1115" s="131" t="s">
        <v>1847</v>
      </c>
      <c r="C1115" s="131" t="s">
        <v>1866</v>
      </c>
      <c r="D1115" s="131" t="s">
        <v>746</v>
      </c>
      <c r="E1115" s="131">
        <v>720</v>
      </c>
    </row>
    <row r="1116" spans="1:5">
      <c r="A1116" s="130"/>
      <c r="B1116" s="131" t="s">
        <v>1847</v>
      </c>
      <c r="C1116" s="131" t="s">
        <v>1867</v>
      </c>
      <c r="D1116" s="131" t="s">
        <v>18</v>
      </c>
      <c r="E1116" s="131">
        <v>1620</v>
      </c>
    </row>
    <row r="1117" spans="1:5">
      <c r="A1117" s="130"/>
      <c r="B1117" s="131" t="s">
        <v>1847</v>
      </c>
      <c r="C1117" s="131" t="s">
        <v>1868</v>
      </c>
      <c r="D1117" s="131" t="s">
        <v>1762</v>
      </c>
      <c r="E1117" s="131">
        <v>1190</v>
      </c>
    </row>
    <row r="1118" spans="1:5">
      <c r="A1118" s="130"/>
      <c r="B1118" s="131" t="s">
        <v>1847</v>
      </c>
      <c r="C1118" s="131" t="s">
        <v>1869</v>
      </c>
      <c r="D1118" s="131" t="s">
        <v>1760</v>
      </c>
      <c r="E1118" s="131">
        <v>1080</v>
      </c>
    </row>
    <row r="1119" spans="1:5">
      <c r="A1119" s="130"/>
      <c r="B1119" s="131" t="s">
        <v>1847</v>
      </c>
      <c r="C1119" s="131" t="s">
        <v>1870</v>
      </c>
      <c r="D1119" s="131" t="s">
        <v>29</v>
      </c>
      <c r="E1119" s="131">
        <v>950</v>
      </c>
    </row>
    <row r="1120" spans="1:5">
      <c r="A1120" s="130"/>
      <c r="B1120" s="131" t="s">
        <v>1847</v>
      </c>
      <c r="C1120" s="131" t="s">
        <v>1871</v>
      </c>
      <c r="D1120" s="131" t="s">
        <v>1762</v>
      </c>
      <c r="E1120" s="131">
        <v>1190</v>
      </c>
    </row>
    <row r="1121" spans="1:5">
      <c r="A1121" s="130"/>
      <c r="B1121" s="131" t="s">
        <v>1847</v>
      </c>
      <c r="C1121" s="131" t="s">
        <v>1872</v>
      </c>
      <c r="D1121" s="131" t="s">
        <v>20</v>
      </c>
      <c r="E1121" s="131">
        <v>1545</v>
      </c>
    </row>
    <row r="1122" spans="1:5">
      <c r="A1122" s="130"/>
      <c r="B1122" s="131" t="s">
        <v>1847</v>
      </c>
      <c r="C1122" s="131" t="s">
        <v>1873</v>
      </c>
      <c r="D1122" s="131" t="s">
        <v>1815</v>
      </c>
      <c r="E1122" s="131">
        <v>650</v>
      </c>
    </row>
    <row r="1123" spans="1:5">
      <c r="A1123" s="130"/>
      <c r="B1123" s="131" t="s">
        <v>1847</v>
      </c>
      <c r="C1123" s="131" t="s">
        <v>1874</v>
      </c>
      <c r="D1123" s="131" t="s">
        <v>29</v>
      </c>
      <c r="E1123" s="131">
        <v>1350</v>
      </c>
    </row>
    <row r="1124" spans="1:5">
      <c r="A1124" s="130"/>
      <c r="B1124" s="131" t="s">
        <v>1847</v>
      </c>
      <c r="C1124" s="131" t="s">
        <v>1875</v>
      </c>
      <c r="D1124" s="131" t="s">
        <v>103</v>
      </c>
      <c r="E1124" s="131">
        <v>720</v>
      </c>
    </row>
    <row r="1125" spans="1:5">
      <c r="A1125" s="130"/>
      <c r="B1125" s="131" t="s">
        <v>1847</v>
      </c>
      <c r="C1125" s="131" t="s">
        <v>1876</v>
      </c>
      <c r="D1125" s="131" t="s">
        <v>1760</v>
      </c>
      <c r="E1125" s="131">
        <v>1080</v>
      </c>
    </row>
    <row r="1126" spans="1:5">
      <c r="A1126" s="130"/>
      <c r="B1126" s="131" t="s">
        <v>1847</v>
      </c>
      <c r="C1126" s="131" t="s">
        <v>1877</v>
      </c>
      <c r="D1126" s="131" t="s">
        <v>1770</v>
      </c>
      <c r="E1126" s="131">
        <v>250</v>
      </c>
    </row>
    <row r="1127" spans="1:5">
      <c r="A1127" s="130"/>
      <c r="B1127" s="131" t="s">
        <v>1847</v>
      </c>
      <c r="C1127" s="131" t="s">
        <v>1878</v>
      </c>
      <c r="D1127" s="131" t="s">
        <v>1762</v>
      </c>
      <c r="E1127" s="131">
        <v>1190</v>
      </c>
    </row>
  </sheetData>
  <mergeCells count="42">
    <mergeCell ref="B342:B344"/>
    <mergeCell ref="B326:B329"/>
    <mergeCell ref="B227:B230"/>
    <mergeCell ref="B311:B314"/>
    <mergeCell ref="B377:B383"/>
    <mergeCell ref="B265:B272"/>
    <mergeCell ref="B361:B368"/>
    <mergeCell ref="B317:B325"/>
    <mergeCell ref="B369:B371"/>
    <mergeCell ref="B243:B244"/>
    <mergeCell ref="B407:B408"/>
    <mergeCell ref="B183:B195"/>
    <mergeCell ref="B338:B341"/>
    <mergeCell ref="B236:B242"/>
    <mergeCell ref="B279:B282"/>
    <mergeCell ref="B291:B295"/>
    <mergeCell ref="B285:B290"/>
    <mergeCell ref="B399:B402"/>
    <mergeCell ref="B196:B205"/>
    <mergeCell ref="B296:B309"/>
    <mergeCell ref="B231:B234"/>
    <mergeCell ref="B405:B406"/>
    <mergeCell ref="B387:B394"/>
    <mergeCell ref="B252:B256"/>
    <mergeCell ref="B346:B349"/>
    <mergeCell ref="B373:B376"/>
    <mergeCell ref="A1:F1"/>
    <mergeCell ref="B95:B144"/>
    <mergeCell ref="B396:B398"/>
    <mergeCell ref="B257:B264"/>
    <mergeCell ref="B331:B336"/>
    <mergeCell ref="B3:B47"/>
    <mergeCell ref="B219:B226"/>
    <mergeCell ref="B206:B212"/>
    <mergeCell ref="B48:B94"/>
    <mergeCell ref="B145:B160"/>
    <mergeCell ref="B179:B182"/>
    <mergeCell ref="B275:B277"/>
    <mergeCell ref="B161:B177"/>
    <mergeCell ref="B354:B360"/>
    <mergeCell ref="B213:B215"/>
    <mergeCell ref="B283:B28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Kits</vt:lpstr>
      <vt:lpstr>Original HOODS ETC</vt:lpstr>
      <vt:lpstr>Average Box Size</vt:lpstr>
      <vt:lpstr>Changes Kits</vt:lpstr>
      <vt:lpstr>Changes HOODS ETC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Mabana</dc:creator>
  <cp:lastModifiedBy>Tanish Info Services</cp:lastModifiedBy>
  <cp:lastPrinted>2026-01-02T10:11:00Z</cp:lastPrinted>
  <dcterms:created xsi:type="dcterms:W3CDTF">2025-10-08T22:38:00Z</dcterms:created>
  <dcterms:modified xsi:type="dcterms:W3CDTF">2026-03-04T09:23:23Z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01dbf14c41ab43a88ed53290efb0693f</vt:lpwstr>
  </property>
</Properties>
</file>